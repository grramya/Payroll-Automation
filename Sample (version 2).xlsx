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S\Downloads\"/>
    </mc:Choice>
  </mc:AlternateContent>
  <xr:revisionPtr revIDLastSave="0" documentId="13_ncr:10000001_{C3F023EF-AD50-4B0E-8754-FC9AB8747883}" xr6:coauthVersionLast="47" xr6:coauthVersionMax="47" xr10:uidLastSave="{00000000-0000-0000-0000-000000000000}"/>
  <bookViews>
    <workbookView xWindow="-28920" yWindow="-120" windowWidth="29040" windowHeight="15720" xr2:uid="{C4FF1410-05A7-4565-B21D-CF0F195E2EDE}"/>
  </bookViews>
  <sheets>
    <sheet name="Employee Cost" sheetId="1" r:id="rId1"/>
    <sheet name="Other cos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L16" i="1"/>
  <c r="M16" i="1"/>
  <c r="N16" i="1"/>
  <c r="O16" i="1"/>
  <c r="P16" i="1"/>
  <c r="Q16" i="1"/>
  <c r="R16" i="1"/>
  <c r="S16" i="1"/>
  <c r="T16" i="1"/>
  <c r="U16" i="1"/>
  <c r="V16" i="1"/>
  <c r="K16" i="1"/>
  <c r="E4" i="1"/>
  <c r="G4" i="1" s="1"/>
  <c r="H4" i="1" l="1"/>
  <c r="I4" i="1" s="1"/>
  <c r="G11" i="1" l="1"/>
  <c r="I11" i="1" s="1"/>
  <c r="P11" i="1" s="1"/>
  <c r="E10" i="1"/>
  <c r="G10" i="1" s="1"/>
  <c r="G9" i="1"/>
  <c r="H9" i="1" s="1"/>
  <c r="I9" i="1" s="1"/>
  <c r="S9" i="1" s="1"/>
  <c r="G8" i="1"/>
  <c r="G7" i="1"/>
  <c r="G6" i="1"/>
  <c r="E5" i="1"/>
  <c r="G3" i="1"/>
  <c r="H3" i="1" s="1"/>
  <c r="M9" i="1" l="1"/>
  <c r="O9" i="1"/>
  <c r="T9" i="1"/>
  <c r="L11" i="1"/>
  <c r="Q11" i="1"/>
  <c r="L9" i="1"/>
  <c r="T11" i="1"/>
  <c r="U9" i="1"/>
  <c r="R11" i="1"/>
  <c r="I3" i="1"/>
  <c r="Q3" i="1" s="1"/>
  <c r="G5" i="1"/>
  <c r="H5" i="1" s="1"/>
  <c r="N9" i="1"/>
  <c r="V9" i="1"/>
  <c r="K11" i="1"/>
  <c r="S11" i="1"/>
  <c r="H7" i="1"/>
  <c r="I7" i="1" s="1"/>
  <c r="P9" i="1"/>
  <c r="M11" i="1"/>
  <c r="U11" i="1"/>
  <c r="H6" i="1"/>
  <c r="I6" i="1" s="1"/>
  <c r="Q9" i="1"/>
  <c r="N11" i="1"/>
  <c r="V11" i="1"/>
  <c r="H8" i="1"/>
  <c r="I8" i="1" s="1"/>
  <c r="R9" i="1"/>
  <c r="O11" i="1"/>
  <c r="E13" i="1"/>
  <c r="H10" i="1"/>
  <c r="I10" i="1"/>
  <c r="K9" i="1"/>
  <c r="R3" i="1"/>
  <c r="S3" i="1"/>
  <c r="G13" i="1" l="1"/>
  <c r="P7" i="1"/>
  <c r="O7" i="1"/>
  <c r="T7" i="1"/>
  <c r="V7" i="1"/>
  <c r="N7" i="1"/>
  <c r="U7" i="1"/>
  <c r="S7" i="1"/>
  <c r="R7" i="1"/>
  <c r="Q7" i="1"/>
  <c r="K3" i="1"/>
  <c r="U3" i="1"/>
  <c r="M3" i="1"/>
  <c r="P3" i="1"/>
  <c r="O3" i="1"/>
  <c r="N3" i="1"/>
  <c r="V3" i="1"/>
  <c r="U10" i="1"/>
  <c r="M10" i="1"/>
  <c r="T10" i="1"/>
  <c r="L10" i="1"/>
  <c r="Q10" i="1"/>
  <c r="S10" i="1"/>
  <c r="K10" i="1"/>
  <c r="R10" i="1"/>
  <c r="P10" i="1"/>
  <c r="V10" i="1"/>
  <c r="O10" i="1"/>
  <c r="N10" i="1"/>
  <c r="T3" i="1"/>
  <c r="I5" i="1"/>
  <c r="P8" i="1"/>
  <c r="V8" i="1"/>
  <c r="U8" i="1"/>
  <c r="T8" i="1"/>
  <c r="S8" i="1"/>
  <c r="R8" i="1"/>
  <c r="Q8" i="1"/>
  <c r="W9" i="1"/>
  <c r="L3" i="1"/>
  <c r="W11" i="1"/>
  <c r="W8" i="1" l="1"/>
  <c r="W3" i="1"/>
  <c r="W10" i="1"/>
  <c r="W7" i="1"/>
  <c r="N4" i="1" l="1"/>
  <c r="L4" i="1"/>
  <c r="T4" i="1"/>
  <c r="O4" i="1"/>
  <c r="M4" i="1"/>
  <c r="R4" i="1"/>
  <c r="U4" i="1"/>
  <c r="Q4" i="1"/>
  <c r="H13" i="1"/>
  <c r="P4" i="1"/>
  <c r="K4" i="1"/>
  <c r="S4" i="1"/>
  <c r="V4" i="1"/>
  <c r="W4" i="1" l="1"/>
  <c r="R5" i="1"/>
  <c r="L5" i="1"/>
  <c r="K5" i="1"/>
  <c r="Q5" i="1"/>
  <c r="M5" i="1"/>
  <c r="S5" i="1"/>
  <c r="O6" i="1"/>
  <c r="U5" i="1"/>
  <c r="N5" i="1"/>
  <c r="O5" i="1"/>
  <c r="O15" i="1" s="1"/>
  <c r="V5" i="1"/>
  <c r="P5" i="1"/>
  <c r="T5" i="1"/>
  <c r="O19" i="1" l="1"/>
  <c r="O18" i="1"/>
  <c r="O13" i="1"/>
  <c r="N6" i="1"/>
  <c r="N13" i="1" s="1"/>
  <c r="L6" i="1"/>
  <c r="L13" i="1" s="1"/>
  <c r="M6" i="1"/>
  <c r="M13" i="1" s="1"/>
  <c r="S6" i="1"/>
  <c r="S13" i="1" s="1"/>
  <c r="U6" i="1"/>
  <c r="U13" i="1" s="1"/>
  <c r="K6" i="1"/>
  <c r="K15" i="1" s="1"/>
  <c r="V6" i="1"/>
  <c r="V15" i="1" s="1"/>
  <c r="Q6" i="1"/>
  <c r="P6" i="1"/>
  <c r="P13" i="1" s="1"/>
  <c r="R6" i="1"/>
  <c r="R13" i="1" s="1"/>
  <c r="T6" i="1"/>
  <c r="T13" i="1" s="1"/>
  <c r="V13" i="1"/>
  <c r="I13" i="1"/>
  <c r="K13" i="1"/>
  <c r="W5" i="1"/>
  <c r="V19" i="1" l="1"/>
  <c r="V18" i="1"/>
  <c r="K19" i="1"/>
  <c r="K18" i="1"/>
  <c r="L15" i="1"/>
  <c r="S15" i="1"/>
  <c r="R15" i="1"/>
  <c r="M15" i="1"/>
  <c r="Q13" i="1"/>
  <c r="Q15" i="1"/>
  <c r="U15" i="1"/>
  <c r="P15" i="1"/>
  <c r="N15" i="1"/>
  <c r="T15" i="1"/>
  <c r="W6" i="1"/>
  <c r="M19" i="1" l="1"/>
  <c r="M18" i="1"/>
  <c r="R18" i="1"/>
  <c r="R19" i="1"/>
  <c r="T19" i="1"/>
  <c r="T18" i="1"/>
  <c r="S19" i="1"/>
  <c r="S18" i="1"/>
  <c r="N19" i="1"/>
  <c r="N18" i="1"/>
  <c r="L19" i="1"/>
  <c r="L18" i="1"/>
  <c r="P18" i="1"/>
  <c r="P19" i="1"/>
  <c r="U19" i="1"/>
  <c r="U18" i="1"/>
  <c r="Q18" i="1"/>
  <c r="Q19" i="1"/>
</calcChain>
</file>

<file path=xl/sharedStrings.xml><?xml version="1.0" encoding="utf-8"?>
<sst xmlns="http://schemas.openxmlformats.org/spreadsheetml/2006/main" count="83" uniqueCount="68">
  <si>
    <t>Name</t>
  </si>
  <si>
    <t>Title</t>
  </si>
  <si>
    <t>Start Date</t>
  </si>
  <si>
    <t>Base</t>
  </si>
  <si>
    <t>Bonus</t>
  </si>
  <si>
    <t>Taxes/Benefits</t>
  </si>
  <si>
    <t>Total</t>
  </si>
  <si>
    <t>Senior Director</t>
  </si>
  <si>
    <t>Head of Travel Practice</t>
  </si>
  <si>
    <t>Analyst</t>
  </si>
  <si>
    <t>New Hire</t>
  </si>
  <si>
    <t>VIP &amp; Concierge Desk Agent</t>
  </si>
  <si>
    <t>Hotel Supplier Relations</t>
  </si>
  <si>
    <t>Air Supplier Relations</t>
  </si>
  <si>
    <t>Managed Services</t>
  </si>
  <si>
    <t>Vearc - Travel Audit</t>
  </si>
  <si>
    <t>Total Staff Costs</t>
  </si>
  <si>
    <t>BK</t>
  </si>
  <si>
    <t>DJ</t>
  </si>
  <si>
    <t>SA</t>
  </si>
  <si>
    <t>CA</t>
  </si>
  <si>
    <t>CP</t>
  </si>
  <si>
    <t>RM</t>
  </si>
  <si>
    <t>Geography</t>
  </si>
  <si>
    <t>1st April</t>
  </si>
  <si>
    <t>Consultant</t>
  </si>
  <si>
    <t>Concertiv</t>
  </si>
  <si>
    <t>Vearc</t>
  </si>
  <si>
    <t>Hike cycle</t>
  </si>
  <si>
    <t>Bonus %</t>
  </si>
  <si>
    <t>If Vearc is selected hike % to be zero as Vearc follow Jan hike cycle</t>
  </si>
  <si>
    <t>If Vearc cost do not have employer tax</t>
  </si>
  <si>
    <t>Bonus should have logic of entering % to see value or value to see %</t>
  </si>
  <si>
    <t>Employee no's</t>
  </si>
  <si>
    <t>Payroll expenses</t>
  </si>
  <si>
    <t>Tech Stipend</t>
  </si>
  <si>
    <t>Rate</t>
  </si>
  <si>
    <t>Recruiting</t>
  </si>
  <si>
    <t>Software *</t>
  </si>
  <si>
    <t>Dues &amp; Subscriptions</t>
  </si>
  <si>
    <t>Travel</t>
  </si>
  <si>
    <t>Office Supplies/Equipment</t>
  </si>
  <si>
    <t>Training</t>
  </si>
  <si>
    <t>Outside Contractors</t>
  </si>
  <si>
    <t>Managed Services Allocation</t>
  </si>
  <si>
    <t>Interns</t>
  </si>
  <si>
    <t>Conferences</t>
  </si>
  <si>
    <t>Legal</t>
  </si>
  <si>
    <t>Accounting/Tax</t>
  </si>
  <si>
    <t>Outsourced IT</t>
  </si>
  <si>
    <t>Company Snacks/Meals</t>
  </si>
  <si>
    <t>Rent</t>
  </si>
  <si>
    <t>Utilities/Cleaning</t>
  </si>
  <si>
    <t>Telephone &amp; Internet</t>
  </si>
  <si>
    <t>Insurance</t>
  </si>
  <si>
    <t>Cost Grouping</t>
  </si>
  <si>
    <t>COE</t>
  </si>
  <si>
    <t>Digital</t>
  </si>
  <si>
    <t>Events</t>
  </si>
  <si>
    <t>Industry Ads</t>
  </si>
  <si>
    <t>Printing</t>
  </si>
  <si>
    <t>Website</t>
  </si>
  <si>
    <t>Other</t>
  </si>
  <si>
    <t>Vendor Name</t>
  </si>
  <si>
    <t xml:space="preserve">Amount </t>
  </si>
  <si>
    <t>Memo/ Description</t>
  </si>
  <si>
    <t>Drop down</t>
  </si>
  <si>
    <t>User free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</si>
</sst>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singleAccounting"/>
      <sz val="11"/>
      <color rgb="FF17283F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17283F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14" fontId="7" fillId="0" borderId="0" xfId="0" applyNumberFormat="1" applyFont="1"/>
    <xf numFmtId="41" fontId="7" fillId="0" borderId="0" xfId="2" applyNumberFormat="1" applyFont="1" applyFill="1"/>
    <xf numFmtId="164" fontId="7" fillId="0" borderId="0" xfId="1" applyNumberFormat="1" applyFont="1" applyFill="1"/>
    <xf numFmtId="0" fontId="10" fillId="0" borderId="0" xfId="0" applyFont="1" applyAlignment="1">
      <alignment horizontal="left" indent="1"/>
    </xf>
    <xf numFmtId="0" fontId="11" fillId="0" borderId="0" xfId="0" applyFont="1" applyAlignment="1">
      <alignment horizontal="left" indent="4"/>
    </xf>
    <xf numFmtId="41" fontId="7" fillId="0" borderId="2" xfId="2" applyNumberFormat="1" applyFont="1" applyFill="1" applyBorder="1"/>
    <xf numFmtId="165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1" xfId="0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0" xfId="3" applyFont="1" applyFill="1" applyAlignment="1">
      <alignment horizontal="center"/>
    </xf>
    <xf numFmtId="0" fontId="0" fillId="3" borderId="0" xfId="0" applyFill="1"/>
    <xf numFmtId="0" fontId="3" fillId="3" borderId="0" xfId="0" applyFont="1" applyFill="1"/>
    <xf numFmtId="9" fontId="5" fillId="3" borderId="0" xfId="3" applyNumberFormat="1" applyFont="1" applyFill="1" applyAlignment="1">
      <alignment horizontal="center"/>
    </xf>
    <xf numFmtId="9" fontId="6" fillId="3" borderId="0" xfId="3" applyNumberFormat="1" applyFont="1" applyFill="1" applyAlignment="1">
      <alignment horizontal="center"/>
    </xf>
    <xf numFmtId="0" fontId="2" fillId="3" borderId="0" xfId="0" applyFont="1" applyFill="1" applyAlignment="1">
      <alignment horizontal="left" indent="1"/>
    </xf>
    <xf numFmtId="14" fontId="7" fillId="3" borderId="0" xfId="0" applyNumberFormat="1" applyFont="1" applyFill="1"/>
    <xf numFmtId="41" fontId="7" fillId="3" borderId="0" xfId="2" applyNumberFormat="1" applyFont="1" applyFill="1"/>
    <xf numFmtId="9" fontId="0" fillId="3" borderId="0" xfId="0" applyNumberFormat="1" applyFill="1"/>
    <xf numFmtId="0" fontId="8" fillId="3" borderId="0" xfId="0" applyFont="1" applyFill="1" applyAlignment="1">
      <alignment horizontal="left" indent="1"/>
    </xf>
    <xf numFmtId="14" fontId="0" fillId="3" borderId="0" xfId="0" applyNumberFormat="1" applyFill="1"/>
    <xf numFmtId="0" fontId="9" fillId="3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9" fontId="7" fillId="0" borderId="0" xfId="2" applyNumberFormat="1" applyFont="1" applyFill="1"/>
    <xf numFmtId="0" fontId="4" fillId="2" borderId="0" xfId="3" applyFont="1" applyFill="1" applyAlignment="1">
      <alignment horizontal="center"/>
    </xf>
    <xf numFmtId="0" fontId="0" fillId="4" borderId="0" xfId="0" applyFill="1"/>
    <xf numFmtId="164" fontId="7" fillId="4" borderId="0" xfId="1" applyNumberFormat="1" applyFont="1" applyFill="1"/>
    <xf numFmtId="0" fontId="0" fillId="0" borderId="0" xfId="0" applyAlignment="1">
      <alignment horizontal="center"/>
    </xf>
    <xf numFmtId="0" fontId="0" fillId="5" borderId="0" xfId="0" applyFill="1"/>
    <xf numFmtId="9" fontId="0" fillId="5" borderId="0" xfId="0" applyNumberFormat="1" applyFill="1"/>
    <xf numFmtId="0" fontId="12" fillId="3" borderId="0" xfId="0" applyFont="1" applyFill="1"/>
    <xf numFmtId="0" fontId="0" fillId="0" borderId="0" xfId="0" applyFill="1"/>
    <xf numFmtId="166" fontId="0" fillId="3" borderId="0" xfId="2" applyNumberFormat="1" applyFont="1" applyFill="1"/>
    <xf numFmtId="0" fontId="12" fillId="0" borderId="0" xfId="0" applyFont="1"/>
  </cellXfs>
  <cellStyles count="4">
    <cellStyle name="Comma" xfId="1" builtinId="3"/>
    <cellStyle name="Currency" xfId="2" builtinId="4"/>
    <cellStyle name="Normal" xfId="0" builtinId="0"/>
    <cellStyle name="Normal 3 2" xfId="3" xr:uid="{E78CFDF2-B1BE-43F0-81C2-B510E0834A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6B0E-05D4-4599-BAF8-E6C683416D99}">
  <dimension ref="A1:W23"/>
  <sheetViews>
    <sheetView tabSelected="1" workbookViewId="0">
      <selection activeCell="K13" sqref="K13"/>
    </sheetView>
  </sheetViews>
  <sheetFormatPr defaultRowHeight="14.5" x14ac:dyDescent="0.35"/>
  <cols>
    <col min="1" max="1" width="15.36328125" bestFit="1" customWidth="1"/>
    <col min="2" max="2" width="18.54296875" bestFit="1" customWidth="1"/>
    <col min="3" max="3" width="25.36328125" bestFit="1" customWidth="1"/>
    <col min="4" max="4" width="10.453125" bestFit="1" customWidth="1"/>
    <col min="5" max="5" width="8.54296875" bestFit="1" customWidth="1"/>
    <col min="6" max="6" width="8.54296875" customWidth="1"/>
    <col min="7" max="7" width="7.54296875" bestFit="1" customWidth="1"/>
    <col min="8" max="8" width="13.26953125" bestFit="1" customWidth="1"/>
    <col min="9" max="9" width="10" bestFit="1" customWidth="1"/>
  </cols>
  <sheetData>
    <row r="1" spans="1:23" ht="16" x14ac:dyDescent="0.5">
      <c r="A1" s="10" t="s">
        <v>23</v>
      </c>
      <c r="B1" s="11" t="s">
        <v>0</v>
      </c>
      <c r="C1" s="12" t="s">
        <v>1</v>
      </c>
      <c r="D1" s="13" t="s">
        <v>2</v>
      </c>
      <c r="E1" s="13" t="s">
        <v>3</v>
      </c>
      <c r="F1" s="27" t="s">
        <v>29</v>
      </c>
      <c r="G1" s="27" t="s">
        <v>4</v>
      </c>
      <c r="H1" s="13" t="s">
        <v>5</v>
      </c>
      <c r="I1" s="13" t="s">
        <v>6</v>
      </c>
      <c r="J1" s="13" t="s">
        <v>28</v>
      </c>
      <c r="K1" s="7">
        <v>46048</v>
      </c>
      <c r="L1" s="7">
        <v>46079</v>
      </c>
      <c r="M1" s="7">
        <v>46107</v>
      </c>
      <c r="N1" s="7">
        <v>46138</v>
      </c>
      <c r="O1" s="7">
        <v>46168</v>
      </c>
      <c r="P1" s="7">
        <v>46199</v>
      </c>
      <c r="Q1" s="7">
        <v>46229</v>
      </c>
      <c r="R1" s="7">
        <v>46260</v>
      </c>
      <c r="S1" s="7">
        <v>46291</v>
      </c>
      <c r="T1" s="7">
        <v>46321</v>
      </c>
      <c r="U1" s="7">
        <v>46352</v>
      </c>
      <c r="V1" s="7">
        <v>46382</v>
      </c>
      <c r="W1" s="30" t="s">
        <v>6</v>
      </c>
    </row>
    <row r="2" spans="1:23" ht="16" x14ac:dyDescent="0.5">
      <c r="A2" s="14"/>
      <c r="B2" s="15"/>
      <c r="C2" s="15"/>
      <c r="D2" s="13"/>
      <c r="E2" s="13"/>
      <c r="F2" s="16"/>
      <c r="H2" s="17">
        <v>0.18</v>
      </c>
      <c r="I2" s="13"/>
      <c r="J2" s="14" t="s">
        <v>24</v>
      </c>
    </row>
    <row r="3" spans="1:23" x14ac:dyDescent="0.35">
      <c r="A3" s="14" t="s">
        <v>26</v>
      </c>
      <c r="B3" s="18" t="s">
        <v>17</v>
      </c>
      <c r="C3" s="18" t="s">
        <v>7</v>
      </c>
      <c r="D3" s="19">
        <v>43417</v>
      </c>
      <c r="E3" s="20">
        <v>125000</v>
      </c>
      <c r="F3" s="26">
        <v>0.1</v>
      </c>
      <c r="G3" s="2">
        <f>E3*F3</f>
        <v>12500</v>
      </c>
      <c r="H3" s="3">
        <f>(SUM(E3:G3)-F3)*$H$2</f>
        <v>24750</v>
      </c>
      <c r="I3" s="3">
        <f>SUM(E3:H3)-F3</f>
        <v>162250</v>
      </c>
      <c r="J3" s="21">
        <v>0.1</v>
      </c>
      <c r="K3" s="8">
        <f>$I3/12</f>
        <v>13520.833333333334</v>
      </c>
      <c r="L3" s="8">
        <f t="shared" ref="K3:M6" si="0">$I3/12</f>
        <v>13520.833333333334</v>
      </c>
      <c r="M3" s="8">
        <f t="shared" si="0"/>
        <v>13520.833333333334</v>
      </c>
      <c r="N3" s="8">
        <f>($I3+($I3*10%))/12</f>
        <v>14872.916666666666</v>
      </c>
      <c r="O3" s="8">
        <f t="shared" ref="O3:V8" si="1">($I3+($I3*10%))/12</f>
        <v>14872.916666666666</v>
      </c>
      <c r="P3" s="8">
        <f t="shared" si="1"/>
        <v>14872.916666666666</v>
      </c>
      <c r="Q3" s="8">
        <f t="shared" si="1"/>
        <v>14872.916666666666</v>
      </c>
      <c r="R3" s="8">
        <f t="shared" si="1"/>
        <v>14872.916666666666</v>
      </c>
      <c r="S3" s="8">
        <f t="shared" si="1"/>
        <v>14872.916666666666</v>
      </c>
      <c r="T3" s="8">
        <f t="shared" si="1"/>
        <v>14872.916666666666</v>
      </c>
      <c r="U3" s="8">
        <f t="shared" si="1"/>
        <v>14872.916666666666</v>
      </c>
      <c r="V3" s="8">
        <f t="shared" si="1"/>
        <v>14872.916666666666</v>
      </c>
      <c r="W3" s="8">
        <f>SUM(K3:V3)</f>
        <v>174418.75</v>
      </c>
    </row>
    <row r="4" spans="1:23" x14ac:dyDescent="0.35">
      <c r="A4" s="14" t="s">
        <v>26</v>
      </c>
      <c r="B4" s="18" t="s">
        <v>18</v>
      </c>
      <c r="C4" s="18" t="s">
        <v>8</v>
      </c>
      <c r="D4" s="19">
        <v>45215</v>
      </c>
      <c r="E4" s="20">
        <f>100000*2</f>
        <v>200000</v>
      </c>
      <c r="F4" s="26">
        <v>0.1</v>
      </c>
      <c r="G4" s="2">
        <f>E4*F4</f>
        <v>20000</v>
      </c>
      <c r="H4" s="3">
        <f>(SUM(E4:G4)-F4)*$H$2</f>
        <v>39600</v>
      </c>
      <c r="I4" s="3">
        <f>SUM(E4:H4)-F4</f>
        <v>259600</v>
      </c>
      <c r="J4" s="21">
        <v>0.1</v>
      </c>
      <c r="K4" s="8">
        <f>$I4/12</f>
        <v>21633.333333333332</v>
      </c>
      <c r="L4" s="8">
        <f t="shared" si="0"/>
        <v>21633.333333333332</v>
      </c>
      <c r="M4" s="8">
        <f t="shared" si="0"/>
        <v>21633.333333333332</v>
      </c>
      <c r="N4" s="8">
        <f>($I4+($I4*10%))/12</f>
        <v>23796.666666666668</v>
      </c>
      <c r="O4" s="8">
        <f t="shared" si="1"/>
        <v>23796.666666666668</v>
      </c>
      <c r="P4" s="8">
        <f t="shared" si="1"/>
        <v>23796.666666666668</v>
      </c>
      <c r="Q4" s="8">
        <f t="shared" si="1"/>
        <v>23796.666666666668</v>
      </c>
      <c r="R4" s="8">
        <f t="shared" si="1"/>
        <v>23796.666666666668</v>
      </c>
      <c r="S4" s="8">
        <f t="shared" si="1"/>
        <v>23796.666666666668</v>
      </c>
      <c r="T4" s="8">
        <f t="shared" si="1"/>
        <v>23796.666666666668</v>
      </c>
      <c r="U4" s="8">
        <f t="shared" si="1"/>
        <v>23796.666666666668</v>
      </c>
      <c r="V4" s="8">
        <f t="shared" si="1"/>
        <v>23796.666666666668</v>
      </c>
      <c r="W4" s="8">
        <f t="shared" ref="W4:W11" si="2">SUM(K4:V4)</f>
        <v>279069.99999999994</v>
      </c>
    </row>
    <row r="5" spans="1:23" x14ac:dyDescent="0.35">
      <c r="A5" s="14" t="s">
        <v>26</v>
      </c>
      <c r="B5" s="18" t="s">
        <v>19</v>
      </c>
      <c r="C5" s="18" t="s">
        <v>8</v>
      </c>
      <c r="D5" s="19"/>
      <c r="E5" s="20">
        <f>208000/2</f>
        <v>104000</v>
      </c>
      <c r="F5" s="26">
        <v>0.1</v>
      </c>
      <c r="G5" s="2">
        <f t="shared" ref="G5:G11" si="3">E5*F5</f>
        <v>10400</v>
      </c>
      <c r="H5" s="3">
        <f t="shared" ref="H5:H10" si="4">(SUM(E5:G5)-F5)*$H$2</f>
        <v>20592</v>
      </c>
      <c r="I5" s="3">
        <f t="shared" ref="I5:I11" si="5">SUM(E5:H5)-F5</f>
        <v>134992</v>
      </c>
      <c r="J5" s="21">
        <v>0.1</v>
      </c>
      <c r="K5" s="8">
        <f>$I5/12</f>
        <v>11249.333333333334</v>
      </c>
      <c r="L5" s="8">
        <f t="shared" si="0"/>
        <v>11249.333333333334</v>
      </c>
      <c r="M5" s="8">
        <f t="shared" si="0"/>
        <v>11249.333333333334</v>
      </c>
      <c r="N5" s="8">
        <f>($I5+($I5*10%))/12</f>
        <v>12374.266666666668</v>
      </c>
      <c r="O5" s="8">
        <f t="shared" si="1"/>
        <v>12374.266666666668</v>
      </c>
      <c r="P5" s="8">
        <f t="shared" si="1"/>
        <v>12374.266666666668</v>
      </c>
      <c r="Q5" s="8">
        <f t="shared" si="1"/>
        <v>12374.266666666668</v>
      </c>
      <c r="R5" s="8">
        <f t="shared" si="1"/>
        <v>12374.266666666668</v>
      </c>
      <c r="S5" s="8">
        <f t="shared" si="1"/>
        <v>12374.266666666668</v>
      </c>
      <c r="T5" s="8">
        <f t="shared" si="1"/>
        <v>12374.266666666668</v>
      </c>
      <c r="U5" s="8">
        <f t="shared" si="1"/>
        <v>12374.266666666668</v>
      </c>
      <c r="V5" s="8">
        <f t="shared" si="1"/>
        <v>12374.266666666668</v>
      </c>
      <c r="W5" s="8">
        <f t="shared" si="2"/>
        <v>145116.4</v>
      </c>
    </row>
    <row r="6" spans="1:23" x14ac:dyDescent="0.35">
      <c r="A6" s="14" t="s">
        <v>26</v>
      </c>
      <c r="B6" s="18" t="s">
        <v>20</v>
      </c>
      <c r="C6" s="18" t="s">
        <v>9</v>
      </c>
      <c r="D6" s="19">
        <v>45440</v>
      </c>
      <c r="E6" s="20">
        <v>75000</v>
      </c>
      <c r="F6" s="26">
        <v>0.1</v>
      </c>
      <c r="G6" s="2">
        <f t="shared" si="3"/>
        <v>7500</v>
      </c>
      <c r="H6" s="3">
        <f t="shared" si="4"/>
        <v>14850</v>
      </c>
      <c r="I6" s="3">
        <f t="shared" si="5"/>
        <v>97350</v>
      </c>
      <c r="J6" s="21">
        <v>0.1</v>
      </c>
      <c r="K6" s="8">
        <f>$I6/12</f>
        <v>8112.5</v>
      </c>
      <c r="L6" s="8">
        <f t="shared" si="0"/>
        <v>8112.5</v>
      </c>
      <c r="M6" s="8">
        <f t="shared" si="0"/>
        <v>8112.5</v>
      </c>
      <c r="N6" s="8">
        <f>($I6+($I6*10%))/12</f>
        <v>8923.75</v>
      </c>
      <c r="O6" s="8">
        <f t="shared" si="1"/>
        <v>8923.75</v>
      </c>
      <c r="P6" s="8">
        <f t="shared" si="1"/>
        <v>8923.75</v>
      </c>
      <c r="Q6" s="8">
        <f t="shared" si="1"/>
        <v>8923.75</v>
      </c>
      <c r="R6" s="8">
        <f t="shared" si="1"/>
        <v>8923.75</v>
      </c>
      <c r="S6" s="8">
        <f t="shared" si="1"/>
        <v>8923.75</v>
      </c>
      <c r="T6" s="8">
        <f t="shared" si="1"/>
        <v>8923.75</v>
      </c>
      <c r="U6" s="8">
        <f t="shared" si="1"/>
        <v>8923.75</v>
      </c>
      <c r="V6" s="8">
        <f t="shared" si="1"/>
        <v>8923.75</v>
      </c>
      <c r="W6" s="8">
        <f t="shared" si="2"/>
        <v>104651.25</v>
      </c>
    </row>
    <row r="7" spans="1:23" x14ac:dyDescent="0.35">
      <c r="A7" s="14" t="s">
        <v>26</v>
      </c>
      <c r="B7" s="22" t="s">
        <v>10</v>
      </c>
      <c r="C7" s="18" t="s">
        <v>11</v>
      </c>
      <c r="D7" s="19">
        <v>46113</v>
      </c>
      <c r="E7" s="20">
        <v>100000</v>
      </c>
      <c r="F7" s="26">
        <v>0.1</v>
      </c>
      <c r="G7" s="2">
        <f t="shared" si="3"/>
        <v>10000</v>
      </c>
      <c r="H7" s="3">
        <f t="shared" si="4"/>
        <v>19800</v>
      </c>
      <c r="I7" s="3">
        <f t="shared" si="5"/>
        <v>129800</v>
      </c>
      <c r="J7" s="21">
        <v>0.1</v>
      </c>
      <c r="K7" s="8"/>
      <c r="L7" s="8"/>
      <c r="M7" s="8"/>
      <c r="N7" s="8">
        <f>($I7+($I7*10%))/12</f>
        <v>11898.333333333334</v>
      </c>
      <c r="O7" s="8">
        <f t="shared" si="1"/>
        <v>11898.333333333334</v>
      </c>
      <c r="P7" s="8">
        <f t="shared" si="1"/>
        <v>11898.333333333334</v>
      </c>
      <c r="Q7" s="8">
        <f t="shared" si="1"/>
        <v>11898.333333333334</v>
      </c>
      <c r="R7" s="8">
        <f t="shared" si="1"/>
        <v>11898.333333333334</v>
      </c>
      <c r="S7" s="8">
        <f t="shared" si="1"/>
        <v>11898.333333333334</v>
      </c>
      <c r="T7" s="8">
        <f t="shared" si="1"/>
        <v>11898.333333333334</v>
      </c>
      <c r="U7" s="8">
        <f t="shared" si="1"/>
        <v>11898.333333333334</v>
      </c>
      <c r="V7" s="8">
        <f t="shared" si="1"/>
        <v>11898.333333333334</v>
      </c>
      <c r="W7" s="8">
        <f t="shared" si="2"/>
        <v>107084.99999999999</v>
      </c>
    </row>
    <row r="8" spans="1:23" x14ac:dyDescent="0.35">
      <c r="A8" s="14" t="s">
        <v>26</v>
      </c>
      <c r="B8" s="22" t="s">
        <v>10</v>
      </c>
      <c r="C8" s="18" t="s">
        <v>12</v>
      </c>
      <c r="D8" s="23">
        <v>46174</v>
      </c>
      <c r="E8" s="20">
        <v>150000</v>
      </c>
      <c r="F8" s="26">
        <v>0.1</v>
      </c>
      <c r="G8" s="2">
        <f t="shared" si="3"/>
        <v>15000</v>
      </c>
      <c r="H8" s="3">
        <f t="shared" si="4"/>
        <v>29700</v>
      </c>
      <c r="I8" s="3">
        <f t="shared" si="5"/>
        <v>194700</v>
      </c>
      <c r="J8" s="21">
        <v>0.1</v>
      </c>
      <c r="K8" s="8"/>
      <c r="L8" s="8"/>
      <c r="M8" s="8"/>
      <c r="N8" s="8"/>
      <c r="O8" s="8"/>
      <c r="P8" s="8">
        <f t="shared" si="1"/>
        <v>17847.5</v>
      </c>
      <c r="Q8" s="8">
        <f t="shared" si="1"/>
        <v>17847.5</v>
      </c>
      <c r="R8" s="8">
        <f t="shared" si="1"/>
        <v>17847.5</v>
      </c>
      <c r="S8" s="8">
        <f t="shared" si="1"/>
        <v>17847.5</v>
      </c>
      <c r="T8" s="8">
        <f t="shared" si="1"/>
        <v>17847.5</v>
      </c>
      <c r="U8" s="8">
        <f t="shared" si="1"/>
        <v>17847.5</v>
      </c>
      <c r="V8" s="8">
        <f t="shared" si="1"/>
        <v>17847.5</v>
      </c>
      <c r="W8" s="8">
        <f t="shared" si="2"/>
        <v>124932.5</v>
      </c>
    </row>
    <row r="9" spans="1:23" x14ac:dyDescent="0.35">
      <c r="A9" s="14" t="s">
        <v>26</v>
      </c>
      <c r="B9" s="24" t="s">
        <v>21</v>
      </c>
      <c r="C9" s="18" t="s">
        <v>13</v>
      </c>
      <c r="D9" s="23">
        <v>45689</v>
      </c>
      <c r="E9" s="20">
        <v>150000</v>
      </c>
      <c r="F9" s="26">
        <v>0.1</v>
      </c>
      <c r="G9" s="2">
        <f t="shared" si="3"/>
        <v>15000</v>
      </c>
      <c r="H9" s="3">
        <f t="shared" si="4"/>
        <v>29700</v>
      </c>
      <c r="I9" s="3">
        <f t="shared" si="5"/>
        <v>194700</v>
      </c>
      <c r="J9" s="21">
        <v>0.1</v>
      </c>
      <c r="K9" s="8">
        <f t="shared" ref="K9:M10" si="6">$I9/12</f>
        <v>16225</v>
      </c>
      <c r="L9" s="8">
        <f t="shared" si="6"/>
        <v>16225</v>
      </c>
      <c r="M9" s="8">
        <f t="shared" si="6"/>
        <v>16225</v>
      </c>
      <c r="N9" s="8">
        <f t="shared" ref="N9:V10" si="7">($I9+($I9*10%))/12</f>
        <v>17847.5</v>
      </c>
      <c r="O9" s="8">
        <f t="shared" si="7"/>
        <v>17847.5</v>
      </c>
      <c r="P9" s="8">
        <f t="shared" si="7"/>
        <v>17847.5</v>
      </c>
      <c r="Q9" s="8">
        <f t="shared" si="7"/>
        <v>17847.5</v>
      </c>
      <c r="R9" s="8">
        <f t="shared" si="7"/>
        <v>17847.5</v>
      </c>
      <c r="S9" s="8">
        <f t="shared" si="7"/>
        <v>17847.5</v>
      </c>
      <c r="T9" s="8">
        <f t="shared" si="7"/>
        <v>17847.5</v>
      </c>
      <c r="U9" s="8">
        <f t="shared" si="7"/>
        <v>17847.5</v>
      </c>
      <c r="V9" s="8">
        <f t="shared" si="7"/>
        <v>17847.5</v>
      </c>
      <c r="W9" s="8">
        <f t="shared" si="2"/>
        <v>209302.5</v>
      </c>
    </row>
    <row r="10" spans="1:23" x14ac:dyDescent="0.35">
      <c r="A10" s="14" t="s">
        <v>26</v>
      </c>
      <c r="B10" s="18" t="s">
        <v>22</v>
      </c>
      <c r="C10" s="18" t="s">
        <v>14</v>
      </c>
      <c r="D10" s="19">
        <v>45091</v>
      </c>
      <c r="E10" s="20">
        <f>767.04*12</f>
        <v>9204.48</v>
      </c>
      <c r="F10" s="26">
        <v>0.1</v>
      </c>
      <c r="G10" s="2">
        <f t="shared" si="3"/>
        <v>920.44799999999998</v>
      </c>
      <c r="H10" s="3">
        <f t="shared" si="4"/>
        <v>1822.48704</v>
      </c>
      <c r="I10" s="3">
        <f t="shared" si="5"/>
        <v>11947.41504</v>
      </c>
      <c r="J10" s="21">
        <v>0.1</v>
      </c>
      <c r="K10" s="8">
        <f t="shared" si="6"/>
        <v>995.61792000000003</v>
      </c>
      <c r="L10" s="8">
        <f t="shared" si="6"/>
        <v>995.61792000000003</v>
      </c>
      <c r="M10" s="8">
        <f t="shared" si="6"/>
        <v>995.61792000000003</v>
      </c>
      <c r="N10" s="8">
        <f t="shared" si="7"/>
        <v>1095.1797119999999</v>
      </c>
      <c r="O10" s="8">
        <f t="shared" si="7"/>
        <v>1095.1797119999999</v>
      </c>
      <c r="P10" s="8">
        <f t="shared" si="7"/>
        <v>1095.1797119999999</v>
      </c>
      <c r="Q10" s="8">
        <f t="shared" si="7"/>
        <v>1095.1797119999999</v>
      </c>
      <c r="R10" s="8">
        <f t="shared" si="7"/>
        <v>1095.1797119999999</v>
      </c>
      <c r="S10" s="8">
        <f t="shared" si="7"/>
        <v>1095.1797119999999</v>
      </c>
      <c r="T10" s="8">
        <f t="shared" si="7"/>
        <v>1095.1797119999999</v>
      </c>
      <c r="U10" s="8">
        <f t="shared" si="7"/>
        <v>1095.1797119999999</v>
      </c>
      <c r="V10" s="8">
        <f t="shared" si="7"/>
        <v>1095.1797119999999</v>
      </c>
      <c r="W10" s="8">
        <f t="shared" si="2"/>
        <v>12843.471167999996</v>
      </c>
    </row>
    <row r="11" spans="1:23" x14ac:dyDescent="0.35">
      <c r="A11" s="14" t="s">
        <v>27</v>
      </c>
      <c r="B11" s="25" t="s">
        <v>15</v>
      </c>
      <c r="C11" s="18" t="s">
        <v>25</v>
      </c>
      <c r="D11" s="23">
        <v>46023</v>
      </c>
      <c r="E11" s="20">
        <v>15000</v>
      </c>
      <c r="F11" s="26">
        <v>0.1</v>
      </c>
      <c r="G11" s="2">
        <f t="shared" si="3"/>
        <v>1500</v>
      </c>
      <c r="H11" s="29">
        <v>0</v>
      </c>
      <c r="I11" s="3">
        <f t="shared" si="5"/>
        <v>16500</v>
      </c>
      <c r="J11" s="32">
        <v>0</v>
      </c>
      <c r="K11" s="8">
        <f>$I11/12</f>
        <v>1375</v>
      </c>
      <c r="L11" s="8">
        <f t="shared" ref="L11:V11" si="8">$I11/12</f>
        <v>1375</v>
      </c>
      <c r="M11" s="8">
        <f t="shared" si="8"/>
        <v>1375</v>
      </c>
      <c r="N11" s="8">
        <f t="shared" si="8"/>
        <v>1375</v>
      </c>
      <c r="O11" s="8">
        <f t="shared" si="8"/>
        <v>1375</v>
      </c>
      <c r="P11" s="8">
        <f t="shared" si="8"/>
        <v>1375</v>
      </c>
      <c r="Q11" s="8">
        <f t="shared" si="8"/>
        <v>1375</v>
      </c>
      <c r="R11" s="8">
        <f t="shared" si="8"/>
        <v>1375</v>
      </c>
      <c r="S11" s="8">
        <f t="shared" si="8"/>
        <v>1375</v>
      </c>
      <c r="T11" s="8">
        <f t="shared" si="8"/>
        <v>1375</v>
      </c>
      <c r="U11" s="8">
        <f t="shared" si="8"/>
        <v>1375</v>
      </c>
      <c r="V11" s="8">
        <f t="shared" si="8"/>
        <v>1375</v>
      </c>
      <c r="W11" s="8">
        <f t="shared" si="2"/>
        <v>16500</v>
      </c>
    </row>
    <row r="13" spans="1:23" x14ac:dyDescent="0.35">
      <c r="B13" s="4"/>
      <c r="C13" s="5" t="s">
        <v>16</v>
      </c>
      <c r="D13" s="1"/>
      <c r="E13" s="6">
        <f>SUM(E3:E12)</f>
        <v>928204.48</v>
      </c>
      <c r="F13" s="6"/>
      <c r="G13" s="6">
        <f>SUM(G3:G12)</f>
        <v>92820.448000000004</v>
      </c>
      <c r="H13" s="6">
        <f>SUM(H3:H12)</f>
        <v>180814.48704000001</v>
      </c>
      <c r="I13" s="6">
        <f>SUM(I3:I12)</f>
        <v>1201839.4150400001</v>
      </c>
      <c r="K13" s="8">
        <f>SUM(K3:K11)</f>
        <v>73111.617920000004</v>
      </c>
      <c r="L13" s="8">
        <f t="shared" ref="L13:V13" si="9">SUM(L3:L11)</f>
        <v>73111.617920000004</v>
      </c>
      <c r="M13" s="8">
        <f t="shared" si="9"/>
        <v>73111.617920000004</v>
      </c>
      <c r="N13" s="8">
        <f t="shared" si="9"/>
        <v>92183.613045333332</v>
      </c>
      <c r="O13" s="8">
        <f t="shared" si="9"/>
        <v>92183.613045333332</v>
      </c>
      <c r="P13" s="8">
        <f t="shared" si="9"/>
        <v>110031.11304533333</v>
      </c>
      <c r="Q13" s="8">
        <f t="shared" si="9"/>
        <v>110031.11304533333</v>
      </c>
      <c r="R13" s="8">
        <f t="shared" si="9"/>
        <v>110031.11304533333</v>
      </c>
      <c r="S13" s="8">
        <f t="shared" si="9"/>
        <v>110031.11304533333</v>
      </c>
      <c r="T13" s="8">
        <f t="shared" si="9"/>
        <v>110031.11304533333</v>
      </c>
      <c r="U13" s="8">
        <f t="shared" si="9"/>
        <v>110031.11304533333</v>
      </c>
      <c r="V13" s="8">
        <f t="shared" si="9"/>
        <v>110031.11304533333</v>
      </c>
    </row>
    <row r="14" spans="1:23" x14ac:dyDescent="0.35">
      <c r="A14" s="33" t="s">
        <v>33</v>
      </c>
      <c r="B14" t="s">
        <v>36</v>
      </c>
    </row>
    <row r="15" spans="1:23" x14ac:dyDescent="0.35">
      <c r="A15" s="34" t="s">
        <v>26</v>
      </c>
      <c r="K15" s="8">
        <f>COUNT(K3:K10)</f>
        <v>6</v>
      </c>
      <c r="L15" s="8">
        <f t="shared" ref="L15:V15" si="10">COUNT(L3:L10)</f>
        <v>6</v>
      </c>
      <c r="M15" s="8">
        <f t="shared" si="10"/>
        <v>6</v>
      </c>
      <c r="N15" s="8">
        <f t="shared" si="10"/>
        <v>7</v>
      </c>
      <c r="O15" s="8">
        <f t="shared" si="10"/>
        <v>7</v>
      </c>
      <c r="P15" s="8">
        <f t="shared" si="10"/>
        <v>8</v>
      </c>
      <c r="Q15" s="8">
        <f t="shared" si="10"/>
        <v>8</v>
      </c>
      <c r="R15" s="8">
        <f t="shared" si="10"/>
        <v>8</v>
      </c>
      <c r="S15" s="8">
        <f t="shared" si="10"/>
        <v>8</v>
      </c>
      <c r="T15" s="8">
        <f t="shared" si="10"/>
        <v>8</v>
      </c>
      <c r="U15" s="8">
        <f t="shared" si="10"/>
        <v>8</v>
      </c>
      <c r="V15" s="8">
        <f t="shared" si="10"/>
        <v>8</v>
      </c>
    </row>
    <row r="16" spans="1:23" x14ac:dyDescent="0.35">
      <c r="A16" s="34" t="s">
        <v>27</v>
      </c>
      <c r="K16" s="8">
        <f>1</f>
        <v>1</v>
      </c>
      <c r="L16" s="8">
        <f>1</f>
        <v>1</v>
      </c>
      <c r="M16" s="8">
        <f>1</f>
        <v>1</v>
      </c>
      <c r="N16" s="8">
        <f>1</f>
        <v>1</v>
      </c>
      <c r="O16" s="8">
        <f>1</f>
        <v>1</v>
      </c>
      <c r="P16" s="8">
        <f>1</f>
        <v>1</v>
      </c>
      <c r="Q16" s="8">
        <f>1</f>
        <v>1</v>
      </c>
      <c r="R16" s="8">
        <f>1</f>
        <v>1</v>
      </c>
      <c r="S16" s="8">
        <f>1</f>
        <v>1</v>
      </c>
      <c r="T16" s="8">
        <f>1</f>
        <v>1</v>
      </c>
      <c r="U16" s="8">
        <f>1</f>
        <v>1</v>
      </c>
      <c r="V16" s="8">
        <f>1</f>
        <v>1</v>
      </c>
    </row>
    <row r="17" spans="1:22" x14ac:dyDescent="0.35">
      <c r="A17" s="3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35">
      <c r="A18" s="34" t="s">
        <v>34</v>
      </c>
      <c r="B18" s="35">
        <v>140</v>
      </c>
      <c r="K18" s="8">
        <f>K15*$B18</f>
        <v>840</v>
      </c>
      <c r="L18" s="8">
        <f>L15*$B18</f>
        <v>840</v>
      </c>
      <c r="M18" s="8">
        <f>M15*$B18</f>
        <v>840</v>
      </c>
      <c r="N18" s="8">
        <f>N15*$B18</f>
        <v>980</v>
      </c>
      <c r="O18" s="8">
        <f>O15*$B18</f>
        <v>980</v>
      </c>
      <c r="P18" s="8">
        <f>P15*$B18</f>
        <v>1120</v>
      </c>
      <c r="Q18" s="8">
        <f>Q15*$B18</f>
        <v>1120</v>
      </c>
      <c r="R18" s="8">
        <f>R15*$B18</f>
        <v>1120</v>
      </c>
      <c r="S18" s="8">
        <f>S15*$B18</f>
        <v>1120</v>
      </c>
      <c r="T18" s="8">
        <f>T15*$B18</f>
        <v>1120</v>
      </c>
      <c r="U18" s="8">
        <f>U15*$B18</f>
        <v>1120</v>
      </c>
      <c r="V18" s="8">
        <f>V15*$B18</f>
        <v>1120</v>
      </c>
    </row>
    <row r="19" spans="1:22" x14ac:dyDescent="0.35">
      <c r="A19" s="34" t="s">
        <v>35</v>
      </c>
      <c r="B19" s="35">
        <v>75</v>
      </c>
      <c r="K19" s="8">
        <f>K15*$B19</f>
        <v>450</v>
      </c>
      <c r="L19" s="8">
        <f t="shared" ref="L19:V19" si="11">L15*$B19</f>
        <v>450</v>
      </c>
      <c r="M19" s="8">
        <f t="shared" si="11"/>
        <v>450</v>
      </c>
      <c r="N19" s="8">
        <f t="shared" si="11"/>
        <v>525</v>
      </c>
      <c r="O19" s="8">
        <f t="shared" si="11"/>
        <v>525</v>
      </c>
      <c r="P19" s="8">
        <f t="shared" si="11"/>
        <v>600</v>
      </c>
      <c r="Q19" s="8">
        <f t="shared" si="11"/>
        <v>600</v>
      </c>
      <c r="R19" s="8">
        <f t="shared" si="11"/>
        <v>600</v>
      </c>
      <c r="S19" s="8">
        <f t="shared" si="11"/>
        <v>600</v>
      </c>
      <c r="T19" s="8">
        <f t="shared" si="11"/>
        <v>600</v>
      </c>
      <c r="U19" s="8">
        <f t="shared" si="11"/>
        <v>600</v>
      </c>
      <c r="V19" s="8">
        <f t="shared" si="11"/>
        <v>600</v>
      </c>
    </row>
    <row r="20" spans="1:22" x14ac:dyDescent="0.35">
      <c r="A20" s="34"/>
    </row>
    <row r="21" spans="1:22" x14ac:dyDescent="0.35">
      <c r="F21" s="9" t="s">
        <v>32</v>
      </c>
    </row>
    <row r="22" spans="1:22" x14ac:dyDescent="0.35">
      <c r="F22" s="28" t="s">
        <v>31</v>
      </c>
    </row>
    <row r="23" spans="1:22" x14ac:dyDescent="0.35">
      <c r="F23" s="31" t="s">
        <v>30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EC8D-4680-48EC-9EA8-80380538CE1E}">
  <dimension ref="A1:Q28"/>
  <sheetViews>
    <sheetView workbookViewId="0">
      <selection activeCell="E27" sqref="E27"/>
    </sheetView>
  </sheetViews>
  <sheetFormatPr defaultRowHeight="14.5" x14ac:dyDescent="0.35"/>
  <cols>
    <col min="1" max="1" width="25.6328125" bestFit="1" customWidth="1"/>
    <col min="2" max="2" width="12.81640625" bestFit="1" customWidth="1"/>
    <col min="3" max="3" width="12.81640625" customWidth="1"/>
    <col min="4" max="4" width="8.54296875" customWidth="1"/>
  </cols>
  <sheetData>
    <row r="1" spans="1:17" x14ac:dyDescent="0.35">
      <c r="A1" s="36" t="s">
        <v>55</v>
      </c>
      <c r="B1" t="s">
        <v>63</v>
      </c>
      <c r="C1" t="s">
        <v>65</v>
      </c>
      <c r="D1" t="s">
        <v>64</v>
      </c>
      <c r="E1" s="7">
        <v>46048</v>
      </c>
      <c r="F1" s="7">
        <v>46079</v>
      </c>
      <c r="G1" s="7">
        <v>46107</v>
      </c>
      <c r="H1" s="7">
        <v>46138</v>
      </c>
      <c r="I1" s="7">
        <v>46168</v>
      </c>
      <c r="J1" s="7">
        <v>46199</v>
      </c>
      <c r="K1" s="7">
        <v>46229</v>
      </c>
      <c r="L1" s="7">
        <v>46260</v>
      </c>
      <c r="M1" s="7">
        <v>46291</v>
      </c>
      <c r="N1" s="7">
        <v>46321</v>
      </c>
      <c r="O1" s="7">
        <v>46352</v>
      </c>
      <c r="P1" s="7">
        <v>46382</v>
      </c>
      <c r="Q1" s="30" t="s">
        <v>6</v>
      </c>
    </row>
    <row r="2" spans="1:17" x14ac:dyDescent="0.35">
      <c r="A2" s="14" t="s">
        <v>37</v>
      </c>
      <c r="B2" s="14"/>
      <c r="C2" s="14"/>
      <c r="D2" s="14"/>
      <c r="E2">
        <f>D2/12</f>
        <v>0</v>
      </c>
    </row>
    <row r="3" spans="1:17" x14ac:dyDescent="0.35">
      <c r="A3" s="14" t="s">
        <v>38</v>
      </c>
      <c r="B3" s="14"/>
      <c r="C3" s="14"/>
      <c r="D3" s="14"/>
    </row>
    <row r="4" spans="1:17" x14ac:dyDescent="0.35">
      <c r="A4" s="14" t="s">
        <v>39</v>
      </c>
      <c r="B4" s="14"/>
      <c r="C4" s="14"/>
      <c r="D4" s="14"/>
    </row>
    <row r="5" spans="1:17" x14ac:dyDescent="0.35">
      <c r="A5" s="14" t="s">
        <v>40</v>
      </c>
      <c r="B5" s="14"/>
      <c r="C5" s="14"/>
      <c r="D5" s="14"/>
    </row>
    <row r="6" spans="1:17" x14ac:dyDescent="0.35">
      <c r="A6" s="14" t="s">
        <v>41</v>
      </c>
      <c r="B6" s="14"/>
      <c r="C6" s="14"/>
      <c r="D6" s="14"/>
    </row>
    <row r="7" spans="1:17" x14ac:dyDescent="0.35">
      <c r="A7" s="14" t="s">
        <v>42</v>
      </c>
      <c r="B7" s="14"/>
      <c r="C7" s="14"/>
      <c r="D7" s="14"/>
    </row>
    <row r="8" spans="1:17" x14ac:dyDescent="0.35">
      <c r="A8" s="14" t="s">
        <v>43</v>
      </c>
      <c r="B8" s="14"/>
      <c r="C8" s="14"/>
      <c r="D8" s="14"/>
    </row>
    <row r="9" spans="1:17" x14ac:dyDescent="0.35">
      <c r="A9" s="14" t="s">
        <v>44</v>
      </c>
      <c r="B9" s="14"/>
      <c r="C9" s="14"/>
      <c r="D9" s="14"/>
    </row>
    <row r="10" spans="1:17" x14ac:dyDescent="0.35">
      <c r="A10" s="14" t="s">
        <v>45</v>
      </c>
      <c r="B10" s="14"/>
      <c r="C10" s="14"/>
      <c r="D10" s="14"/>
    </row>
    <row r="11" spans="1:17" x14ac:dyDescent="0.35">
      <c r="A11" s="14" t="s">
        <v>46</v>
      </c>
      <c r="B11" s="14"/>
      <c r="C11" s="14"/>
      <c r="D11" s="14"/>
    </row>
    <row r="12" spans="1:17" x14ac:dyDescent="0.35">
      <c r="A12" s="14" t="s">
        <v>47</v>
      </c>
      <c r="B12" s="14"/>
      <c r="C12" s="14"/>
      <c r="D12" s="14"/>
    </row>
    <row r="13" spans="1:17" x14ac:dyDescent="0.35">
      <c r="A13" s="14" t="s">
        <v>48</v>
      </c>
      <c r="B13" s="14"/>
      <c r="C13" s="14"/>
      <c r="D13" s="14"/>
    </row>
    <row r="14" spans="1:17" x14ac:dyDescent="0.35">
      <c r="A14" s="14" t="s">
        <v>49</v>
      </c>
      <c r="B14" s="14"/>
      <c r="C14" s="14"/>
      <c r="D14" s="14"/>
    </row>
    <row r="15" spans="1:17" x14ac:dyDescent="0.35">
      <c r="A15" s="14" t="s">
        <v>50</v>
      </c>
      <c r="B15" s="14"/>
      <c r="C15" s="14"/>
      <c r="D15" s="14"/>
    </row>
    <row r="16" spans="1:17" x14ac:dyDescent="0.35">
      <c r="A16" s="14" t="s">
        <v>51</v>
      </c>
      <c r="B16" s="14"/>
      <c r="C16" s="14"/>
      <c r="D16" s="14"/>
    </row>
    <row r="17" spans="1:4" x14ac:dyDescent="0.35">
      <c r="A17" s="14" t="s">
        <v>52</v>
      </c>
      <c r="B17" s="14"/>
      <c r="C17" s="14"/>
      <c r="D17" s="14"/>
    </row>
    <row r="18" spans="1:4" x14ac:dyDescent="0.35">
      <c r="A18" s="14" t="s">
        <v>53</v>
      </c>
      <c r="B18" s="14"/>
      <c r="C18" s="14"/>
      <c r="D18" s="14"/>
    </row>
    <row r="19" spans="1:4" x14ac:dyDescent="0.35">
      <c r="A19" s="14" t="s">
        <v>54</v>
      </c>
      <c r="B19" s="14"/>
      <c r="C19" s="14"/>
      <c r="D19" s="14"/>
    </row>
    <row r="20" spans="1:4" x14ac:dyDescent="0.35">
      <c r="A20" s="14" t="s">
        <v>56</v>
      </c>
      <c r="B20" s="14"/>
      <c r="C20" s="14"/>
      <c r="D20" s="14"/>
    </row>
    <row r="21" spans="1:4" x14ac:dyDescent="0.35">
      <c r="A21" s="14" t="s">
        <v>57</v>
      </c>
      <c r="B21" s="14"/>
      <c r="C21" s="14"/>
      <c r="D21" s="14"/>
    </row>
    <row r="22" spans="1:4" x14ac:dyDescent="0.35">
      <c r="A22" s="14" t="s">
        <v>58</v>
      </c>
      <c r="B22" s="14"/>
      <c r="C22" s="14"/>
      <c r="D22" s="14"/>
    </row>
    <row r="23" spans="1:4" x14ac:dyDescent="0.35">
      <c r="A23" s="14" t="s">
        <v>59</v>
      </c>
      <c r="B23" s="14"/>
      <c r="C23" s="14"/>
      <c r="D23" s="14"/>
    </row>
    <row r="24" spans="1:4" x14ac:dyDescent="0.35">
      <c r="A24" s="14" t="s">
        <v>60</v>
      </c>
      <c r="B24" s="14"/>
      <c r="C24" s="14"/>
      <c r="D24" s="14"/>
    </row>
    <row r="25" spans="1:4" x14ac:dyDescent="0.35">
      <c r="A25" s="14" t="s">
        <v>61</v>
      </c>
      <c r="B25" s="14"/>
      <c r="C25" s="14"/>
      <c r="D25" s="14"/>
    </row>
    <row r="26" spans="1:4" x14ac:dyDescent="0.35">
      <c r="A26" s="14" t="s">
        <v>62</v>
      </c>
      <c r="B26" s="14"/>
      <c r="C26" s="14"/>
      <c r="D26" s="14"/>
    </row>
    <row r="28" spans="1:4" x14ac:dyDescent="0.35">
      <c r="A28" t="s">
        <v>66</v>
      </c>
      <c r="B28" t="s">
        <v>67</v>
      </c>
      <c r="C28" t="s">
        <v>67</v>
      </c>
      <c r="D28" t="s">
        <v>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Cost</vt:lpstr>
      <vt:lpstr>Other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2026-05-12T11:23:07Z</dcterms:created>
  <dcterms:modified xsi:type="dcterms:W3CDTF">2026-05-12T13:46:08Z</dcterms:modified>
</cp:coreProperties>
</file>