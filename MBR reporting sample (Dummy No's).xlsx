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drawings/drawing4.xml" ContentType="application/vnd.openxmlformats-officedocument.drawing+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kbbpartners.sharepoint.com/sites/AllCompany/Shared Documents/Shared Accounting/LAC Reporting/2026/2026.03/"/>
    </mc:Choice>
  </mc:AlternateContent>
  <xr:revisionPtr revIDLastSave="931" documentId="13_ncr:1_{103FA2CF-F059-4C53-ABAD-812D3F0DD666}" xr6:coauthVersionLast="47" xr6:coauthVersionMax="47" xr10:uidLastSave="{F8230E93-D94D-4C9C-B3F2-03B0FBD0B301}"/>
  <bookViews>
    <workbookView xWindow="-28920" yWindow="-120" windowWidth="29040" windowHeight="15720" firstSheet="1" activeTab="10" xr2:uid="{0A76EBC6-85BE-4445-BE53-627D8B3A5EC9}"/>
  </bookViews>
  <sheets>
    <sheet name="Report &gt;&gt;" sheetId="23" r:id="rId1"/>
    <sheet name="Executive_Summary" sheetId="3" r:id="rId2"/>
    <sheet name="Sprints_Special_Projects" sheetId="27" state="hidden" r:id="rId3"/>
    <sheet name="Prod Dev" sheetId="6" r:id="rId4"/>
    <sheet name="Sales" sheetId="19" r:id="rId5"/>
    <sheet name="Marketing" sheetId="7" r:id="rId6"/>
    <sheet name="Sales old)" sheetId="1" state="hidden" r:id="rId7"/>
    <sheet name="Customer Success" sheetId="5" r:id="rId8"/>
    <sheet name="Onboarding" sheetId="21" state="hidden" r:id="rId9"/>
    <sheet name="Finance" sheetId="9" r:id="rId10"/>
    <sheet name="Actuals" sheetId="24" r:id="rId11"/>
    <sheet name="Glossary" sheetId="22" r:id="rId12"/>
    <sheet name="Inputs&gt;&gt;" sheetId="25" r:id="rId13"/>
    <sheet name="Budget" sheetId="26" r:id="rId14"/>
    <sheet name="2023 Control" sheetId="28" r:id="rId15"/>
    <sheet name="2024 Control" sheetId="32" r:id="rId16"/>
    <sheet name="S&amp;M Playbook Example" sheetId="4" state="hidden" r:id="rId17"/>
  </sheets>
  <definedNames>
    <definedName name="_xlnm._FilterDatabase" localSheetId="10" hidden="1">Actuals!$B$3:$BM$136</definedName>
    <definedName name="_xlnm._FilterDatabase" localSheetId="13" hidden="1">Budget!$B$3:$AM$137</definedName>
    <definedName name="_xlnm.Print_Area" localSheetId="13">Budget!$A$1:$AQ$24</definedName>
    <definedName name="_xlnm.Print_Area" localSheetId="7">'Customer Success'!$A$1:$BT$45</definedName>
    <definedName name="_xlnm.Print_Area" localSheetId="1">Executive_Summary!$A$1:$E$11</definedName>
    <definedName name="_xlnm.Print_Area" localSheetId="9">Finance!$A$1:$BT$46</definedName>
    <definedName name="_xlnm.Print_Area" localSheetId="11">Glossary!$A$1:$L$32</definedName>
    <definedName name="_xlnm.Print_Area" localSheetId="5">Marketing!$A$1:$BT$44</definedName>
    <definedName name="_xlnm.Print_Area" localSheetId="8">Onboarding!$A$1:$AA$19</definedName>
    <definedName name="_xlnm.Print_Area" localSheetId="3">'Prod Dev'!$A$1:$BT$58</definedName>
    <definedName name="_xlnm.Print_Area" localSheetId="4">Sales!$A$1:$BT$48</definedName>
    <definedName name="_xlnm.Print_Area" localSheetId="6">'Sales old)'!$A$1:$Q$46</definedName>
    <definedName name="_xlnm.Print_Area" localSheetId="2">Sprints_Special_Projects!$A$1:$M$44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15" i="24" l="1"/>
  <c r="AS15" i="24"/>
  <c r="AR15" i="24"/>
  <c r="AP15" i="24"/>
  <c r="AO15" i="24"/>
  <c r="AN15" i="24"/>
  <c r="AM15" i="24"/>
  <c r="AL15" i="24"/>
  <c r="AK15" i="24"/>
  <c r="AJ15" i="24"/>
  <c r="AI15" i="24"/>
  <c r="AH15" i="24"/>
  <c r="AG15" i="24"/>
  <c r="AF15" i="24"/>
  <c r="AQ15" i="24"/>
  <c r="AQ121" i="24" s="1"/>
  <c r="AO6" i="9"/>
  <c r="AP6" i="9" s="1"/>
  <c r="AQ6" i="9" s="1"/>
  <c r="AR6" i="9" s="1"/>
  <c r="AS6" i="9" s="1"/>
  <c r="AT6" i="9" s="1"/>
  <c r="AU6" i="9" s="1"/>
  <c r="AV6" i="9" s="1"/>
  <c r="AW6" i="9" s="1"/>
  <c r="AX6" i="9" s="1"/>
  <c r="AY6" i="9" s="1"/>
  <c r="AZ6" i="9" s="1"/>
  <c r="AQ6" i="5"/>
  <c r="AR6" i="5" s="1"/>
  <c r="AS6" i="5" s="1"/>
  <c r="AT6" i="5" s="1"/>
  <c r="AU6" i="5" s="1"/>
  <c r="AV6" i="5" s="1"/>
  <c r="AW6" i="5" s="1"/>
  <c r="AX6" i="5" s="1"/>
  <c r="AY6" i="5" s="1"/>
  <c r="AZ6" i="5" s="1"/>
  <c r="AZ6" i="19"/>
  <c r="O6" i="6"/>
  <c r="BL126" i="24"/>
  <c r="BK126" i="24"/>
  <c r="BJ126" i="24"/>
  <c r="BI126" i="24"/>
  <c r="BH126" i="24"/>
  <c r="BL120" i="24"/>
  <c r="BK120" i="24"/>
  <c r="BJ120" i="24"/>
  <c r="BI120" i="24"/>
  <c r="BH120" i="24"/>
  <c r="BL119" i="24"/>
  <c r="BK119" i="24"/>
  <c r="BJ119" i="24"/>
  <c r="BI119" i="24"/>
  <c r="BH119" i="24"/>
  <c r="BL118" i="24"/>
  <c r="BK118" i="24"/>
  <c r="BJ118" i="24"/>
  <c r="BI118" i="24"/>
  <c r="BH118" i="24"/>
  <c r="BL115" i="24"/>
  <c r="BK115" i="24"/>
  <c r="BJ115" i="24"/>
  <c r="BI115" i="24"/>
  <c r="BH115" i="24"/>
  <c r="BL114" i="24"/>
  <c r="BK114" i="24"/>
  <c r="BJ114" i="24"/>
  <c r="BI114" i="24"/>
  <c r="BH114" i="24"/>
  <c r="BL113" i="24"/>
  <c r="BK113" i="24"/>
  <c r="BJ113" i="24"/>
  <c r="BI113" i="24"/>
  <c r="BH113" i="24"/>
  <c r="BL111" i="24"/>
  <c r="BK111" i="24"/>
  <c r="BJ111" i="24"/>
  <c r="BI111" i="24"/>
  <c r="BH111" i="24"/>
  <c r="BL110" i="24"/>
  <c r="BK110" i="24"/>
  <c r="BJ110" i="24"/>
  <c r="BI110" i="24"/>
  <c r="BH110" i="24"/>
  <c r="BL109" i="24"/>
  <c r="BK109" i="24"/>
  <c r="BJ109" i="24"/>
  <c r="BI109" i="24"/>
  <c r="BH109" i="24"/>
  <c r="BL108" i="24"/>
  <c r="BK108" i="24"/>
  <c r="BJ108" i="24"/>
  <c r="BI108" i="24"/>
  <c r="BH108" i="24"/>
  <c r="BL107" i="24"/>
  <c r="BK107" i="24"/>
  <c r="BJ107" i="24"/>
  <c r="BI107" i="24"/>
  <c r="BH107" i="24"/>
  <c r="BL106" i="24"/>
  <c r="BK106" i="24"/>
  <c r="BJ106" i="24"/>
  <c r="BI106" i="24"/>
  <c r="BH106" i="24"/>
  <c r="BL105" i="24"/>
  <c r="BK105" i="24"/>
  <c r="BJ105" i="24"/>
  <c r="BI105" i="24"/>
  <c r="BH105" i="24"/>
  <c r="BL104" i="24"/>
  <c r="BK104" i="24"/>
  <c r="BJ104" i="24"/>
  <c r="BI104" i="24"/>
  <c r="BH104" i="24"/>
  <c r="BL103" i="24"/>
  <c r="BK103" i="24"/>
  <c r="BJ103" i="24"/>
  <c r="BI103" i="24"/>
  <c r="BH103" i="24"/>
  <c r="BL102" i="24"/>
  <c r="BK102" i="24"/>
  <c r="BJ102" i="24"/>
  <c r="BI102" i="24"/>
  <c r="BH102" i="24"/>
  <c r="BL101" i="24"/>
  <c r="BK101" i="24"/>
  <c r="BJ101" i="24"/>
  <c r="BI101" i="24"/>
  <c r="BH101" i="24"/>
  <c r="BL100" i="24"/>
  <c r="BK100" i="24"/>
  <c r="BJ100" i="24"/>
  <c r="BI100" i="24"/>
  <c r="BH100" i="24"/>
  <c r="BL99" i="24"/>
  <c r="BK99" i="24"/>
  <c r="BJ99" i="24"/>
  <c r="BI99" i="24"/>
  <c r="BH99" i="24"/>
  <c r="BL98" i="24"/>
  <c r="BK98" i="24"/>
  <c r="BJ98" i="24"/>
  <c r="BI98" i="24"/>
  <c r="BH98" i="24"/>
  <c r="BL97" i="24"/>
  <c r="BK97" i="24"/>
  <c r="BJ97" i="24"/>
  <c r="BI97" i="24"/>
  <c r="BH97" i="24"/>
  <c r="BL96" i="24"/>
  <c r="BK96" i="24"/>
  <c r="BJ96" i="24"/>
  <c r="BI96" i="24"/>
  <c r="BH96" i="24"/>
  <c r="BL95" i="24"/>
  <c r="BK95" i="24"/>
  <c r="BJ95" i="24"/>
  <c r="BI95" i="24"/>
  <c r="BH95" i="24"/>
  <c r="BL91" i="24"/>
  <c r="BK91" i="24"/>
  <c r="BJ91" i="24"/>
  <c r="BI91" i="24"/>
  <c r="BH91" i="24"/>
  <c r="BL89" i="24"/>
  <c r="BK89" i="24"/>
  <c r="BJ89" i="24"/>
  <c r="BI89" i="24"/>
  <c r="BH89" i="24"/>
  <c r="BL88" i="24"/>
  <c r="BK88" i="24"/>
  <c r="BJ88" i="24"/>
  <c r="BI88" i="24"/>
  <c r="BH88" i="24"/>
  <c r="BL87" i="24"/>
  <c r="BK87" i="24"/>
  <c r="BJ87" i="24"/>
  <c r="BI87" i="24"/>
  <c r="BH87" i="24"/>
  <c r="BL86" i="24"/>
  <c r="BK86" i="24"/>
  <c r="BJ86" i="24"/>
  <c r="BI86" i="24"/>
  <c r="BH86" i="24"/>
  <c r="BL84" i="24"/>
  <c r="BL85" i="24" s="1"/>
  <c r="BK84" i="24"/>
  <c r="BJ84" i="24"/>
  <c r="BJ85" i="24" s="1"/>
  <c r="BI84" i="24"/>
  <c r="BI85" i="24" s="1"/>
  <c r="BH84" i="24"/>
  <c r="BH85" i="24" s="1"/>
  <c r="BL83" i="24"/>
  <c r="BK83" i="24"/>
  <c r="BJ83" i="24"/>
  <c r="BI83" i="24"/>
  <c r="BH83" i="24"/>
  <c r="BL82" i="24"/>
  <c r="BK82" i="24"/>
  <c r="BJ82" i="24"/>
  <c r="BI82" i="24"/>
  <c r="BH82" i="24"/>
  <c r="BL81" i="24"/>
  <c r="BK81" i="24"/>
  <c r="BJ81" i="24"/>
  <c r="BI81" i="24"/>
  <c r="BH81" i="24"/>
  <c r="BL80" i="24"/>
  <c r="BK80" i="24"/>
  <c r="BJ80" i="24"/>
  <c r="BI80" i="24"/>
  <c r="BH80" i="24"/>
  <c r="BL79" i="24"/>
  <c r="BK79" i="24"/>
  <c r="BJ79" i="24"/>
  <c r="BI79" i="24"/>
  <c r="BH79" i="24"/>
  <c r="BL78" i="24"/>
  <c r="BK78" i="24"/>
  <c r="BJ78" i="24"/>
  <c r="BI78" i="24"/>
  <c r="BH78" i="24"/>
  <c r="BL77" i="24"/>
  <c r="BK77" i="24"/>
  <c r="BJ77" i="24"/>
  <c r="BI77" i="24"/>
  <c r="BH77" i="24"/>
  <c r="BL72" i="24"/>
  <c r="BK72" i="24"/>
  <c r="BJ72" i="24"/>
  <c r="BI72" i="24"/>
  <c r="BH72" i="24"/>
  <c r="BL70" i="24"/>
  <c r="BK70" i="24"/>
  <c r="BJ70" i="24"/>
  <c r="BI70" i="24"/>
  <c r="BH70" i="24"/>
  <c r="BL69" i="24"/>
  <c r="BK69" i="24"/>
  <c r="BJ69" i="24"/>
  <c r="BI69" i="24"/>
  <c r="BH69" i="24"/>
  <c r="BL68" i="24"/>
  <c r="BK68" i="24"/>
  <c r="BJ68" i="24"/>
  <c r="BI68" i="24"/>
  <c r="BH68" i="24"/>
  <c r="BL65" i="24"/>
  <c r="BK65" i="24"/>
  <c r="BJ65" i="24"/>
  <c r="BI65" i="24"/>
  <c r="BH65" i="24"/>
  <c r="BL63" i="24"/>
  <c r="BK63" i="24"/>
  <c r="BJ63" i="24"/>
  <c r="BI63" i="24"/>
  <c r="BH63" i="24"/>
  <c r="BL62" i="24"/>
  <c r="BK62" i="24"/>
  <c r="BJ62" i="24"/>
  <c r="BI62" i="24"/>
  <c r="BH62" i="24"/>
  <c r="BL61" i="24"/>
  <c r="BK61" i="24"/>
  <c r="BJ61" i="24"/>
  <c r="BI61" i="24"/>
  <c r="BH61" i="24"/>
  <c r="BL60" i="24"/>
  <c r="BK60" i="24"/>
  <c r="BJ60" i="24"/>
  <c r="BI60" i="24"/>
  <c r="BH60" i="24"/>
  <c r="BL59" i="24"/>
  <c r="BK59" i="24"/>
  <c r="BJ59" i="24"/>
  <c r="BI59" i="24"/>
  <c r="BH59" i="24"/>
  <c r="BL58" i="24"/>
  <c r="BK58" i="24"/>
  <c r="BJ58" i="24"/>
  <c r="BI58" i="24"/>
  <c r="BH58" i="24"/>
  <c r="BL56" i="24"/>
  <c r="BK56" i="24"/>
  <c r="BJ56" i="24"/>
  <c r="BI56" i="24"/>
  <c r="BH56" i="24"/>
  <c r="BL55" i="24"/>
  <c r="BK55" i="24"/>
  <c r="BJ55" i="24"/>
  <c r="BI55" i="24"/>
  <c r="BH55" i="24"/>
  <c r="BL54" i="24"/>
  <c r="BK54" i="24"/>
  <c r="BJ54" i="24"/>
  <c r="BI54" i="24"/>
  <c r="BH54" i="24"/>
  <c r="BL52" i="24"/>
  <c r="BK52" i="24"/>
  <c r="BJ52" i="24"/>
  <c r="BI52" i="24"/>
  <c r="BH52" i="24"/>
  <c r="BL51" i="24"/>
  <c r="BK51" i="24"/>
  <c r="BJ51" i="24"/>
  <c r="BI51" i="24"/>
  <c r="BH51" i="24"/>
  <c r="BL50" i="24"/>
  <c r="BK50" i="24"/>
  <c r="BJ50" i="24"/>
  <c r="BI50" i="24"/>
  <c r="BH50" i="24"/>
  <c r="BL49" i="24"/>
  <c r="BK49" i="24"/>
  <c r="BJ49" i="24"/>
  <c r="BI49" i="24"/>
  <c r="BH49" i="24"/>
  <c r="BL46" i="24"/>
  <c r="BK46" i="24"/>
  <c r="BJ46" i="24"/>
  <c r="BI46" i="24"/>
  <c r="BH46" i="24"/>
  <c r="BL45" i="24"/>
  <c r="BL48" i="24" s="1"/>
  <c r="BK45" i="24"/>
  <c r="BK48" i="24" s="1"/>
  <c r="BJ45" i="24"/>
  <c r="BI45" i="24"/>
  <c r="BI48" i="24" s="1"/>
  <c r="BH45" i="24"/>
  <c r="BH48" i="24" s="1"/>
  <c r="BL43" i="24"/>
  <c r="BK43" i="24"/>
  <c r="BJ43" i="24"/>
  <c r="BI43" i="24"/>
  <c r="BH43" i="24"/>
  <c r="BL42" i="24"/>
  <c r="BK42" i="24"/>
  <c r="BJ42" i="24"/>
  <c r="BI42" i="24"/>
  <c r="BH42" i="24"/>
  <c r="BL41" i="24"/>
  <c r="BK41" i="24"/>
  <c r="BJ41" i="24"/>
  <c r="BI41" i="24"/>
  <c r="BH41" i="24"/>
  <c r="BL40" i="24"/>
  <c r="BK40" i="24"/>
  <c r="BJ40" i="24"/>
  <c r="BI40" i="24"/>
  <c r="BH40" i="24"/>
  <c r="BL37" i="24"/>
  <c r="BK37" i="24"/>
  <c r="BJ37" i="24"/>
  <c r="BI37" i="24"/>
  <c r="BH37" i="24"/>
  <c r="BL36" i="24"/>
  <c r="BK36" i="24"/>
  <c r="BJ36" i="24"/>
  <c r="BI36" i="24"/>
  <c r="BH36" i="24"/>
  <c r="BL35" i="24"/>
  <c r="BK35" i="24"/>
  <c r="BJ35" i="24"/>
  <c r="BI35" i="24"/>
  <c r="BH35" i="24"/>
  <c r="BL34" i="24"/>
  <c r="BK34" i="24"/>
  <c r="BJ34" i="24"/>
  <c r="BI34" i="24"/>
  <c r="BH34" i="24"/>
  <c r="BL33" i="24"/>
  <c r="BK33" i="24"/>
  <c r="BJ33" i="24"/>
  <c r="BI33" i="24"/>
  <c r="BH33" i="24"/>
  <c r="BL32" i="24"/>
  <c r="BK32" i="24"/>
  <c r="BJ32" i="24"/>
  <c r="BI32" i="24"/>
  <c r="BH32" i="24"/>
  <c r="BL31" i="24"/>
  <c r="BK31" i="24"/>
  <c r="BJ31" i="24"/>
  <c r="BI31" i="24"/>
  <c r="BH31" i="24"/>
  <c r="BL30" i="24"/>
  <c r="BK30" i="24"/>
  <c r="BJ30" i="24"/>
  <c r="BI30" i="24"/>
  <c r="BH30" i="24"/>
  <c r="BL29" i="24"/>
  <c r="BK29" i="24"/>
  <c r="BJ29" i="24"/>
  <c r="BI29" i="24"/>
  <c r="BH29" i="24"/>
  <c r="BL28" i="24"/>
  <c r="BK28" i="24"/>
  <c r="BJ28" i="24"/>
  <c r="BI28" i="24"/>
  <c r="BH28" i="24"/>
  <c r="BL27" i="24"/>
  <c r="BK27" i="24"/>
  <c r="BJ27" i="24"/>
  <c r="BI27" i="24"/>
  <c r="BH27" i="24"/>
  <c r="BL26" i="24"/>
  <c r="BK26" i="24"/>
  <c r="BJ26" i="24"/>
  <c r="BI26" i="24"/>
  <c r="BH26" i="24"/>
  <c r="BL25" i="24"/>
  <c r="BK25" i="24"/>
  <c r="BJ25" i="24"/>
  <c r="BI25" i="24"/>
  <c r="BH25" i="24"/>
  <c r="BL23" i="24"/>
  <c r="BK23" i="24"/>
  <c r="BJ23" i="24"/>
  <c r="BI23" i="24"/>
  <c r="BH23" i="24"/>
  <c r="BL21" i="24"/>
  <c r="BK21" i="24"/>
  <c r="BJ21" i="24"/>
  <c r="BI21" i="24"/>
  <c r="BH21" i="24"/>
  <c r="BL17" i="24"/>
  <c r="BK17" i="24"/>
  <c r="BJ17" i="24"/>
  <c r="BI17" i="24"/>
  <c r="BH17" i="24"/>
  <c r="BL16" i="24"/>
  <c r="BK16" i="24"/>
  <c r="BJ16" i="24"/>
  <c r="BI16" i="24"/>
  <c r="BH16" i="24"/>
  <c r="BL15" i="24"/>
  <c r="BK15" i="24"/>
  <c r="BJ15" i="24"/>
  <c r="BI15" i="24"/>
  <c r="BH15" i="24"/>
  <c r="BL14" i="24"/>
  <c r="BK14" i="24"/>
  <c r="BJ14" i="24"/>
  <c r="BI14" i="24"/>
  <c r="BH14" i="24"/>
  <c r="BL13" i="24"/>
  <c r="BK13" i="24"/>
  <c r="BJ13" i="24"/>
  <c r="BI13" i="24"/>
  <c r="BH13" i="24"/>
  <c r="BL12" i="24"/>
  <c r="BK12" i="24"/>
  <c r="BJ12" i="24"/>
  <c r="BI12" i="24"/>
  <c r="BH12" i="24"/>
  <c r="BH5" i="24"/>
  <c r="BI5" i="24"/>
  <c r="BJ5" i="24"/>
  <c r="BK5" i="24"/>
  <c r="BL5" i="24"/>
  <c r="BH6" i="24"/>
  <c r="BI6" i="24"/>
  <c r="BJ6" i="24"/>
  <c r="BK6" i="24"/>
  <c r="BK8" i="24" s="1"/>
  <c r="BL6" i="24"/>
  <c r="BH7" i="24"/>
  <c r="BI7" i="24"/>
  <c r="BI8" i="24" s="1"/>
  <c r="BJ7" i="24"/>
  <c r="BK7" i="24"/>
  <c r="BL7" i="24"/>
  <c r="BH9" i="24"/>
  <c r="BI9" i="24"/>
  <c r="BJ9" i="24"/>
  <c r="BK9" i="24"/>
  <c r="BL9" i="24"/>
  <c r="BH10" i="24"/>
  <c r="BI10" i="24"/>
  <c r="BJ10" i="24"/>
  <c r="BK10" i="24"/>
  <c r="BL10" i="24"/>
  <c r="BJ48" i="24"/>
  <c r="BK85" i="24"/>
  <c r="BM5" i="24"/>
  <c r="BM6" i="24"/>
  <c r="BM7" i="24"/>
  <c r="BM8" i="24"/>
  <c r="BM9" i="24"/>
  <c r="BM10" i="24"/>
  <c r="BM12" i="24"/>
  <c r="BM13" i="24"/>
  <c r="BM14" i="24"/>
  <c r="BM16" i="24"/>
  <c r="BM17" i="24"/>
  <c r="BM25" i="24"/>
  <c r="BM26" i="24"/>
  <c r="BM27" i="24"/>
  <c r="BM28" i="24"/>
  <c r="BM29" i="24"/>
  <c r="BM30" i="24"/>
  <c r="BM31" i="24"/>
  <c r="BM32" i="24"/>
  <c r="BM33" i="24"/>
  <c r="BM34" i="24"/>
  <c r="BM35" i="24"/>
  <c r="BM36" i="24"/>
  <c r="BM37" i="24"/>
  <c r="BM39" i="24"/>
  <c r="BM40" i="24"/>
  <c r="BM41" i="24"/>
  <c r="BM42" i="24"/>
  <c r="BM43" i="24"/>
  <c r="BM45" i="24"/>
  <c r="BM46" i="24"/>
  <c r="BM48" i="24"/>
  <c r="BM49" i="24"/>
  <c r="BM50" i="24"/>
  <c r="BM51" i="24"/>
  <c r="BM52" i="24"/>
  <c r="BM54" i="24"/>
  <c r="BM55" i="24"/>
  <c r="BM56" i="24"/>
  <c r="BM58" i="24"/>
  <c r="BM59" i="24"/>
  <c r="BM60" i="24"/>
  <c r="BM61" i="24"/>
  <c r="BM62" i="24"/>
  <c r="BM63" i="24"/>
  <c r="BM65" i="24"/>
  <c r="BM67" i="24"/>
  <c r="BM68" i="24"/>
  <c r="BM69" i="24"/>
  <c r="BM70" i="24"/>
  <c r="BM72" i="24"/>
  <c r="BM77" i="24"/>
  <c r="BM78" i="24"/>
  <c r="BM79" i="24"/>
  <c r="BM80" i="24"/>
  <c r="BM81" i="24"/>
  <c r="BM82" i="24"/>
  <c r="BM84" i="24"/>
  <c r="BM85" i="24"/>
  <c r="BM86" i="24"/>
  <c r="BM87" i="24"/>
  <c r="BM88" i="24"/>
  <c r="BM89" i="24"/>
  <c r="BM91" i="24"/>
  <c r="BM94" i="24"/>
  <c r="BM95" i="24"/>
  <c r="BM96" i="24"/>
  <c r="BM97" i="24"/>
  <c r="BM98" i="24"/>
  <c r="BM99" i="24"/>
  <c r="BM100" i="24"/>
  <c r="BM101" i="24"/>
  <c r="BM102" i="24"/>
  <c r="BM103" i="24"/>
  <c r="BM104" i="24"/>
  <c r="BM105" i="24"/>
  <c r="BM106" i="24"/>
  <c r="BM107" i="24"/>
  <c r="BM108" i="24"/>
  <c r="BM109" i="24"/>
  <c r="BM110" i="24"/>
  <c r="BM111" i="24"/>
  <c r="BM113" i="24"/>
  <c r="BM114" i="24"/>
  <c r="BM115" i="24"/>
  <c r="BM118" i="24"/>
  <c r="BM119" i="24"/>
  <c r="BM120" i="24"/>
  <c r="BM123" i="24"/>
  <c r="BM124" i="24"/>
  <c r="BM125" i="24"/>
  <c r="BM126" i="24"/>
  <c r="BM131" i="24"/>
  <c r="BM136" i="24"/>
  <c r="BM4" i="24"/>
  <c r="BL4" i="24"/>
  <c r="BK4" i="24"/>
  <c r="BJ4" i="24"/>
  <c r="BI4" i="24"/>
  <c r="BH4" i="24"/>
  <c r="AS19" i="24"/>
  <c r="AS18" i="24" s="1"/>
  <c r="AT19" i="24"/>
  <c r="AT18" i="24" s="1"/>
  <c r="AU19" i="24"/>
  <c r="AV19" i="24"/>
  <c r="AV20" i="24" s="1"/>
  <c r="AV22" i="24" s="1"/>
  <c r="AV24" i="24" s="1"/>
  <c r="AW19" i="24"/>
  <c r="AW18" i="24" s="1"/>
  <c r="AX19" i="24"/>
  <c r="AX20" i="24" s="1"/>
  <c r="AX22" i="24" s="1"/>
  <c r="AX24" i="24" s="1"/>
  <c r="AY19" i="24"/>
  <c r="AY18" i="24" s="1"/>
  <c r="AZ19" i="24"/>
  <c r="AZ18" i="24" s="1"/>
  <c r="BA19" i="24"/>
  <c r="BA18" i="24" s="1"/>
  <c r="BB19" i="24"/>
  <c r="BB18" i="24" s="1"/>
  <c r="BC19" i="24"/>
  <c r="BC18" i="24" s="1"/>
  <c r="AR127" i="24"/>
  <c r="AS127" i="24"/>
  <c r="AT127" i="24"/>
  <c r="AU127" i="24"/>
  <c r="AV127" i="24"/>
  <c r="AW127" i="24"/>
  <c r="AX127" i="24"/>
  <c r="AY127" i="24"/>
  <c r="AZ127" i="24"/>
  <c r="BA127" i="24"/>
  <c r="BB127" i="24"/>
  <c r="BC127" i="24"/>
  <c r="BD127" i="24"/>
  <c r="AR129" i="24"/>
  <c r="AS129" i="24"/>
  <c r="AT129" i="24"/>
  <c r="AU129" i="24"/>
  <c r="AV129" i="24"/>
  <c r="AW129" i="24"/>
  <c r="AX129" i="24"/>
  <c r="AY129" i="24"/>
  <c r="AZ129" i="24"/>
  <c r="BA129" i="24"/>
  <c r="BB129" i="24"/>
  <c r="BC129" i="24"/>
  <c r="BD129" i="24"/>
  <c r="AR134" i="24"/>
  <c r="BM134" i="24" s="1"/>
  <c r="AS134" i="24"/>
  <c r="AT134" i="24"/>
  <c r="BH134" i="24" s="1"/>
  <c r="AU134" i="24"/>
  <c r="AV134" i="24"/>
  <c r="AW134" i="24"/>
  <c r="BI134" i="24" s="1"/>
  <c r="AX134" i="24"/>
  <c r="AY134" i="24"/>
  <c r="AZ134" i="24"/>
  <c r="BJ134" i="24" s="1"/>
  <c r="BA134" i="24"/>
  <c r="BB134" i="24"/>
  <c r="BC134" i="24"/>
  <c r="BD134" i="24"/>
  <c r="AR121" i="24"/>
  <c r="AS121" i="24"/>
  <c r="AT121" i="24"/>
  <c r="AU121" i="24"/>
  <c r="AV121" i="24"/>
  <c r="AW121" i="24"/>
  <c r="AX121" i="24"/>
  <c r="AY121" i="24"/>
  <c r="AZ121" i="24"/>
  <c r="BA121" i="24"/>
  <c r="BB121" i="24"/>
  <c r="BC121" i="24"/>
  <c r="BD121" i="24"/>
  <c r="AR122" i="24"/>
  <c r="AS122" i="24"/>
  <c r="AT122" i="24"/>
  <c r="AU122" i="24"/>
  <c r="AV122" i="24"/>
  <c r="AW122" i="24"/>
  <c r="AX122" i="24"/>
  <c r="AY122" i="24"/>
  <c r="AZ122" i="24"/>
  <c r="BA122" i="24"/>
  <c r="BB122" i="24"/>
  <c r="BC122" i="24"/>
  <c r="BD122" i="24"/>
  <c r="AR116" i="24"/>
  <c r="BM116" i="24" s="1"/>
  <c r="AS116" i="24"/>
  <c r="AT116" i="24"/>
  <c r="BH116" i="24" s="1"/>
  <c r="AU116" i="24"/>
  <c r="AV116" i="24"/>
  <c r="AW116" i="24"/>
  <c r="BI116" i="24" s="1"/>
  <c r="AX116" i="24"/>
  <c r="AY116" i="24"/>
  <c r="AZ116" i="24"/>
  <c r="BJ116" i="24" s="1"/>
  <c r="BA116" i="24"/>
  <c r="BB116" i="24"/>
  <c r="BC116" i="24"/>
  <c r="BL116" i="24" s="1"/>
  <c r="BD116" i="24"/>
  <c r="AR117" i="24"/>
  <c r="BM117" i="24" s="1"/>
  <c r="AS117" i="24"/>
  <c r="AT117" i="24"/>
  <c r="BH117" i="24" s="1"/>
  <c r="AU117" i="24"/>
  <c r="AV117" i="24"/>
  <c r="AW117" i="24"/>
  <c r="BI117" i="24" s="1"/>
  <c r="AX117" i="24"/>
  <c r="AY117" i="24"/>
  <c r="AZ117" i="24"/>
  <c r="BJ117" i="24" s="1"/>
  <c r="BA117" i="24"/>
  <c r="BB117" i="24"/>
  <c r="BC117" i="24"/>
  <c r="BL117" i="24" s="1"/>
  <c r="BD117" i="24"/>
  <c r="AS112" i="24"/>
  <c r="AT112" i="24"/>
  <c r="AT130" i="24" s="1"/>
  <c r="AU112" i="24"/>
  <c r="AU130" i="24" s="1"/>
  <c r="AV112" i="24"/>
  <c r="AV130" i="24" s="1"/>
  <c r="AW112" i="24"/>
  <c r="AW130" i="24" s="1"/>
  <c r="AX112" i="24"/>
  <c r="AX130" i="24" s="1"/>
  <c r="AY112" i="24"/>
  <c r="AY130" i="24" s="1"/>
  <c r="AZ112" i="24"/>
  <c r="AZ130" i="24" s="1"/>
  <c r="BA112" i="24"/>
  <c r="BA135" i="24" s="1"/>
  <c r="BB112" i="24"/>
  <c r="BB130" i="24" s="1"/>
  <c r="BC112" i="24"/>
  <c r="BC130" i="24" s="1"/>
  <c r="AR93" i="24"/>
  <c r="AS93" i="24"/>
  <c r="AT93" i="24"/>
  <c r="AU93" i="24"/>
  <c r="BI93" i="24" s="1"/>
  <c r="AV93" i="24"/>
  <c r="AW93" i="24"/>
  <c r="AX93" i="24"/>
  <c r="AY93" i="24"/>
  <c r="AZ93" i="24"/>
  <c r="BA93" i="24"/>
  <c r="BB93" i="24"/>
  <c r="BC93" i="24"/>
  <c r="BD93" i="24"/>
  <c r="AR90" i="24"/>
  <c r="BM90" i="24" s="1"/>
  <c r="AS90" i="24"/>
  <c r="AT90" i="24"/>
  <c r="BH90" i="24" s="1"/>
  <c r="AU90" i="24"/>
  <c r="AV90" i="24"/>
  <c r="AW90" i="24"/>
  <c r="BI90" i="24" s="1"/>
  <c r="AX90" i="24"/>
  <c r="AY90" i="24"/>
  <c r="AZ90" i="24"/>
  <c r="BJ90" i="24" s="1"/>
  <c r="BA90" i="24"/>
  <c r="BB90" i="24"/>
  <c r="BC90" i="24"/>
  <c r="BL90" i="24" s="1"/>
  <c r="BD90" i="24"/>
  <c r="AS85" i="24"/>
  <c r="AT85" i="24"/>
  <c r="AU85" i="24"/>
  <c r="AV85" i="24"/>
  <c r="AW85" i="24"/>
  <c r="AX85" i="24"/>
  <c r="AY85" i="24"/>
  <c r="AZ85" i="24"/>
  <c r="BA85" i="24"/>
  <c r="BB85" i="24"/>
  <c r="BC85" i="24"/>
  <c r="AS75" i="24"/>
  <c r="AT75" i="24"/>
  <c r="AU75" i="24"/>
  <c r="AV75" i="24"/>
  <c r="AW75" i="24"/>
  <c r="AX75" i="24"/>
  <c r="AY75" i="24"/>
  <c r="AZ75" i="24"/>
  <c r="BA75" i="24"/>
  <c r="BB75" i="24"/>
  <c r="BC75" i="24"/>
  <c r="AS71" i="24"/>
  <c r="AS73" i="24" s="1"/>
  <c r="AS76" i="24" s="1"/>
  <c r="AS128" i="24" s="1"/>
  <c r="AT71" i="24"/>
  <c r="AT73" i="24" s="1"/>
  <c r="AT76" i="24" s="1"/>
  <c r="AT128" i="24" s="1"/>
  <c r="AU71" i="24"/>
  <c r="AU73" i="24" s="1"/>
  <c r="AU76" i="24" s="1"/>
  <c r="AU128" i="24" s="1"/>
  <c r="AV71" i="24"/>
  <c r="AV73" i="24" s="1"/>
  <c r="AV76" i="24" s="1"/>
  <c r="AV128" i="24" s="1"/>
  <c r="AW71" i="24"/>
  <c r="AW74" i="24" s="1"/>
  <c r="AX71" i="24"/>
  <c r="AX92" i="24" s="1"/>
  <c r="AY71" i="24"/>
  <c r="AY92" i="24" s="1"/>
  <c r="AZ71" i="24"/>
  <c r="AZ73" i="24" s="1"/>
  <c r="AZ76" i="24" s="1"/>
  <c r="AZ128" i="24" s="1"/>
  <c r="BA71" i="24"/>
  <c r="BA73" i="24" s="1"/>
  <c r="BA76" i="24" s="1"/>
  <c r="BA128" i="24" s="1"/>
  <c r="BB71" i="24"/>
  <c r="BB73" i="24" s="1"/>
  <c r="BB76" i="24" s="1"/>
  <c r="BB128" i="24" s="1"/>
  <c r="BC71" i="24"/>
  <c r="BC73" i="24" s="1"/>
  <c r="BC76" i="24" s="1"/>
  <c r="BC128" i="24" s="1"/>
  <c r="AS66" i="24"/>
  <c r="AS67" i="24" s="1"/>
  <c r="AS124" i="24" s="1"/>
  <c r="AT66" i="24"/>
  <c r="AT67" i="24" s="1"/>
  <c r="AT124" i="24" s="1"/>
  <c r="AU66" i="24"/>
  <c r="AU67" i="24" s="1"/>
  <c r="AU124" i="24" s="1"/>
  <c r="AV66" i="24"/>
  <c r="AV67" i="24" s="1"/>
  <c r="AV124" i="24" s="1"/>
  <c r="AW66" i="24"/>
  <c r="AW67" i="24" s="1"/>
  <c r="AW124" i="24" s="1"/>
  <c r="AX66" i="24"/>
  <c r="AX67" i="24" s="1"/>
  <c r="AX124" i="24" s="1"/>
  <c r="AY66" i="24"/>
  <c r="AY67" i="24" s="1"/>
  <c r="AY124" i="24" s="1"/>
  <c r="AZ66" i="24"/>
  <c r="AZ67" i="24" s="1"/>
  <c r="AZ124" i="24" s="1"/>
  <c r="BA66" i="24"/>
  <c r="BA67" i="24" s="1"/>
  <c r="BA124" i="24" s="1"/>
  <c r="BB66" i="24"/>
  <c r="BB67" i="24" s="1"/>
  <c r="BB124" i="24" s="1"/>
  <c r="BC66" i="24"/>
  <c r="BC67" i="24" s="1"/>
  <c r="BC124" i="24" s="1"/>
  <c r="AS64" i="24"/>
  <c r="AT64" i="24"/>
  <c r="AU64" i="24"/>
  <c r="AV64" i="24"/>
  <c r="AW64" i="24"/>
  <c r="AX64" i="24"/>
  <c r="BJ64" i="24" s="1"/>
  <c r="AY64" i="24"/>
  <c r="AZ64" i="24"/>
  <c r="BA64" i="24"/>
  <c r="BB64" i="24"/>
  <c r="BC64" i="24"/>
  <c r="AS57" i="24"/>
  <c r="AT57" i="24"/>
  <c r="BH57" i="24" s="1"/>
  <c r="AU57" i="24"/>
  <c r="AV57" i="24"/>
  <c r="AW57" i="24"/>
  <c r="BI57" i="24" s="1"/>
  <c r="AX57" i="24"/>
  <c r="AY57" i="24"/>
  <c r="AZ57" i="24"/>
  <c r="BJ57" i="24" s="1"/>
  <c r="BA57" i="24"/>
  <c r="BB57" i="24"/>
  <c r="BC57" i="24"/>
  <c r="BL57" i="24" s="1"/>
  <c r="AS53" i="24"/>
  <c r="AT53" i="24"/>
  <c r="BH53" i="24" s="1"/>
  <c r="AU53" i="24"/>
  <c r="AV53" i="24"/>
  <c r="AW53" i="24"/>
  <c r="BI53" i="24" s="1"/>
  <c r="AX53" i="24"/>
  <c r="AY53" i="24"/>
  <c r="AZ53" i="24"/>
  <c r="BJ53" i="24" s="1"/>
  <c r="BA53" i="24"/>
  <c r="BB53" i="24"/>
  <c r="BC53" i="24"/>
  <c r="BK53" i="24" s="1"/>
  <c r="AS47" i="24"/>
  <c r="AT47" i="24"/>
  <c r="AU47" i="24"/>
  <c r="BI47" i="24" s="1"/>
  <c r="AV47" i="24"/>
  <c r="AW47" i="24"/>
  <c r="AX47" i="24"/>
  <c r="BJ47" i="24" s="1"/>
  <c r="AY47" i="24"/>
  <c r="AZ47" i="24"/>
  <c r="BA47" i="24"/>
  <c r="BK47" i="24" s="1"/>
  <c r="BB47" i="24"/>
  <c r="BC47" i="24"/>
  <c r="AS44" i="24"/>
  <c r="AT44" i="24"/>
  <c r="AU44" i="24"/>
  <c r="AV44" i="24"/>
  <c r="AW44" i="24"/>
  <c r="AX44" i="24"/>
  <c r="AY44" i="24"/>
  <c r="AZ44" i="24"/>
  <c r="BA44" i="24"/>
  <c r="BB44" i="24"/>
  <c r="BC44" i="24"/>
  <c r="BD44" i="24"/>
  <c r="AS38" i="24"/>
  <c r="AT38" i="24"/>
  <c r="AT39" i="24" s="1"/>
  <c r="AT123" i="24" s="1"/>
  <c r="AU38" i="24"/>
  <c r="AU39" i="24" s="1"/>
  <c r="AU123" i="24" s="1"/>
  <c r="AV38" i="24"/>
  <c r="AV39" i="24" s="1"/>
  <c r="AV123" i="24" s="1"/>
  <c r="AW38" i="24"/>
  <c r="AW39" i="24" s="1"/>
  <c r="AW123" i="24" s="1"/>
  <c r="AX38" i="24"/>
  <c r="AX39" i="24" s="1"/>
  <c r="AX123" i="24" s="1"/>
  <c r="AY38" i="24"/>
  <c r="AY39" i="24" s="1"/>
  <c r="AY123" i="24" s="1"/>
  <c r="AZ38" i="24"/>
  <c r="AZ39" i="24" s="1"/>
  <c r="AZ123" i="24" s="1"/>
  <c r="BA38" i="24"/>
  <c r="BA39" i="24" s="1"/>
  <c r="BA123" i="24" s="1"/>
  <c r="BB38" i="24"/>
  <c r="BB39" i="24" s="1"/>
  <c r="BB123" i="24" s="1"/>
  <c r="BC38" i="24"/>
  <c r="BC39" i="24" s="1"/>
  <c r="BC123" i="24" s="1"/>
  <c r="BD21" i="24"/>
  <c r="AX18" i="24"/>
  <c r="BJ18" i="24" s="1"/>
  <c r="BM11" i="24"/>
  <c r="AT11" i="24"/>
  <c r="BH11" i="24" s="1"/>
  <c r="AU11" i="24"/>
  <c r="AV11" i="24"/>
  <c r="AW11" i="24"/>
  <c r="BI11" i="24" s="1"/>
  <c r="AX11" i="24"/>
  <c r="AY11" i="24"/>
  <c r="AZ11" i="24"/>
  <c r="BJ11" i="24" s="1"/>
  <c r="BA11" i="24"/>
  <c r="BB11" i="24"/>
  <c r="BC11" i="24"/>
  <c r="BK11" i="24" s="1"/>
  <c r="BD11" i="24"/>
  <c r="AR8" i="24"/>
  <c r="AS8" i="24"/>
  <c r="AT8" i="24"/>
  <c r="AU8" i="24"/>
  <c r="AV8" i="24"/>
  <c r="AW8" i="24"/>
  <c r="AX8" i="24"/>
  <c r="AY8" i="24"/>
  <c r="AZ8" i="24"/>
  <c r="BA8" i="24"/>
  <c r="BB8" i="24"/>
  <c r="BC8" i="24"/>
  <c r="BD8" i="24"/>
  <c r="AZ3" i="24"/>
  <c r="BA3" i="24" s="1"/>
  <c r="BB3" i="24" s="1"/>
  <c r="BC3" i="24" s="1"/>
  <c r="BD3" i="24" s="1"/>
  <c r="AG134" i="24"/>
  <c r="AH134" i="24"/>
  <c r="AI134" i="24"/>
  <c r="AJ134" i="24"/>
  <c r="AK134" i="24"/>
  <c r="AL134" i="24"/>
  <c r="AM134" i="24"/>
  <c r="AN134" i="24"/>
  <c r="AO134" i="24"/>
  <c r="AP134" i="24"/>
  <c r="AQ134" i="24"/>
  <c r="AF134" i="24"/>
  <c r="AG127" i="24"/>
  <c r="AH127" i="24"/>
  <c r="AI127" i="24"/>
  <c r="AJ127" i="24"/>
  <c r="AK127" i="24"/>
  <c r="AL127" i="24"/>
  <c r="AM127" i="24"/>
  <c r="AN127" i="24"/>
  <c r="AO127" i="24"/>
  <c r="AP127" i="24"/>
  <c r="AQ127" i="24"/>
  <c r="AF127" i="24"/>
  <c r="AG75" i="24"/>
  <c r="AH75" i="24"/>
  <c r="AI75" i="24"/>
  <c r="AJ75" i="24"/>
  <c r="AK75" i="24"/>
  <c r="AL75" i="24"/>
  <c r="AM75" i="24"/>
  <c r="AN75" i="24"/>
  <c r="AO75" i="24"/>
  <c r="AP75" i="24"/>
  <c r="AQ75" i="24"/>
  <c r="AF75" i="24"/>
  <c r="AH21" i="24"/>
  <c r="AF19" i="24"/>
  <c r="AQ90" i="24"/>
  <c r="AQ129" i="24"/>
  <c r="AQ122" i="24"/>
  <c r="AQ116" i="24"/>
  <c r="AQ117" i="24"/>
  <c r="AQ93" i="24"/>
  <c r="R127" i="24"/>
  <c r="S127" i="24"/>
  <c r="T127" i="24"/>
  <c r="U127" i="24"/>
  <c r="V127" i="24"/>
  <c r="W127" i="24"/>
  <c r="X127" i="24"/>
  <c r="Y127" i="24"/>
  <c r="Z127" i="24"/>
  <c r="AA127" i="24"/>
  <c r="AB127" i="24"/>
  <c r="AC127" i="24"/>
  <c r="AD127" i="24"/>
  <c r="AE127" i="24"/>
  <c r="R129" i="24"/>
  <c r="S129" i="24"/>
  <c r="T129" i="24"/>
  <c r="U129" i="24"/>
  <c r="V129" i="24"/>
  <c r="W129" i="24"/>
  <c r="X129" i="24"/>
  <c r="Y129" i="24"/>
  <c r="Z129" i="24"/>
  <c r="AA129" i="24"/>
  <c r="AB129" i="24"/>
  <c r="AC129" i="24"/>
  <c r="AD129" i="24"/>
  <c r="AE129" i="24"/>
  <c r="R134" i="24"/>
  <c r="S134" i="24"/>
  <c r="T134" i="24"/>
  <c r="U134" i="24"/>
  <c r="V134" i="24"/>
  <c r="W134" i="24"/>
  <c r="X134" i="24"/>
  <c r="Y134" i="24"/>
  <c r="Z134" i="24"/>
  <c r="AA134" i="24"/>
  <c r="AB134" i="24"/>
  <c r="AC134" i="24"/>
  <c r="AD134" i="24"/>
  <c r="AE134" i="24"/>
  <c r="R121" i="24"/>
  <c r="S121" i="24"/>
  <c r="T121" i="24"/>
  <c r="U121" i="24"/>
  <c r="V121" i="24"/>
  <c r="W121" i="24"/>
  <c r="X121" i="24"/>
  <c r="Y121" i="24"/>
  <c r="Z121" i="24"/>
  <c r="AA121" i="24"/>
  <c r="AB121" i="24"/>
  <c r="AC121" i="24"/>
  <c r="AD121" i="24"/>
  <c r="AE121" i="24"/>
  <c r="R122" i="24"/>
  <c r="S122" i="24"/>
  <c r="T122" i="24"/>
  <c r="U122" i="24"/>
  <c r="V122" i="24"/>
  <c r="W122" i="24"/>
  <c r="X122" i="24"/>
  <c r="Y122" i="24"/>
  <c r="Z122" i="24"/>
  <c r="AA122" i="24"/>
  <c r="AB122" i="24"/>
  <c r="AC122" i="24"/>
  <c r="AD122" i="24"/>
  <c r="AE122" i="24"/>
  <c r="R116" i="24"/>
  <c r="S116" i="24"/>
  <c r="T116" i="24"/>
  <c r="U116" i="24"/>
  <c r="V116" i="24"/>
  <c r="W116" i="24"/>
  <c r="X116" i="24"/>
  <c r="Y116" i="24"/>
  <c r="Z116" i="24"/>
  <c r="AA116" i="24"/>
  <c r="AB116" i="24"/>
  <c r="AC116" i="24"/>
  <c r="AD116" i="24"/>
  <c r="AE116" i="24"/>
  <c r="R117" i="24"/>
  <c r="S117" i="24"/>
  <c r="T117" i="24"/>
  <c r="U117" i="24"/>
  <c r="V117" i="24"/>
  <c r="W117" i="24"/>
  <c r="X117" i="24"/>
  <c r="Y117" i="24"/>
  <c r="Z117" i="24"/>
  <c r="AA117" i="24"/>
  <c r="AB117" i="24"/>
  <c r="AC117" i="24"/>
  <c r="AD117" i="24"/>
  <c r="AE117" i="24"/>
  <c r="R112" i="24"/>
  <c r="R135" i="24" s="1"/>
  <c r="S112" i="24"/>
  <c r="S135" i="24" s="1"/>
  <c r="T112" i="24"/>
  <c r="T135" i="24" s="1"/>
  <c r="U112" i="24"/>
  <c r="U135" i="24" s="1"/>
  <c r="V112" i="24"/>
  <c r="V135" i="24" s="1"/>
  <c r="W112" i="24"/>
  <c r="W130" i="24" s="1"/>
  <c r="X112" i="24"/>
  <c r="X130" i="24" s="1"/>
  <c r="Y112" i="24"/>
  <c r="Y130" i="24" s="1"/>
  <c r="Z112" i="24"/>
  <c r="Z135" i="24" s="1"/>
  <c r="AA112" i="24"/>
  <c r="AA135" i="24" s="1"/>
  <c r="AB112" i="24"/>
  <c r="AB135" i="24" s="1"/>
  <c r="AC112" i="24"/>
  <c r="AC135" i="24" s="1"/>
  <c r="AD112" i="24"/>
  <c r="AD135" i="24" s="1"/>
  <c r="AE112" i="24"/>
  <c r="AE130" i="24" s="1"/>
  <c r="R66" i="24"/>
  <c r="R67" i="24" s="1"/>
  <c r="R124" i="24" s="1"/>
  <c r="S66" i="24"/>
  <c r="S67" i="24" s="1"/>
  <c r="S124" i="24" s="1"/>
  <c r="T66" i="24"/>
  <c r="T67" i="24" s="1"/>
  <c r="T124" i="24" s="1"/>
  <c r="U66" i="24"/>
  <c r="U67" i="24" s="1"/>
  <c r="U124" i="24" s="1"/>
  <c r="V66" i="24"/>
  <c r="V67" i="24" s="1"/>
  <c r="V124" i="24" s="1"/>
  <c r="W66" i="24"/>
  <c r="W67" i="24" s="1"/>
  <c r="W124" i="24" s="1"/>
  <c r="X66" i="24"/>
  <c r="X67" i="24" s="1"/>
  <c r="X124" i="24" s="1"/>
  <c r="Y66" i="24"/>
  <c r="Y67" i="24" s="1"/>
  <c r="Y124" i="24" s="1"/>
  <c r="Z66" i="24"/>
  <c r="Z67" i="24" s="1"/>
  <c r="Z124" i="24" s="1"/>
  <c r="AA66" i="24"/>
  <c r="AA67" i="24" s="1"/>
  <c r="AA124" i="24" s="1"/>
  <c r="AB66" i="24"/>
  <c r="AB67" i="24" s="1"/>
  <c r="AB124" i="24" s="1"/>
  <c r="AC66" i="24"/>
  <c r="AC67" i="24" s="1"/>
  <c r="AC124" i="24" s="1"/>
  <c r="AD66" i="24"/>
  <c r="AD67" i="24" s="1"/>
  <c r="AD124" i="24" s="1"/>
  <c r="AE66" i="24"/>
  <c r="AE67" i="24" s="1"/>
  <c r="AE124" i="24" s="1"/>
  <c r="R64" i="24"/>
  <c r="S64" i="24"/>
  <c r="T64" i="24"/>
  <c r="U64" i="24"/>
  <c r="V64" i="24"/>
  <c r="W64" i="24"/>
  <c r="X64" i="24"/>
  <c r="Y64" i="24"/>
  <c r="Z64" i="24"/>
  <c r="AA64" i="24"/>
  <c r="AB64" i="24"/>
  <c r="AC64" i="24"/>
  <c r="AD64" i="24"/>
  <c r="AE64" i="24"/>
  <c r="R57" i="24"/>
  <c r="S57" i="24"/>
  <c r="T57" i="24"/>
  <c r="U57" i="24"/>
  <c r="V57" i="24"/>
  <c r="W57" i="24"/>
  <c r="X57" i="24"/>
  <c r="Y57" i="24"/>
  <c r="Z57" i="24"/>
  <c r="AA57" i="24"/>
  <c r="AB57" i="24"/>
  <c r="AC57" i="24"/>
  <c r="AD57" i="24"/>
  <c r="AE57" i="24"/>
  <c r="R53" i="24"/>
  <c r="S53" i="24"/>
  <c r="T53" i="24"/>
  <c r="U53" i="24"/>
  <c r="V53" i="24"/>
  <c r="W53" i="24"/>
  <c r="X53" i="24"/>
  <c r="Y53" i="24"/>
  <c r="Z53" i="24"/>
  <c r="AA53" i="24"/>
  <c r="AB53" i="24"/>
  <c r="AC53" i="24"/>
  <c r="AD53" i="24"/>
  <c r="AE53" i="24"/>
  <c r="R44" i="24"/>
  <c r="S44" i="24"/>
  <c r="T44" i="24"/>
  <c r="U44" i="24"/>
  <c r="V44" i="24"/>
  <c r="W44" i="24"/>
  <c r="X44" i="24"/>
  <c r="Y44" i="24"/>
  <c r="Z44" i="24"/>
  <c r="AA44" i="24"/>
  <c r="AB44" i="24"/>
  <c r="AC44" i="24"/>
  <c r="AD44" i="24"/>
  <c r="AE44" i="24"/>
  <c r="R38" i="24"/>
  <c r="R39" i="24" s="1"/>
  <c r="R123" i="24" s="1"/>
  <c r="S38" i="24"/>
  <c r="S39" i="24" s="1"/>
  <c r="S123" i="24" s="1"/>
  <c r="T38" i="24"/>
  <c r="T39" i="24" s="1"/>
  <c r="T123" i="24" s="1"/>
  <c r="U38" i="24"/>
  <c r="U39" i="24" s="1"/>
  <c r="U123" i="24" s="1"/>
  <c r="V38" i="24"/>
  <c r="V39" i="24" s="1"/>
  <c r="V123" i="24" s="1"/>
  <c r="W38" i="24"/>
  <c r="W39" i="24" s="1"/>
  <c r="W123" i="24" s="1"/>
  <c r="X38" i="24"/>
  <c r="X39" i="24" s="1"/>
  <c r="X123" i="24" s="1"/>
  <c r="Y38" i="24"/>
  <c r="Y39" i="24" s="1"/>
  <c r="Y123" i="24" s="1"/>
  <c r="Z38" i="24"/>
  <c r="Z39" i="24" s="1"/>
  <c r="Z123" i="24" s="1"/>
  <c r="AA38" i="24"/>
  <c r="AA39" i="24" s="1"/>
  <c r="AA123" i="24" s="1"/>
  <c r="AB38" i="24"/>
  <c r="AB39" i="24" s="1"/>
  <c r="AB123" i="24" s="1"/>
  <c r="AC38" i="24"/>
  <c r="AC39" i="24" s="1"/>
  <c r="AC123" i="24" s="1"/>
  <c r="AD38" i="24"/>
  <c r="AD39" i="24" s="1"/>
  <c r="AD123" i="24" s="1"/>
  <c r="AE38" i="24"/>
  <c r="AE39" i="24" s="1"/>
  <c r="AE123" i="24" s="1"/>
  <c r="R24" i="24"/>
  <c r="S24" i="24"/>
  <c r="T24" i="24"/>
  <c r="U24" i="24"/>
  <c r="V24" i="24"/>
  <c r="W24" i="24"/>
  <c r="X24" i="24"/>
  <c r="Y24" i="24"/>
  <c r="Z24" i="24"/>
  <c r="AA24" i="24"/>
  <c r="AB24" i="24"/>
  <c r="AC24" i="24"/>
  <c r="AD24" i="24"/>
  <c r="AE24" i="24"/>
  <c r="R19" i="24"/>
  <c r="R18" i="24" s="1"/>
  <c r="S19" i="24"/>
  <c r="S20" i="24" s="1"/>
  <c r="S21" i="24" s="1"/>
  <c r="T19" i="24"/>
  <c r="T18" i="24" s="1"/>
  <c r="U19" i="24"/>
  <c r="U20" i="24" s="1"/>
  <c r="U21" i="24" s="1"/>
  <c r="V19" i="24"/>
  <c r="V20" i="24" s="1"/>
  <c r="V21" i="24" s="1"/>
  <c r="W19" i="24"/>
  <c r="W20" i="24" s="1"/>
  <c r="W21" i="24" s="1"/>
  <c r="X19" i="24"/>
  <c r="X20" i="24" s="1"/>
  <c r="X21" i="24" s="1"/>
  <c r="Y19" i="24"/>
  <c r="Y20" i="24" s="1"/>
  <c r="Y21" i="24" s="1"/>
  <c r="Z19" i="24"/>
  <c r="Z18" i="24" s="1"/>
  <c r="AA19" i="24"/>
  <c r="AA18" i="24" s="1"/>
  <c r="AB19" i="24"/>
  <c r="AB18" i="24" s="1"/>
  <c r="AC19" i="24"/>
  <c r="AC20" i="24" s="1"/>
  <c r="AC21" i="24" s="1"/>
  <c r="AD19" i="24"/>
  <c r="AD20" i="24" s="1"/>
  <c r="AD21" i="24" s="1"/>
  <c r="AE19" i="24"/>
  <c r="AE20" i="24" s="1"/>
  <c r="AE21" i="24" s="1"/>
  <c r="R11" i="24"/>
  <c r="S11" i="24"/>
  <c r="T11" i="24"/>
  <c r="U11" i="24"/>
  <c r="V11" i="24"/>
  <c r="W11" i="24"/>
  <c r="X11" i="24"/>
  <c r="Y11" i="24"/>
  <c r="Z11" i="24"/>
  <c r="AA11" i="24"/>
  <c r="AB11" i="24"/>
  <c r="AC11" i="24"/>
  <c r="AD11" i="24"/>
  <c r="AE11" i="24"/>
  <c r="R8" i="24"/>
  <c r="S8" i="24"/>
  <c r="T8" i="24"/>
  <c r="U8" i="24"/>
  <c r="V8" i="24"/>
  <c r="W8" i="24"/>
  <c r="X8" i="24"/>
  <c r="Y8" i="24"/>
  <c r="Z8" i="24"/>
  <c r="AA8" i="24"/>
  <c r="AB8" i="24"/>
  <c r="AC8" i="24"/>
  <c r="AD8" i="24"/>
  <c r="AE8" i="24"/>
  <c r="AF8" i="24"/>
  <c r="AG8" i="24"/>
  <c r="AH8" i="24"/>
  <c r="AI8" i="24"/>
  <c r="AJ8" i="24"/>
  <c r="AK8" i="24"/>
  <c r="AL8" i="24"/>
  <c r="AM8" i="24"/>
  <c r="AN8" i="24"/>
  <c r="AO8" i="24"/>
  <c r="AP8" i="24"/>
  <c r="AQ8" i="24"/>
  <c r="R85" i="24"/>
  <c r="S85" i="24"/>
  <c r="T85" i="24"/>
  <c r="U85" i="24"/>
  <c r="V85" i="24"/>
  <c r="W85" i="24"/>
  <c r="X85" i="24"/>
  <c r="Y85" i="24"/>
  <c r="Z85" i="24"/>
  <c r="AA85" i="24"/>
  <c r="AB85" i="24"/>
  <c r="AC85" i="24"/>
  <c r="AD85" i="24"/>
  <c r="AE85" i="24"/>
  <c r="R75" i="24"/>
  <c r="S75" i="24"/>
  <c r="T75" i="24"/>
  <c r="U75" i="24"/>
  <c r="V75" i="24"/>
  <c r="W75" i="24"/>
  <c r="X75" i="24"/>
  <c r="Y75" i="24"/>
  <c r="Z75" i="24"/>
  <c r="AA75" i="24"/>
  <c r="AB75" i="24"/>
  <c r="AC75" i="24"/>
  <c r="AD75" i="24"/>
  <c r="AE75" i="24"/>
  <c r="R93" i="24"/>
  <c r="S93" i="24"/>
  <c r="T93" i="24"/>
  <c r="U93" i="24"/>
  <c r="V93" i="24"/>
  <c r="W93" i="24"/>
  <c r="X93" i="24"/>
  <c r="Y93" i="24"/>
  <c r="Z93" i="24"/>
  <c r="AA93" i="24"/>
  <c r="AB93" i="24"/>
  <c r="AC93" i="24"/>
  <c r="AD93" i="24"/>
  <c r="AE93" i="24"/>
  <c r="R90" i="24"/>
  <c r="S90" i="24"/>
  <c r="T90" i="24"/>
  <c r="U90" i="24"/>
  <c r="V90" i="24"/>
  <c r="W90" i="24"/>
  <c r="X90" i="24"/>
  <c r="Y90" i="24"/>
  <c r="Z90" i="24"/>
  <c r="AA90" i="24"/>
  <c r="AB90" i="24"/>
  <c r="AC90" i="24"/>
  <c r="AD90" i="24"/>
  <c r="AE90" i="24"/>
  <c r="AE71" i="24"/>
  <c r="AE73" i="24" s="1"/>
  <c r="AE76" i="24" s="1"/>
  <c r="AE128" i="24" s="1"/>
  <c r="AD71" i="24"/>
  <c r="AD74" i="24" s="1"/>
  <c r="AC71" i="24"/>
  <c r="AC74" i="24" s="1"/>
  <c r="AB71" i="24"/>
  <c r="AB73" i="24" s="1"/>
  <c r="AB76" i="24" s="1"/>
  <c r="AB128" i="24" s="1"/>
  <c r="AA71" i="24"/>
  <c r="AA74" i="24" s="1"/>
  <c r="Z71" i="24"/>
  <c r="Z74" i="24" s="1"/>
  <c r="Y71" i="24"/>
  <c r="Y74" i="24" s="1"/>
  <c r="X71" i="24"/>
  <c r="X74" i="24" s="1"/>
  <c r="W71" i="24"/>
  <c r="W73" i="24" s="1"/>
  <c r="W76" i="24" s="1"/>
  <c r="W128" i="24" s="1"/>
  <c r="V71" i="24"/>
  <c r="V74" i="24" s="1"/>
  <c r="U71" i="24"/>
  <c r="U74" i="24" s="1"/>
  <c r="T71" i="24"/>
  <c r="T73" i="24" s="1"/>
  <c r="T76" i="24" s="1"/>
  <c r="T128" i="24" s="1"/>
  <c r="S71" i="24"/>
  <c r="S73" i="24" s="1"/>
  <c r="S76" i="24" s="1"/>
  <c r="S128" i="24" s="1"/>
  <c r="R71" i="24"/>
  <c r="R73" i="24" s="1"/>
  <c r="R76" i="24" s="1"/>
  <c r="R128" i="24" s="1"/>
  <c r="BK121" i="24" l="1"/>
  <c r="BI129" i="24"/>
  <c r="BH127" i="24"/>
  <c r="BK75" i="24"/>
  <c r="BJ122" i="24"/>
  <c r="BI64" i="24"/>
  <c r="BK122" i="24"/>
  <c r="BK129" i="24"/>
  <c r="BJ127" i="24"/>
  <c r="AS39" i="24"/>
  <c r="AS123" i="24" s="1"/>
  <c r="BI127" i="24"/>
  <c r="BK127" i="24"/>
  <c r="BJ75" i="24"/>
  <c r="BJ130" i="24"/>
  <c r="BL93" i="24"/>
  <c r="BI75" i="24"/>
  <c r="BJ121" i="24"/>
  <c r="BL129" i="24"/>
  <c r="BK18" i="24"/>
  <c r="BL53" i="24"/>
  <c r="BJ93" i="24"/>
  <c r="BK117" i="24"/>
  <c r="BJ129" i="24"/>
  <c r="BI121" i="24"/>
  <c r="BL11" i="24"/>
  <c r="BL127" i="24"/>
  <c r="BK66" i="24"/>
  <c r="BK64" i="24"/>
  <c r="BK93" i="24"/>
  <c r="BI130" i="24"/>
  <c r="BI122" i="24"/>
  <c r="BI19" i="24"/>
  <c r="BH122" i="24"/>
  <c r="BL121" i="24"/>
  <c r="BK44" i="24"/>
  <c r="BL134" i="24"/>
  <c r="BK134" i="24"/>
  <c r="BI44" i="24"/>
  <c r="BK128" i="24"/>
  <c r="BJ44" i="24"/>
  <c r="BI71" i="24"/>
  <c r="BH93" i="24"/>
  <c r="BL122" i="24"/>
  <c r="BH129" i="24"/>
  <c r="BK57" i="24"/>
  <c r="BJ71" i="24"/>
  <c r="BK116" i="24"/>
  <c r="BH121" i="24"/>
  <c r="BI38" i="24"/>
  <c r="BI39" i="24" s="1"/>
  <c r="BI123" i="24" s="1"/>
  <c r="BK71" i="24"/>
  <c r="BM127" i="24"/>
  <c r="BJ38" i="24"/>
  <c r="BJ39" i="24" s="1"/>
  <c r="BJ123" i="24" s="1"/>
  <c r="BK76" i="24"/>
  <c r="BI112" i="24"/>
  <c r="BJ19" i="24"/>
  <c r="BK38" i="24"/>
  <c r="BK39" i="24" s="1"/>
  <c r="BK123" i="24" s="1"/>
  <c r="BI66" i="24"/>
  <c r="BI67" i="24" s="1"/>
  <c r="BI124" i="24" s="1"/>
  <c r="BK73" i="24"/>
  <c r="BK90" i="24"/>
  <c r="BJ112" i="24"/>
  <c r="BK19" i="24"/>
  <c r="BJ66" i="24"/>
  <c r="BJ67" i="24" s="1"/>
  <c r="BJ124" i="24" s="1"/>
  <c r="BK112" i="24"/>
  <c r="BL8" i="24"/>
  <c r="BJ8" i="24"/>
  <c r="BK67" i="24"/>
  <c r="BK124" i="24" s="1"/>
  <c r="BH8" i="24"/>
  <c r="BC20" i="24"/>
  <c r="BC22" i="24" s="1"/>
  <c r="BC24" i="24" s="1"/>
  <c r="AZ20" i="24"/>
  <c r="AZ22" i="24" s="1"/>
  <c r="AZ24" i="24" s="1"/>
  <c r="AU20" i="24"/>
  <c r="AU18" i="24"/>
  <c r="AX135" i="24"/>
  <c r="AY20" i="24"/>
  <c r="AY22" i="24" s="1"/>
  <c r="AY24" i="24" s="1"/>
  <c r="AU135" i="24"/>
  <c r="AV74" i="24"/>
  <c r="AT74" i="24"/>
  <c r="BC92" i="24"/>
  <c r="BC94" i="24" s="1"/>
  <c r="BC125" i="24" s="1"/>
  <c r="AZ92" i="24"/>
  <c r="AZ94" i="24" s="1"/>
  <c r="AZ125" i="24" s="1"/>
  <c r="AT131" i="24"/>
  <c r="AT132" i="24" s="1"/>
  <c r="BH132" i="24" s="1"/>
  <c r="AW20" i="24"/>
  <c r="AW22" i="24" s="1"/>
  <c r="AW24" i="24" s="1"/>
  <c r="AW92" i="24"/>
  <c r="AW94" i="24" s="1"/>
  <c r="AW125" i="24" s="1"/>
  <c r="AV92" i="24"/>
  <c r="AV94" i="24" s="1"/>
  <c r="AV125" i="24" s="1"/>
  <c r="AU74" i="24"/>
  <c r="BI74" i="24" s="1"/>
  <c r="BC74" i="24"/>
  <c r="AU92" i="24"/>
  <c r="BC135" i="24"/>
  <c r="BB131" i="24"/>
  <c r="BB132" i="24" s="1"/>
  <c r="AV131" i="24"/>
  <c r="AV132" i="24" s="1"/>
  <c r="BB74" i="24"/>
  <c r="AZ135" i="24"/>
  <c r="BJ135" i="24" s="1"/>
  <c r="AS130" i="24"/>
  <c r="AS131" i="24" s="1"/>
  <c r="AS132" i="24" s="1"/>
  <c r="AZ131" i="24"/>
  <c r="AZ132" i="24" s="1"/>
  <c r="BJ132" i="24" s="1"/>
  <c r="AV18" i="24"/>
  <c r="AX73" i="24"/>
  <c r="AY94" i="24"/>
  <c r="AY125" i="24" s="1"/>
  <c r="AY135" i="24"/>
  <c r="BA130" i="24"/>
  <c r="AW73" i="24"/>
  <c r="AW76" i="24" s="1"/>
  <c r="AW128" i="24" s="1"/>
  <c r="AW131" i="24" s="1"/>
  <c r="AW132" i="24" s="1"/>
  <c r="BI132" i="24" s="1"/>
  <c r="AX94" i="24"/>
  <c r="AX125" i="24" s="1"/>
  <c r="BA74" i="24"/>
  <c r="AS74" i="24"/>
  <c r="BB92" i="24"/>
  <c r="BB94" i="24" s="1"/>
  <c r="BB125" i="24" s="1"/>
  <c r="AT92" i="24"/>
  <c r="AT94" i="24" s="1"/>
  <c r="AT125" i="24" s="1"/>
  <c r="AW135" i="24"/>
  <c r="BI135" i="24" s="1"/>
  <c r="BC131" i="24"/>
  <c r="BC132" i="24" s="1"/>
  <c r="AU131" i="24"/>
  <c r="AU132" i="24" s="1"/>
  <c r="AZ74" i="24"/>
  <c r="BA92" i="24"/>
  <c r="AS92" i="24"/>
  <c r="AS94" i="24" s="1"/>
  <c r="AS125" i="24" s="1"/>
  <c r="AV135" i="24"/>
  <c r="AY74" i="24"/>
  <c r="AY73" i="24"/>
  <c r="AY76" i="24" s="1"/>
  <c r="AY128" i="24" s="1"/>
  <c r="AY131" i="24" s="1"/>
  <c r="AY132" i="24" s="1"/>
  <c r="AX74" i="24"/>
  <c r="BB135" i="24"/>
  <c r="BB20" i="24"/>
  <c r="BB22" i="24" s="1"/>
  <c r="BB24" i="24" s="1"/>
  <c r="AT20" i="24"/>
  <c r="AT22" i="24" s="1"/>
  <c r="AT24" i="24" s="1"/>
  <c r="BA20" i="24"/>
  <c r="AS20" i="24"/>
  <c r="AS22" i="24" s="1"/>
  <c r="AS24" i="24" s="1"/>
  <c r="T20" i="24"/>
  <c r="T21" i="24" s="1"/>
  <c r="V130" i="24"/>
  <c r="AC18" i="24"/>
  <c r="AD130" i="24"/>
  <c r="AC130" i="24"/>
  <c r="AA73" i="24"/>
  <c r="AA76" i="24" s="1"/>
  <c r="AA128" i="24" s="1"/>
  <c r="AD92" i="24"/>
  <c r="AD94" i="24" s="1"/>
  <c r="AD125" i="24" s="1"/>
  <c r="Z92" i="24"/>
  <c r="Z94" i="24" s="1"/>
  <c r="Z125" i="24" s="1"/>
  <c r="U130" i="24"/>
  <c r="R92" i="24"/>
  <c r="R94" i="24" s="1"/>
  <c r="R125" i="24" s="1"/>
  <c r="Z73" i="24"/>
  <c r="Z76" i="24" s="1"/>
  <c r="Z128" i="24" s="1"/>
  <c r="AA130" i="24"/>
  <c r="AA92" i="24"/>
  <c r="AA94" i="24" s="1"/>
  <c r="AA125" i="24" s="1"/>
  <c r="V92" i="24"/>
  <c r="V94" i="24" s="1"/>
  <c r="V125" i="24" s="1"/>
  <c r="T130" i="24"/>
  <c r="T131" i="24" s="1"/>
  <c r="T132" i="24" s="1"/>
  <c r="AB130" i="24"/>
  <c r="AB131" i="24" s="1"/>
  <c r="AB132" i="24" s="1"/>
  <c r="S92" i="24"/>
  <c r="S94" i="24" s="1"/>
  <c r="S125" i="24" s="1"/>
  <c r="S130" i="24"/>
  <c r="S131" i="24" s="1"/>
  <c r="S132" i="24" s="1"/>
  <c r="AE131" i="24"/>
  <c r="AE132" i="24" s="1"/>
  <c r="W131" i="24"/>
  <c r="W132" i="24" s="1"/>
  <c r="U92" i="24"/>
  <c r="U94" i="24" s="1"/>
  <c r="U125" i="24" s="1"/>
  <c r="Y135" i="24"/>
  <c r="Y18" i="24"/>
  <c r="AB92" i="24"/>
  <c r="AB94" i="24" s="1"/>
  <c r="AB125" i="24" s="1"/>
  <c r="T92" i="24"/>
  <c r="T94" i="24" s="1"/>
  <c r="T125" i="24" s="1"/>
  <c r="X135" i="24"/>
  <c r="AE135" i="24"/>
  <c r="W135" i="24"/>
  <c r="Z130" i="24"/>
  <c r="R130" i="24"/>
  <c r="R131" i="24" s="1"/>
  <c r="R132" i="24" s="1"/>
  <c r="Y92" i="24"/>
  <c r="Y94" i="24" s="1"/>
  <c r="Y125" i="24" s="1"/>
  <c r="S74" i="24"/>
  <c r="X92" i="24"/>
  <c r="X94" i="24" s="1"/>
  <c r="X125" i="24" s="1"/>
  <c r="AC92" i="24"/>
  <c r="AC94" i="24" s="1"/>
  <c r="AC125" i="24" s="1"/>
  <c r="R74" i="24"/>
  <c r="AE92" i="24"/>
  <c r="AE94" i="24" s="1"/>
  <c r="AE125" i="24" s="1"/>
  <c r="W92" i="24"/>
  <c r="W94" i="24" s="1"/>
  <c r="W125" i="24" s="1"/>
  <c r="T74" i="24"/>
  <c r="AB74" i="24"/>
  <c r="Y73" i="24"/>
  <c r="Y76" i="24" s="1"/>
  <c r="Y128" i="24" s="1"/>
  <c r="Y131" i="24" s="1"/>
  <c r="Y132" i="24" s="1"/>
  <c r="AD18" i="24"/>
  <c r="AD73" i="24"/>
  <c r="AD76" i="24" s="1"/>
  <c r="AD128" i="24" s="1"/>
  <c r="W18" i="24"/>
  <c r="AE74" i="24"/>
  <c r="W74" i="24"/>
  <c r="AC73" i="24"/>
  <c r="AC76" i="24" s="1"/>
  <c r="AC128" i="24" s="1"/>
  <c r="U73" i="24"/>
  <c r="U76" i="24" s="1"/>
  <c r="U128" i="24" s="1"/>
  <c r="AB20" i="24"/>
  <c r="AB21" i="24" s="1"/>
  <c r="V18" i="24"/>
  <c r="X73" i="24"/>
  <c r="X76" i="24" s="1"/>
  <c r="X128" i="24" s="1"/>
  <c r="X131" i="24" s="1"/>
  <c r="X132" i="24" s="1"/>
  <c r="X18" i="24"/>
  <c r="V73" i="24"/>
  <c r="V76" i="24" s="1"/>
  <c r="V128" i="24" s="1"/>
  <c r="U18" i="24"/>
  <c r="AE18" i="24"/>
  <c r="AA20" i="24"/>
  <c r="AA21" i="24" s="1"/>
  <c r="S18" i="24"/>
  <c r="Z20" i="24"/>
  <c r="Z21" i="24" s="1"/>
  <c r="R20" i="24"/>
  <c r="R21" i="24" s="1"/>
  <c r="BJ24" i="24" l="1"/>
  <c r="BJ74" i="24"/>
  <c r="BK74" i="24"/>
  <c r="BK92" i="24"/>
  <c r="BK94" i="24" s="1"/>
  <c r="BK125" i="24" s="1"/>
  <c r="BI73" i="24"/>
  <c r="BJ20" i="24"/>
  <c r="BK132" i="24"/>
  <c r="BL132" i="24"/>
  <c r="BK130" i="24"/>
  <c r="BK131" i="24" s="1"/>
  <c r="BI18" i="24"/>
  <c r="BI76" i="24"/>
  <c r="BI128" i="24"/>
  <c r="BI131" i="24" s="1"/>
  <c r="BK20" i="24"/>
  <c r="BJ73" i="24"/>
  <c r="BL135" i="24"/>
  <c r="BK135" i="24"/>
  <c r="BI20" i="24"/>
  <c r="BJ22" i="24"/>
  <c r="BI92" i="24"/>
  <c r="BI94" i="24" s="1"/>
  <c r="BI125" i="24" s="1"/>
  <c r="BJ92" i="24"/>
  <c r="BJ94" i="24" s="1"/>
  <c r="BJ125" i="24" s="1"/>
  <c r="BA22" i="24"/>
  <c r="BK22" i="24" s="1"/>
  <c r="AX76" i="24"/>
  <c r="BJ76" i="24" s="1"/>
  <c r="AU94" i="24"/>
  <c r="AU125" i="24" s="1"/>
  <c r="BA94" i="24"/>
  <c r="BA125" i="24" s="1"/>
  <c r="AU22" i="24"/>
  <c r="BI22" i="24" s="1"/>
  <c r="BA131" i="24"/>
  <c r="BA132" i="24" s="1"/>
  <c r="AD131" i="24"/>
  <c r="AD132" i="24" s="1"/>
  <c r="V131" i="24"/>
  <c r="V132" i="24" s="1"/>
  <c r="AA131" i="24"/>
  <c r="AA132" i="24" s="1"/>
  <c r="U131" i="24"/>
  <c r="U132" i="24" s="1"/>
  <c r="AC131" i="24"/>
  <c r="AC132" i="24" s="1"/>
  <c r="Z131" i="24"/>
  <c r="Z132" i="24" s="1"/>
  <c r="AI121" i="24"/>
  <c r="AO129" i="24"/>
  <c r="AP129" i="24"/>
  <c r="AO93" i="24"/>
  <c r="AP93" i="24"/>
  <c r="AP121" i="24"/>
  <c r="AO122" i="24"/>
  <c r="AP122" i="24"/>
  <c r="AO117" i="24"/>
  <c r="AP117" i="24"/>
  <c r="AO116" i="24"/>
  <c r="AP116" i="24"/>
  <c r="AL20" i="24"/>
  <c r="AK20" i="24"/>
  <c r="AN121" i="24"/>
  <c r="AM121" i="24"/>
  <c r="AK121" i="24"/>
  <c r="AJ121" i="24"/>
  <c r="AH121" i="24"/>
  <c r="AG20" i="24"/>
  <c r="AH20" i="24"/>
  <c r="AI20" i="24"/>
  <c r="AJ20" i="24"/>
  <c r="AM20" i="24"/>
  <c r="AN20" i="24"/>
  <c r="AO20" i="24"/>
  <c r="AP20" i="24"/>
  <c r="AQ20" i="24"/>
  <c r="AR19" i="24"/>
  <c r="BD19" i="24"/>
  <c r="AP112" i="24"/>
  <c r="AQ112" i="24"/>
  <c r="AR112" i="24"/>
  <c r="BD112" i="24"/>
  <c r="AO85" i="24"/>
  <c r="AP85" i="24"/>
  <c r="AQ85" i="24"/>
  <c r="AR85" i="24"/>
  <c r="BD85" i="24"/>
  <c r="AR75" i="24"/>
  <c r="BD75" i="24"/>
  <c r="AO71" i="24"/>
  <c r="AP71" i="24"/>
  <c r="AQ71" i="24"/>
  <c r="AR71" i="24"/>
  <c r="BD71" i="24"/>
  <c r="AO66" i="24"/>
  <c r="AP66" i="24"/>
  <c r="AP67" i="24" s="1"/>
  <c r="AP124" i="24" s="1"/>
  <c r="AQ66" i="24"/>
  <c r="AQ67" i="24" s="1"/>
  <c r="AQ124" i="24" s="1"/>
  <c r="AR66" i="24"/>
  <c r="BD66" i="24"/>
  <c r="BD67" i="24" s="1"/>
  <c r="BD124" i="24" s="1"/>
  <c r="AQ64" i="24"/>
  <c r="AR64" i="24"/>
  <c r="BD64" i="24"/>
  <c r="AO57" i="24"/>
  <c r="AP57" i="24"/>
  <c r="AQ57" i="24"/>
  <c r="AR57" i="24"/>
  <c r="BM57" i="24" s="1"/>
  <c r="BD57" i="24"/>
  <c r="AO53" i="24"/>
  <c r="AP53" i="24"/>
  <c r="AQ53" i="24"/>
  <c r="AR53" i="24"/>
  <c r="BM53" i="24" s="1"/>
  <c r="BD53" i="24"/>
  <c r="AO47" i="24"/>
  <c r="AP47" i="24"/>
  <c r="AQ47" i="24"/>
  <c r="AR47" i="24"/>
  <c r="BD47" i="24"/>
  <c r="AO44" i="24"/>
  <c r="AP44" i="24"/>
  <c r="AQ44" i="24"/>
  <c r="AR44" i="24"/>
  <c r="AO38" i="24"/>
  <c r="AO39" i="24" s="1"/>
  <c r="AO123" i="24" s="1"/>
  <c r="AP38" i="24"/>
  <c r="AP39" i="24" s="1"/>
  <c r="AP123" i="24" s="1"/>
  <c r="AQ38" i="24"/>
  <c r="AQ39" i="24" s="1"/>
  <c r="AQ123" i="24" s="1"/>
  <c r="AR38" i="24"/>
  <c r="AR39" i="24" s="1"/>
  <c r="BD38" i="24"/>
  <c r="BD39" i="24" s="1"/>
  <c r="BD123" i="24" s="1"/>
  <c r="BD23" i="24"/>
  <c r="AQ23" i="24"/>
  <c r="AP23" i="24"/>
  <c r="AO23" i="24"/>
  <c r="AQ21" i="24"/>
  <c r="AP21" i="24"/>
  <c r="AO21" i="24"/>
  <c r="AQ18" i="24"/>
  <c r="AP18" i="24"/>
  <c r="AO112" i="24"/>
  <c r="AO18" i="24"/>
  <c r="AN18" i="24"/>
  <c r="AN38" i="24"/>
  <c r="AN39" i="24" s="1"/>
  <c r="AN66" i="24"/>
  <c r="AN67" i="24" s="1"/>
  <c r="AN124" i="24" s="1"/>
  <c r="AN117" i="24"/>
  <c r="AN116" i="24"/>
  <c r="AN112" i="24"/>
  <c r="AN57" i="24"/>
  <c r="AN53" i="24"/>
  <c r="AN47" i="24"/>
  <c r="AN44" i="24"/>
  <c r="AN23" i="24"/>
  <c r="AN21" i="24"/>
  <c r="AN122" i="24"/>
  <c r="AN129" i="24"/>
  <c r="AN93" i="24"/>
  <c r="AN71" i="24"/>
  <c r="AN74" i="24" s="1"/>
  <c r="AN85" i="24"/>
  <c r="AM38" i="24"/>
  <c r="AM39" i="24" s="1"/>
  <c r="AM123" i="24" s="1"/>
  <c r="AM129" i="24"/>
  <c r="AM122" i="24"/>
  <c r="AM117" i="24"/>
  <c r="AM116" i="24"/>
  <c r="AM112" i="24"/>
  <c r="AM93" i="24"/>
  <c r="AM66" i="24"/>
  <c r="AM67" i="24" s="1"/>
  <c r="AM124" i="24" s="1"/>
  <c r="AM85" i="24"/>
  <c r="AM71" i="24"/>
  <c r="AM74" i="24" s="1"/>
  <c r="AM47" i="24"/>
  <c r="AM44" i="24"/>
  <c r="AM57" i="24"/>
  <c r="AM53" i="24"/>
  <c r="AM23" i="24"/>
  <c r="AM21" i="24"/>
  <c r="AM18" i="24"/>
  <c r="AL66" i="24"/>
  <c r="AL93" i="24"/>
  <c r="AL38" i="24"/>
  <c r="AL39" i="24" s="1"/>
  <c r="AL123" i="24" s="1"/>
  <c r="AL122" i="24"/>
  <c r="AL129" i="24"/>
  <c r="AL117" i="24"/>
  <c r="AL116" i="24"/>
  <c r="AL53" i="24"/>
  <c r="AL57" i="24"/>
  <c r="AL47" i="24"/>
  <c r="AL44" i="24"/>
  <c r="AL23" i="24"/>
  <c r="AL21" i="24"/>
  <c r="AL112" i="24"/>
  <c r="AL85" i="24"/>
  <c r="AL71" i="24"/>
  <c r="AL74" i="24" s="1"/>
  <c r="AK116" i="24"/>
  <c r="AK112" i="24"/>
  <c r="AK38" i="24"/>
  <c r="AK39" i="24" s="1"/>
  <c r="AK117" i="24"/>
  <c r="AJ117" i="24"/>
  <c r="AK66" i="24"/>
  <c r="AK67" i="24" s="1"/>
  <c r="AK124" i="24" s="1"/>
  <c r="AK53" i="24"/>
  <c r="AK47" i="24"/>
  <c r="AK57" i="24"/>
  <c r="AK44" i="24"/>
  <c r="AK18" i="24"/>
  <c r="AK93" i="24"/>
  <c r="AK85" i="24"/>
  <c r="AK71" i="24"/>
  <c r="AK129" i="24"/>
  <c r="AK122" i="24"/>
  <c r="AK23" i="24"/>
  <c r="AK21" i="24"/>
  <c r="AJ122" i="24"/>
  <c r="AJ38" i="24"/>
  <c r="AJ39" i="24" s="1"/>
  <c r="AJ123" i="24" s="1"/>
  <c r="AJ66" i="24"/>
  <c r="AJ67" i="24" s="1"/>
  <c r="AJ116" i="24"/>
  <c r="AJ129" i="24"/>
  <c r="AJ93" i="24"/>
  <c r="AJ85" i="24"/>
  <c r="AJ71" i="24"/>
  <c r="AJ57" i="24"/>
  <c r="AJ53" i="24"/>
  <c r="AJ47" i="24"/>
  <c r="AJ44" i="24"/>
  <c r="AJ23" i="24"/>
  <c r="AJ21" i="24"/>
  <c r="AJ112" i="24"/>
  <c r="AJ18" i="24"/>
  <c r="AI23" i="24"/>
  <c r="AH23" i="24"/>
  <c r="AI21" i="24"/>
  <c r="AM136" i="26"/>
  <c r="AL136" i="26"/>
  <c r="AM135" i="26"/>
  <c r="AL135" i="26"/>
  <c r="AM134" i="26"/>
  <c r="AM133" i="26"/>
  <c r="AL133" i="26"/>
  <c r="AM90" i="26"/>
  <c r="AM89" i="26"/>
  <c r="AL89" i="26"/>
  <c r="AM87" i="26"/>
  <c r="AL87" i="26"/>
  <c r="AM86" i="26"/>
  <c r="AL86" i="26"/>
  <c r="AM85" i="26"/>
  <c r="AL85" i="26"/>
  <c r="AM84" i="26"/>
  <c r="AL84" i="26"/>
  <c r="AM83" i="26"/>
  <c r="AL83" i="26"/>
  <c r="AM61" i="26"/>
  <c r="AL61" i="26"/>
  <c r="AM48" i="26"/>
  <c r="AL48" i="26"/>
  <c r="AM4" i="26"/>
  <c r="AL4" i="26"/>
  <c r="AI18" i="24"/>
  <c r="AI47" i="24"/>
  <c r="AI53" i="24"/>
  <c r="AI57" i="24"/>
  <c r="AI44" i="24"/>
  <c r="AI38" i="24"/>
  <c r="AI39" i="24" s="1"/>
  <c r="AH129" i="24"/>
  <c r="AI129" i="24"/>
  <c r="AI116" i="24"/>
  <c r="AI112" i="24"/>
  <c r="AI66" i="24"/>
  <c r="AI67" i="24" s="1"/>
  <c r="AH38" i="24"/>
  <c r="AH39" i="24" s="1"/>
  <c r="AI122" i="24"/>
  <c r="AI117" i="24"/>
  <c r="AI93" i="24"/>
  <c r="AI85" i="24"/>
  <c r="AI71" i="24"/>
  <c r="AI74" i="24" s="1"/>
  <c r="E10" i="32"/>
  <c r="B3" i="3"/>
  <c r="B3" i="9"/>
  <c r="B3" i="5"/>
  <c r="B3" i="7"/>
  <c r="B3" i="19"/>
  <c r="B3" i="6"/>
  <c r="AH122" i="24"/>
  <c r="AH93" i="24"/>
  <c r="T39" i="26"/>
  <c r="T124" i="26"/>
  <c r="U39" i="26"/>
  <c r="U124" i="26" s="1"/>
  <c r="V39" i="26"/>
  <c r="V124" i="26" s="1"/>
  <c r="W39" i="26"/>
  <c r="W124" i="26" s="1"/>
  <c r="X39" i="26"/>
  <c r="X124" i="26" s="1"/>
  <c r="Y39" i="26"/>
  <c r="Y124" i="26" s="1"/>
  <c r="Z39" i="26"/>
  <c r="Z124" i="26" s="1"/>
  <c r="AA39" i="26"/>
  <c r="AA124" i="26" s="1"/>
  <c r="AB39" i="26"/>
  <c r="AB124" i="26" s="1"/>
  <c r="AC39" i="26"/>
  <c r="AC124" i="26"/>
  <c r="AD39" i="26"/>
  <c r="AD124" i="26"/>
  <c r="S39" i="26"/>
  <c r="S124" i="26"/>
  <c r="T123" i="26"/>
  <c r="U123" i="26"/>
  <c r="V123" i="26"/>
  <c r="W123" i="26"/>
  <c r="X123" i="26"/>
  <c r="Y123" i="26"/>
  <c r="Z123" i="26"/>
  <c r="AA123" i="26"/>
  <c r="AB123" i="26"/>
  <c r="AC123" i="26"/>
  <c r="AD123" i="26"/>
  <c r="S123" i="26"/>
  <c r="T122" i="26"/>
  <c r="U122" i="26"/>
  <c r="Y122" i="26"/>
  <c r="T118" i="26"/>
  <c r="U118" i="26"/>
  <c r="V118" i="26"/>
  <c r="W118" i="26"/>
  <c r="X118" i="26"/>
  <c r="Y118" i="26"/>
  <c r="Z118" i="26"/>
  <c r="AA118" i="26"/>
  <c r="AB118" i="26"/>
  <c r="AC118" i="26"/>
  <c r="AD118" i="26"/>
  <c r="S118" i="26"/>
  <c r="AB108" i="26"/>
  <c r="AD108" i="26"/>
  <c r="AC108" i="26"/>
  <c r="AA108" i="26"/>
  <c r="Z108" i="26"/>
  <c r="V108" i="26"/>
  <c r="S108" i="26"/>
  <c r="Y108" i="26"/>
  <c r="X108" i="26"/>
  <c r="W108" i="26"/>
  <c r="U108" i="26"/>
  <c r="T108" i="26"/>
  <c r="AC107" i="26"/>
  <c r="AD107" i="26"/>
  <c r="AB107" i="26"/>
  <c r="AA107" i="26"/>
  <c r="Z107" i="26"/>
  <c r="Y107" i="26"/>
  <c r="X107" i="26"/>
  <c r="W107" i="26"/>
  <c r="V107" i="26"/>
  <c r="S107" i="26"/>
  <c r="U107" i="26"/>
  <c r="T107" i="26"/>
  <c r="T117" i="26"/>
  <c r="U117" i="26"/>
  <c r="V117" i="26"/>
  <c r="W117" i="26"/>
  <c r="X117" i="26"/>
  <c r="Y117" i="26"/>
  <c r="Z117" i="26"/>
  <c r="AA117" i="26"/>
  <c r="AB117" i="26"/>
  <c r="AC117" i="26"/>
  <c r="AD117" i="26"/>
  <c r="S117" i="26"/>
  <c r="AA67" i="26"/>
  <c r="AA109" i="26"/>
  <c r="AA113" i="26" s="1"/>
  <c r="AB38" i="26"/>
  <c r="AC38" i="26"/>
  <c r="AD38" i="26"/>
  <c r="AD110" i="26"/>
  <c r="AA38" i="26"/>
  <c r="AA110" i="26"/>
  <c r="Z38" i="26"/>
  <c r="Z110" i="26"/>
  <c r="X38" i="26"/>
  <c r="W38" i="26"/>
  <c r="W110" i="26"/>
  <c r="V38" i="26"/>
  <c r="V110" i="26"/>
  <c r="U38" i="26"/>
  <c r="U110" i="26"/>
  <c r="T38" i="26"/>
  <c r="T110" i="26"/>
  <c r="T113" i="26"/>
  <c r="Y38" i="26"/>
  <c r="Y110" i="26"/>
  <c r="X110" i="26"/>
  <c r="S38" i="26"/>
  <c r="T109" i="26"/>
  <c r="U109" i="26"/>
  <c r="V109" i="26"/>
  <c r="W109" i="26"/>
  <c r="X109" i="26"/>
  <c r="X113" i="26" s="1"/>
  <c r="Y109" i="26"/>
  <c r="Y113" i="26" s="1"/>
  <c r="Z109" i="26"/>
  <c r="AB109" i="26"/>
  <c r="AC109" i="26"/>
  <c r="AD109" i="26"/>
  <c r="S109" i="26"/>
  <c r="AB110" i="26"/>
  <c r="AB113" i="26"/>
  <c r="AC110" i="26"/>
  <c r="AC113" i="26" s="1"/>
  <c r="S110" i="26"/>
  <c r="T111" i="26"/>
  <c r="U111" i="26"/>
  <c r="V111" i="26"/>
  <c r="W111" i="26"/>
  <c r="X111" i="26"/>
  <c r="Y111" i="26"/>
  <c r="Z111" i="26"/>
  <c r="AA111" i="26"/>
  <c r="AB111" i="26"/>
  <c r="AC111" i="26"/>
  <c r="AD111" i="26"/>
  <c r="S111" i="26"/>
  <c r="AD104" i="26"/>
  <c r="AC104" i="26"/>
  <c r="AB104" i="26"/>
  <c r="AA104" i="26"/>
  <c r="Z104" i="26"/>
  <c r="Y104" i="26"/>
  <c r="X104" i="26"/>
  <c r="W104" i="26"/>
  <c r="V104" i="26"/>
  <c r="U104" i="26"/>
  <c r="T104" i="26"/>
  <c r="S104" i="26"/>
  <c r="Y95" i="26"/>
  <c r="Y126" i="26" s="1"/>
  <c r="T93" i="26"/>
  <c r="T95" i="26" s="1"/>
  <c r="T126" i="26" s="1"/>
  <c r="V93" i="26"/>
  <c r="V95" i="26" s="1"/>
  <c r="V126" i="26" s="1"/>
  <c r="W93" i="26"/>
  <c r="W95" i="26" s="1"/>
  <c r="W126" i="26" s="1"/>
  <c r="Y93" i="26"/>
  <c r="Z93" i="26"/>
  <c r="Z95" i="26" s="1"/>
  <c r="Z126" i="26" s="1"/>
  <c r="AB93" i="26"/>
  <c r="AB95" i="26" s="1"/>
  <c r="AB126" i="26" s="1"/>
  <c r="AC93" i="26"/>
  <c r="AC95" i="26" s="1"/>
  <c r="AC126" i="26" s="1"/>
  <c r="S93" i="26"/>
  <c r="S95" i="26" s="1"/>
  <c r="S126" i="26" s="1"/>
  <c r="U88" i="26"/>
  <c r="V88" i="26"/>
  <c r="AI88" i="26" s="1"/>
  <c r="W88" i="26"/>
  <c r="X88" i="26"/>
  <c r="Y88" i="26"/>
  <c r="Z88" i="26"/>
  <c r="AA88" i="26"/>
  <c r="AB88" i="26"/>
  <c r="AC88" i="26"/>
  <c r="AD88" i="26"/>
  <c r="AK88" i="26" s="1"/>
  <c r="S88" i="26"/>
  <c r="T87" i="26"/>
  <c r="T88" i="26"/>
  <c r="U87" i="26"/>
  <c r="V87" i="26"/>
  <c r="W87" i="26"/>
  <c r="X87" i="26"/>
  <c r="Y87" i="26"/>
  <c r="Z87" i="26"/>
  <c r="AA87" i="26"/>
  <c r="AB87" i="26"/>
  <c r="AC87" i="26"/>
  <c r="AD87" i="26"/>
  <c r="S87" i="26"/>
  <c r="V77" i="26"/>
  <c r="W77" i="26"/>
  <c r="T76" i="26"/>
  <c r="U76" i="26"/>
  <c r="V76" i="26"/>
  <c r="W76" i="26"/>
  <c r="X76" i="26"/>
  <c r="Y76" i="26"/>
  <c r="Z76" i="26"/>
  <c r="AA76" i="26"/>
  <c r="AB76" i="26"/>
  <c r="AC76" i="26"/>
  <c r="AD76" i="26"/>
  <c r="S76" i="26"/>
  <c r="T75" i="26"/>
  <c r="V75" i="26"/>
  <c r="W75" i="26"/>
  <c r="Y75" i="26"/>
  <c r="Z75" i="26"/>
  <c r="AB75" i="26"/>
  <c r="AC75" i="26"/>
  <c r="S75" i="26"/>
  <c r="T74" i="26"/>
  <c r="T77" i="26" s="1"/>
  <c r="V74" i="26"/>
  <c r="W74" i="26"/>
  <c r="Y74" i="26"/>
  <c r="Y77" i="26" s="1"/>
  <c r="Z74" i="26"/>
  <c r="Z77" i="26" s="1"/>
  <c r="AB74" i="26"/>
  <c r="AB77" i="26" s="1"/>
  <c r="AC74" i="26"/>
  <c r="AC77" i="26" s="1"/>
  <c r="S74" i="26"/>
  <c r="S77" i="26" s="1"/>
  <c r="AD73" i="26"/>
  <c r="AC73" i="26"/>
  <c r="AB73" i="26"/>
  <c r="AA73" i="26"/>
  <c r="Z73" i="26"/>
  <c r="Y73" i="26"/>
  <c r="X73" i="26"/>
  <c r="W73" i="26"/>
  <c r="V73" i="26"/>
  <c r="U73" i="26"/>
  <c r="T73" i="26"/>
  <c r="S73" i="26"/>
  <c r="U113" i="26"/>
  <c r="S113" i="26"/>
  <c r="AD67" i="26"/>
  <c r="AC67" i="26"/>
  <c r="AB67" i="26"/>
  <c r="Z67" i="26"/>
  <c r="Y67" i="26"/>
  <c r="X67" i="26"/>
  <c r="U67" i="26"/>
  <c r="V67" i="26"/>
  <c r="W67" i="26"/>
  <c r="T67" i="26"/>
  <c r="S67" i="26"/>
  <c r="T29" i="26"/>
  <c r="U29" i="26"/>
  <c r="V29" i="26"/>
  <c r="W29" i="26"/>
  <c r="X29" i="26"/>
  <c r="Y29" i="26"/>
  <c r="Z29" i="26"/>
  <c r="AA29" i="26"/>
  <c r="AB29" i="26"/>
  <c r="AC29" i="26"/>
  <c r="AD29" i="26"/>
  <c r="S29" i="26"/>
  <c r="AD28" i="26"/>
  <c r="AC28" i="26"/>
  <c r="AB28" i="26"/>
  <c r="AA28" i="26"/>
  <c r="Z28" i="26"/>
  <c r="Y28" i="26"/>
  <c r="X28" i="26"/>
  <c r="W28" i="26"/>
  <c r="V28" i="26"/>
  <c r="U28" i="26"/>
  <c r="T28" i="26"/>
  <c r="S28" i="26"/>
  <c r="T27" i="26"/>
  <c r="U27" i="26"/>
  <c r="V27" i="26"/>
  <c r="W27" i="26"/>
  <c r="X27" i="26"/>
  <c r="Y27" i="26"/>
  <c r="Z27" i="26"/>
  <c r="AA27" i="26"/>
  <c r="AB27" i="26"/>
  <c r="AC27" i="26"/>
  <c r="AD27" i="26"/>
  <c r="S27" i="26"/>
  <c r="T42" i="26"/>
  <c r="T44" i="26" s="1"/>
  <c r="U42" i="26"/>
  <c r="U44" i="26" s="1"/>
  <c r="V42" i="26"/>
  <c r="V44" i="26" s="1"/>
  <c r="W42" i="26"/>
  <c r="W44" i="26" s="1"/>
  <c r="X42" i="26"/>
  <c r="X44" i="26" s="1"/>
  <c r="Y42" i="26"/>
  <c r="Y44" i="26" s="1"/>
  <c r="Z42" i="26"/>
  <c r="Z44" i="26" s="1"/>
  <c r="AA42" i="26"/>
  <c r="AA44" i="26" s="1"/>
  <c r="AB42" i="26"/>
  <c r="AB44" i="26" s="1"/>
  <c r="AC42" i="26"/>
  <c r="AC44" i="26" s="1"/>
  <c r="AD42" i="26"/>
  <c r="AD44" i="26" s="1"/>
  <c r="S42" i="26"/>
  <c r="S44" i="26" s="1"/>
  <c r="T40" i="26"/>
  <c r="T45" i="26" s="1"/>
  <c r="S40" i="26"/>
  <c r="S68" i="26" s="1"/>
  <c r="S125" i="26" s="1"/>
  <c r="V40" i="26"/>
  <c r="V45" i="26" s="1"/>
  <c r="W40" i="26"/>
  <c r="W45" i="26" s="1"/>
  <c r="X40" i="26"/>
  <c r="X45" i="26" s="1"/>
  <c r="Y40" i="26"/>
  <c r="Y45" i="26" s="1"/>
  <c r="Z40" i="26"/>
  <c r="Z68" i="26" s="1"/>
  <c r="Z125" i="26" s="1"/>
  <c r="AA40" i="26"/>
  <c r="AA72" i="26" s="1"/>
  <c r="AB40" i="26"/>
  <c r="AB45" i="26" s="1"/>
  <c r="AC40" i="26"/>
  <c r="AC68" i="26" s="1"/>
  <c r="AC125" i="26" s="1"/>
  <c r="AD40" i="26"/>
  <c r="AD45" i="26" s="1"/>
  <c r="U40" i="26"/>
  <c r="U72" i="26" s="1"/>
  <c r="T30" i="26"/>
  <c r="U30" i="26"/>
  <c r="V30" i="26"/>
  <c r="W30" i="26"/>
  <c r="X30" i="26"/>
  <c r="Y30" i="26"/>
  <c r="Z30" i="26"/>
  <c r="AA30" i="26"/>
  <c r="AB30" i="26"/>
  <c r="AC30" i="26"/>
  <c r="AD30" i="26"/>
  <c r="S30" i="26"/>
  <c r="Z20" i="26"/>
  <c r="Z22" i="26" s="1"/>
  <c r="Z24" i="26" s="1"/>
  <c r="AA20" i="26"/>
  <c r="AA22" i="26" s="1"/>
  <c r="AA24" i="26" s="1"/>
  <c r="AH117" i="24"/>
  <c r="AH116" i="24"/>
  <c r="AH112" i="24"/>
  <c r="AH85" i="24"/>
  <c r="AH71" i="24"/>
  <c r="AH66" i="24"/>
  <c r="AH67" i="24" s="1"/>
  <c r="AH57" i="24"/>
  <c r="AH53" i="24"/>
  <c r="AH47" i="24"/>
  <c r="AH44" i="24"/>
  <c r="AH18" i="24"/>
  <c r="AI11" i="24"/>
  <c r="AJ11" i="24"/>
  <c r="AK11" i="24"/>
  <c r="AL11" i="24"/>
  <c r="AM11" i="24"/>
  <c r="AN11" i="24"/>
  <c r="AO11" i="24"/>
  <c r="AP11" i="24"/>
  <c r="AQ11" i="24"/>
  <c r="AH11" i="24"/>
  <c r="AC6" i="26"/>
  <c r="AD6" i="26"/>
  <c r="AB6" i="26"/>
  <c r="Z6" i="26"/>
  <c r="AA6" i="26"/>
  <c r="Y6" i="26"/>
  <c r="W6" i="26"/>
  <c r="X6" i="26"/>
  <c r="V6" i="26"/>
  <c r="T6" i="26"/>
  <c r="U6" i="26"/>
  <c r="S6" i="26"/>
  <c r="BD82" i="24"/>
  <c r="AI82" i="24"/>
  <c r="AJ82" i="24"/>
  <c r="AJ83" i="24" s="1"/>
  <c r="AK82" i="24"/>
  <c r="AK83" i="24" s="1"/>
  <c r="AL82" i="24"/>
  <c r="AM82" i="24"/>
  <c r="AM83" i="24" s="1"/>
  <c r="AN82" i="24"/>
  <c r="AN83" i="24" s="1"/>
  <c r="AO82" i="24"/>
  <c r="AO83" i="24" s="1"/>
  <c r="AP82" i="24"/>
  <c r="AP83" i="24" s="1"/>
  <c r="AQ82" i="24"/>
  <c r="AQ83" i="24" s="1"/>
  <c r="AH82" i="24"/>
  <c r="AH83" i="24" s="1"/>
  <c r="O15" i="32"/>
  <c r="N15" i="32"/>
  <c r="L15" i="32"/>
  <c r="K15" i="32"/>
  <c r="J15" i="32"/>
  <c r="I15" i="32"/>
  <c r="H15" i="32"/>
  <c r="G15" i="32"/>
  <c r="F15" i="32"/>
  <c r="E15" i="32"/>
  <c r="D15" i="32"/>
  <c r="M15" i="32"/>
  <c r="O13" i="32"/>
  <c r="N13" i="32"/>
  <c r="M13" i="32"/>
  <c r="L13" i="32"/>
  <c r="K13" i="32"/>
  <c r="J13" i="32"/>
  <c r="I13" i="32"/>
  <c r="H13" i="32"/>
  <c r="G13" i="32"/>
  <c r="F13" i="32"/>
  <c r="E13" i="32"/>
  <c r="D13" i="32"/>
  <c r="O11" i="32"/>
  <c r="N11" i="32"/>
  <c r="M11" i="32"/>
  <c r="L11" i="32"/>
  <c r="K11" i="32"/>
  <c r="J11" i="32"/>
  <c r="I11" i="32"/>
  <c r="H11" i="32"/>
  <c r="G11" i="32"/>
  <c r="F11" i="32"/>
  <c r="E11" i="32"/>
  <c r="D11" i="32"/>
  <c r="P10" i="32"/>
  <c r="P13" i="32"/>
  <c r="P14" i="32"/>
  <c r="P15" i="32"/>
  <c r="T35" i="26"/>
  <c r="U35" i="26"/>
  <c r="V35" i="26"/>
  <c r="W35" i="26"/>
  <c r="X35" i="26"/>
  <c r="S35" i="26"/>
  <c r="T19" i="26"/>
  <c r="T20" i="26" s="1"/>
  <c r="T22" i="26" s="1"/>
  <c r="T24" i="26" s="1"/>
  <c r="U19" i="26"/>
  <c r="U20" i="26" s="1"/>
  <c r="U22" i="26" s="1"/>
  <c r="U24" i="26" s="1"/>
  <c r="V19" i="26"/>
  <c r="V20" i="26" s="1"/>
  <c r="V22" i="26" s="1"/>
  <c r="V24" i="26" s="1"/>
  <c r="W19" i="26"/>
  <c r="W20" i="26" s="1"/>
  <c r="W22" i="26" s="1"/>
  <c r="W24" i="26" s="1"/>
  <c r="X19" i="26"/>
  <c r="X20" i="26" s="1"/>
  <c r="X22" i="26" s="1"/>
  <c r="X24" i="26" s="1"/>
  <c r="Y19" i="26"/>
  <c r="Y20" i="26" s="1"/>
  <c r="Y22" i="26" s="1"/>
  <c r="Y24" i="26" s="1"/>
  <c r="Z19" i="26"/>
  <c r="AA19" i="26"/>
  <c r="AB19" i="26"/>
  <c r="AB20" i="26" s="1"/>
  <c r="AB22" i="26" s="1"/>
  <c r="AB24" i="26" s="1"/>
  <c r="AC19" i="26"/>
  <c r="AC20" i="26" s="1"/>
  <c r="AC22" i="26" s="1"/>
  <c r="AC24" i="26" s="1"/>
  <c r="AD19" i="26"/>
  <c r="AD20" i="26" s="1"/>
  <c r="AD22" i="26" s="1"/>
  <c r="AD24" i="26" s="1"/>
  <c r="S19" i="26"/>
  <c r="S20" i="26" s="1"/>
  <c r="S22" i="26" s="1"/>
  <c r="S24" i="26" s="1"/>
  <c r="T17" i="26"/>
  <c r="U17" i="26"/>
  <c r="V17" i="26"/>
  <c r="W17" i="26"/>
  <c r="X17" i="26"/>
  <c r="Y17" i="26"/>
  <c r="Z17" i="26"/>
  <c r="AA17" i="26"/>
  <c r="AB17" i="26"/>
  <c r="AC17" i="26"/>
  <c r="AD17" i="26"/>
  <c r="S17" i="26"/>
  <c r="AA15" i="26"/>
  <c r="AA122" i="26" s="1"/>
  <c r="AB15" i="26"/>
  <c r="AB122" i="26" s="1"/>
  <c r="AC15" i="26"/>
  <c r="AC122" i="26" s="1"/>
  <c r="AD15" i="26"/>
  <c r="AD122" i="26" s="1"/>
  <c r="Z15" i="26"/>
  <c r="Z122" i="26" s="1"/>
  <c r="Y15" i="26"/>
  <c r="T15" i="26"/>
  <c r="U15" i="26"/>
  <c r="V15" i="26"/>
  <c r="V122" i="26" s="1"/>
  <c r="W15" i="26"/>
  <c r="W122" i="26" s="1"/>
  <c r="X15" i="26"/>
  <c r="X122" i="26" s="1"/>
  <c r="S15" i="26"/>
  <c r="S122" i="26" s="1"/>
  <c r="T11" i="26"/>
  <c r="U11" i="26"/>
  <c r="V11" i="26"/>
  <c r="W11" i="26"/>
  <c r="X11" i="26"/>
  <c r="Y11" i="26"/>
  <c r="Z11" i="26"/>
  <c r="AA11" i="26"/>
  <c r="AB11" i="26"/>
  <c r="AC11" i="26"/>
  <c r="AD11" i="26"/>
  <c r="S11" i="26"/>
  <c r="AF20" i="26"/>
  <c r="AF21" i="26"/>
  <c r="AH21" i="26" s="1"/>
  <c r="AF22" i="26"/>
  <c r="AF23" i="26"/>
  <c r="AI23" i="26" s="1"/>
  <c r="AF24" i="26"/>
  <c r="AF25" i="26"/>
  <c r="AF26" i="26"/>
  <c r="AI26" i="26" s="1"/>
  <c r="AF27" i="26"/>
  <c r="AL27" i="26" s="1"/>
  <c r="AF28" i="26"/>
  <c r="AL28" i="26" s="1"/>
  <c r="AF29" i="26"/>
  <c r="AL29" i="26" s="1"/>
  <c r="AF30" i="26"/>
  <c r="AL30" i="26" s="1"/>
  <c r="AF31" i="26"/>
  <c r="AJ31" i="26" s="1"/>
  <c r="AF32" i="26"/>
  <c r="AK32" i="26" s="1"/>
  <c r="AF33" i="26"/>
  <c r="AH33" i="26" s="1"/>
  <c r="AF34" i="26"/>
  <c r="AH34" i="26" s="1"/>
  <c r="AF35" i="26"/>
  <c r="AJ35" i="26" s="1"/>
  <c r="AF36" i="26"/>
  <c r="AM36" i="26" s="1"/>
  <c r="F27" i="26"/>
  <c r="F28" i="26"/>
  <c r="F29" i="26"/>
  <c r="F30" i="26"/>
  <c r="F31" i="26"/>
  <c r="F32" i="26"/>
  <c r="F33" i="26"/>
  <c r="F34" i="26"/>
  <c r="F35" i="26"/>
  <c r="F36" i="26"/>
  <c r="F37" i="26"/>
  <c r="F38" i="26"/>
  <c r="D36" i="26"/>
  <c r="AG36" i="26" s="1"/>
  <c r="D35" i="26"/>
  <c r="AG35" i="26" s="1"/>
  <c r="D34" i="26"/>
  <c r="AG34" i="26" s="1"/>
  <c r="D33" i="26"/>
  <c r="AG33" i="26" s="1"/>
  <c r="D32" i="26"/>
  <c r="AG32" i="26" s="1"/>
  <c r="D31" i="26"/>
  <c r="AG31" i="26" s="1"/>
  <c r="D30" i="26"/>
  <c r="AG30" i="26" s="1"/>
  <c r="D36" i="24"/>
  <c r="BG36" i="24" s="1"/>
  <c r="D35" i="24"/>
  <c r="BG35" i="24" s="1"/>
  <c r="D34" i="24"/>
  <c r="BG34" i="24" s="1"/>
  <c r="D33" i="24"/>
  <c r="BG33" i="24" s="1"/>
  <c r="D32" i="24"/>
  <c r="BG32" i="24" s="1"/>
  <c r="D29" i="24"/>
  <c r="BG29" i="24" s="1"/>
  <c r="D28" i="24"/>
  <c r="BG28" i="24" s="1"/>
  <c r="D27" i="24"/>
  <c r="AK136" i="26"/>
  <c r="AK135" i="26"/>
  <c r="AK134" i="26"/>
  <c r="AK133" i="26"/>
  <c r="AK89" i="26"/>
  <c r="AK87" i="26"/>
  <c r="AK90" i="26" s="1"/>
  <c r="AK86" i="26"/>
  <c r="AK85" i="26"/>
  <c r="AK84" i="26"/>
  <c r="AK83" i="26"/>
  <c r="AK61" i="26"/>
  <c r="AK48" i="26"/>
  <c r="AK4" i="26"/>
  <c r="AJ136" i="26"/>
  <c r="AJ135" i="26"/>
  <c r="AJ134" i="26"/>
  <c r="AJ133" i="26"/>
  <c r="AJ89" i="26"/>
  <c r="AJ87" i="26"/>
  <c r="AJ86" i="26"/>
  <c r="AJ85" i="26"/>
  <c r="AJ84" i="26"/>
  <c r="AJ83" i="26"/>
  <c r="AJ61" i="26"/>
  <c r="AJ48" i="26"/>
  <c r="AJ4" i="26"/>
  <c r="AI136" i="26"/>
  <c r="AI135" i="26"/>
  <c r="AI134" i="26"/>
  <c r="AI133" i="26"/>
  <c r="AI137" i="26" s="1"/>
  <c r="AI89" i="26"/>
  <c r="AI87" i="26"/>
  <c r="AI86" i="26"/>
  <c r="AI85" i="26"/>
  <c r="AI84" i="26"/>
  <c r="AI83" i="26"/>
  <c r="AI61" i="26"/>
  <c r="AI48" i="26"/>
  <c r="AI4" i="26"/>
  <c r="AH136" i="26"/>
  <c r="AH135" i="26"/>
  <c r="AH134" i="26"/>
  <c r="AH133" i="26"/>
  <c r="AH89" i="26"/>
  <c r="AH88" i="26"/>
  <c r="AH87" i="26"/>
  <c r="AH86" i="26"/>
  <c r="AH85" i="26"/>
  <c r="AH84" i="26"/>
  <c r="AH83" i="26"/>
  <c r="AH61" i="26"/>
  <c r="AH48" i="26"/>
  <c r="AH4" i="26"/>
  <c r="AG11" i="24"/>
  <c r="AG117" i="24"/>
  <c r="AG116" i="24"/>
  <c r="AG129" i="24"/>
  <c r="AG122" i="24"/>
  <c r="AG112" i="24"/>
  <c r="AG93" i="24"/>
  <c r="AG82" i="24"/>
  <c r="O15" i="28"/>
  <c r="AG85" i="24"/>
  <c r="AG71" i="24"/>
  <c r="AG66" i="24"/>
  <c r="AG53" i="24"/>
  <c r="AG57" i="24"/>
  <c r="AG47" i="24"/>
  <c r="AG44" i="24"/>
  <c r="AG38" i="24"/>
  <c r="AG24" i="24"/>
  <c r="AF82" i="24"/>
  <c r="AG18" i="24"/>
  <c r="N15" i="28"/>
  <c r="N14" i="28"/>
  <c r="AF38" i="24"/>
  <c r="AF129" i="24"/>
  <c r="AF122" i="24"/>
  <c r="AF116" i="24"/>
  <c r="AF112" i="24"/>
  <c r="AF93" i="24"/>
  <c r="AF85" i="24"/>
  <c r="AF71" i="24"/>
  <c r="AF66" i="24"/>
  <c r="AF67" i="24" s="1"/>
  <c r="AF124" i="24" s="1"/>
  <c r="AF24" i="24"/>
  <c r="AF11" i="24"/>
  <c r="AF117" i="24"/>
  <c r="AF57" i="24"/>
  <c r="AF53" i="24"/>
  <c r="AF47" i="24"/>
  <c r="AF44" i="24"/>
  <c r="Q16" i="24"/>
  <c r="Q122" i="24" s="1"/>
  <c r="Q15" i="24"/>
  <c r="Q121" i="24" s="1"/>
  <c r="Q117" i="24"/>
  <c r="Q115" i="24"/>
  <c r="Q116" i="24" s="1"/>
  <c r="Q111" i="24"/>
  <c r="Q105" i="24"/>
  <c r="Q129" i="24" s="1"/>
  <c r="P111" i="24"/>
  <c r="P105" i="24"/>
  <c r="P129" i="24" s="1"/>
  <c r="O111" i="24"/>
  <c r="O105" i="24"/>
  <c r="O129" i="24" s="1"/>
  <c r="N111" i="24"/>
  <c r="N105" i="24"/>
  <c r="M111" i="24"/>
  <c r="Q127" i="24"/>
  <c r="Q93" i="24"/>
  <c r="Q82" i="24"/>
  <c r="Q85" i="24" s="1"/>
  <c r="Q90" i="24"/>
  <c r="Q75" i="24"/>
  <c r="Q71" i="24"/>
  <c r="Q92" i="24" s="1"/>
  <c r="Q66" i="24"/>
  <c r="Q67" i="24" s="1"/>
  <c r="Q124" i="24" s="1"/>
  <c r="Q24" i="24"/>
  <c r="Q38" i="24"/>
  <c r="Q39" i="24" s="1"/>
  <c r="Q53" i="24"/>
  <c r="Q64" i="24"/>
  <c r="Q60" i="24"/>
  <c r="Q59" i="24"/>
  <c r="Q58" i="24"/>
  <c r="Q57" i="24"/>
  <c r="P57" i="24"/>
  <c r="Q47" i="24"/>
  <c r="Q44" i="24"/>
  <c r="Q19" i="24"/>
  <c r="Q20" i="24" s="1"/>
  <c r="Q21" i="24" s="1"/>
  <c r="M14" i="28"/>
  <c r="M15" i="28"/>
  <c r="Q11" i="24"/>
  <c r="Q8" i="24"/>
  <c r="P11" i="24"/>
  <c r="P16" i="24"/>
  <c r="P122" i="24" s="1"/>
  <c r="P15" i="24"/>
  <c r="P121" i="24" s="1"/>
  <c r="P117" i="24"/>
  <c r="P116" i="24"/>
  <c r="P110" i="24"/>
  <c r="P93" i="24" s="1"/>
  <c r="P109" i="24"/>
  <c r="P38" i="24" s="1"/>
  <c r="P39" i="24" s="1"/>
  <c r="P108" i="24"/>
  <c r="P66" i="24" s="1"/>
  <c r="P67" i="24" s="1"/>
  <c r="P124" i="24" s="1"/>
  <c r="P107" i="24"/>
  <c r="P106" i="24"/>
  <c r="P8" i="24"/>
  <c r="P14" i="28"/>
  <c r="P10" i="28"/>
  <c r="P15" i="28"/>
  <c r="P90" i="24"/>
  <c r="L15" i="28"/>
  <c r="P82" i="24"/>
  <c r="P85" i="24" s="1"/>
  <c r="P127" i="24"/>
  <c r="P75" i="24"/>
  <c r="P71" i="24"/>
  <c r="P73" i="24" s="1"/>
  <c r="P76" i="24" s="1"/>
  <c r="P64" i="24"/>
  <c r="P60" i="24"/>
  <c r="P59" i="24"/>
  <c r="P58" i="24"/>
  <c r="P24" i="24"/>
  <c r="P19" i="24"/>
  <c r="P20" i="24" s="1"/>
  <c r="P47" i="24"/>
  <c r="P44" i="24"/>
  <c r="P53" i="24"/>
  <c r="O16" i="24"/>
  <c r="O122" i="24" s="1"/>
  <c r="O15" i="24"/>
  <c r="O121" i="24" s="1"/>
  <c r="O11" i="24"/>
  <c r="O8" i="24"/>
  <c r="O90" i="24"/>
  <c r="K15" i="28"/>
  <c r="O82" i="24"/>
  <c r="O85" i="24" s="1"/>
  <c r="O75" i="24"/>
  <c r="O71" i="24"/>
  <c r="O73" i="24" s="1"/>
  <c r="O76" i="24" s="1"/>
  <c r="O128" i="24" s="1"/>
  <c r="O127" i="24"/>
  <c r="O115" i="24"/>
  <c r="O116" i="24" s="1"/>
  <c r="O110" i="24"/>
  <c r="O93" i="24" s="1"/>
  <c r="O109" i="24"/>
  <c r="O38" i="24" s="1"/>
  <c r="O39" i="24" s="1"/>
  <c r="O108" i="24"/>
  <c r="O66" i="24" s="1"/>
  <c r="O67" i="24" s="1"/>
  <c r="O124" i="24" s="1"/>
  <c r="O107" i="24"/>
  <c r="O106" i="24"/>
  <c r="O24" i="24"/>
  <c r="O117" i="24"/>
  <c r="O61" i="24"/>
  <c r="O64" i="24" s="1"/>
  <c r="O46" i="24"/>
  <c r="O47" i="24" s="1"/>
  <c r="O49" i="24"/>
  <c r="O19" i="24"/>
  <c r="O18" i="24" s="1"/>
  <c r="O43" i="24"/>
  <c r="O41" i="24"/>
  <c r="O58" i="24"/>
  <c r="O59" i="24"/>
  <c r="O60" i="24"/>
  <c r="O57" i="24"/>
  <c r="O53" i="24"/>
  <c r="N90" i="24"/>
  <c r="M90" i="24"/>
  <c r="L90" i="24"/>
  <c r="K90" i="24"/>
  <c r="J90" i="24"/>
  <c r="I90" i="24"/>
  <c r="H90" i="24"/>
  <c r="N22" i="24"/>
  <c r="N24" i="24" s="1"/>
  <c r="N115" i="24"/>
  <c r="N116" i="24" s="1"/>
  <c r="N109" i="24"/>
  <c r="N38" i="24" s="1"/>
  <c r="N39" i="24" s="1"/>
  <c r="N123" i="24" s="1"/>
  <c r="N110" i="24"/>
  <c r="N93" i="24" s="1"/>
  <c r="N108" i="24"/>
  <c r="N66" i="24" s="1"/>
  <c r="N67" i="24" s="1"/>
  <c r="N124" i="24" s="1"/>
  <c r="N107" i="24"/>
  <c r="N106" i="24"/>
  <c r="N16" i="24"/>
  <c r="N122" i="24" s="1"/>
  <c r="N15" i="24"/>
  <c r="N121" i="24" s="1"/>
  <c r="J15" i="28"/>
  <c r="N82" i="24"/>
  <c r="N85" i="24" s="1"/>
  <c r="N75" i="24"/>
  <c r="N71" i="24"/>
  <c r="N92" i="24" s="1"/>
  <c r="N127" i="24"/>
  <c r="M127" i="24"/>
  <c r="M129" i="24"/>
  <c r="N117" i="24"/>
  <c r="N8" i="24"/>
  <c r="N11" i="24"/>
  <c r="N64" i="24"/>
  <c r="N59" i="24"/>
  <c r="N58" i="24"/>
  <c r="N57" i="24"/>
  <c r="N53" i="24"/>
  <c r="N42" i="24"/>
  <c r="N19" i="24" s="1"/>
  <c r="N18" i="24" s="1"/>
  <c r="N41" i="24"/>
  <c r="N47" i="24"/>
  <c r="H6" i="26"/>
  <c r="I6" i="26"/>
  <c r="J6" i="26"/>
  <c r="K6" i="26"/>
  <c r="L6" i="26"/>
  <c r="M6" i="26"/>
  <c r="N6" i="26"/>
  <c r="O6" i="26"/>
  <c r="P6" i="26"/>
  <c r="Q6" i="26"/>
  <c r="R6" i="26"/>
  <c r="G6" i="26"/>
  <c r="H7" i="26"/>
  <c r="I7" i="26"/>
  <c r="J7" i="26"/>
  <c r="K7" i="26"/>
  <c r="L7" i="26"/>
  <c r="M7" i="26"/>
  <c r="N7" i="26"/>
  <c r="O7" i="26"/>
  <c r="P7" i="26"/>
  <c r="Q7" i="26"/>
  <c r="R7" i="26"/>
  <c r="G7" i="26"/>
  <c r="M64" i="24"/>
  <c r="M59" i="24"/>
  <c r="M58" i="24"/>
  <c r="M47" i="24"/>
  <c r="M53" i="24"/>
  <c r="M57" i="24"/>
  <c r="M49" i="24"/>
  <c r="M24" i="24"/>
  <c r="M19" i="24"/>
  <c r="M20" i="24" s="1"/>
  <c r="M44" i="24"/>
  <c r="M82" i="24"/>
  <c r="M85" i="24" s="1"/>
  <c r="I15" i="28"/>
  <c r="M75" i="24"/>
  <c r="M71" i="24"/>
  <c r="M73" i="24" s="1"/>
  <c r="M76" i="24" s="1"/>
  <c r="M128" i="24" s="1"/>
  <c r="M117" i="24"/>
  <c r="M8" i="24"/>
  <c r="M11" i="24"/>
  <c r="M16" i="24"/>
  <c r="M122" i="24" s="1"/>
  <c r="M15" i="24"/>
  <c r="M121" i="24" s="1"/>
  <c r="M116" i="24"/>
  <c r="M110" i="24"/>
  <c r="M93" i="24" s="1"/>
  <c r="M109" i="24"/>
  <c r="M38" i="24" s="1"/>
  <c r="M39" i="24" s="1"/>
  <c r="M123" i="24" s="1"/>
  <c r="M108" i="24"/>
  <c r="M66" i="24" s="1"/>
  <c r="M67" i="24" s="1"/>
  <c r="M107" i="24"/>
  <c r="M106" i="24"/>
  <c r="I82" i="24"/>
  <c r="I85" i="24" s="1"/>
  <c r="J82" i="24"/>
  <c r="J85" i="24" s="1"/>
  <c r="K82" i="24"/>
  <c r="K85" i="24" s="1"/>
  <c r="L82" i="24"/>
  <c r="L85" i="24" s="1"/>
  <c r="H82" i="24"/>
  <c r="H85" i="24" s="1"/>
  <c r="AF82" i="26"/>
  <c r="AL82" i="26" s="1"/>
  <c r="I127" i="24"/>
  <c r="J127" i="24"/>
  <c r="K127" i="24"/>
  <c r="L127" i="24"/>
  <c r="H133" i="26"/>
  <c r="I133" i="26"/>
  <c r="J133" i="26"/>
  <c r="K133" i="26"/>
  <c r="L133" i="26"/>
  <c r="M133" i="26"/>
  <c r="N133" i="26"/>
  <c r="O133" i="26"/>
  <c r="P133" i="26"/>
  <c r="Q133" i="26"/>
  <c r="R133" i="26"/>
  <c r="G133" i="26"/>
  <c r="H127" i="24"/>
  <c r="H134" i="24"/>
  <c r="D136" i="24"/>
  <c r="BG136" i="24" s="1"/>
  <c r="D135" i="24"/>
  <c r="BG135" i="24" s="1"/>
  <c r="D134" i="24"/>
  <c r="BG134" i="24" s="1"/>
  <c r="D133" i="24"/>
  <c r="BG133" i="24" s="1"/>
  <c r="D132" i="24"/>
  <c r="BG132" i="24" s="1"/>
  <c r="AF137" i="26"/>
  <c r="F137" i="26"/>
  <c r="D137" i="26"/>
  <c r="AG137" i="26" s="1"/>
  <c r="F136" i="26"/>
  <c r="D136" i="26"/>
  <c r="AG136" i="26" s="1"/>
  <c r="F135" i="26"/>
  <c r="D135" i="26"/>
  <c r="AG135" i="26" s="1"/>
  <c r="F134" i="26"/>
  <c r="D134" i="26"/>
  <c r="AG134" i="26" s="1"/>
  <c r="F133" i="26"/>
  <c r="D133" i="26"/>
  <c r="AG133" i="26" s="1"/>
  <c r="H89" i="26"/>
  <c r="H90" i="26" s="1"/>
  <c r="I89" i="26"/>
  <c r="I90" i="26" s="1"/>
  <c r="J89" i="26"/>
  <c r="K89" i="26"/>
  <c r="K90" i="26" s="1"/>
  <c r="L89" i="26"/>
  <c r="L90" i="26" s="1"/>
  <c r="M89" i="26"/>
  <c r="M90" i="26" s="1"/>
  <c r="N89" i="26"/>
  <c r="N90" i="26"/>
  <c r="O89" i="26"/>
  <c r="O90" i="26" s="1"/>
  <c r="P89" i="26"/>
  <c r="P90" i="26"/>
  <c r="Q89" i="26"/>
  <c r="Q90" i="26" s="1"/>
  <c r="R89" i="26"/>
  <c r="R90" i="26"/>
  <c r="G89" i="26"/>
  <c r="G90" i="26" s="1"/>
  <c r="J90" i="26"/>
  <c r="H88" i="26"/>
  <c r="I88" i="26"/>
  <c r="J88" i="26"/>
  <c r="K88" i="26"/>
  <c r="L88" i="26"/>
  <c r="M88" i="26"/>
  <c r="N88" i="26"/>
  <c r="O88" i="26"/>
  <c r="P88" i="26"/>
  <c r="Q88" i="26"/>
  <c r="R88" i="26"/>
  <c r="G88" i="26"/>
  <c r="H91" i="26"/>
  <c r="J91" i="26"/>
  <c r="M91" i="26"/>
  <c r="N91" i="26"/>
  <c r="O91" i="26"/>
  <c r="P91" i="26"/>
  <c r="Q91" i="26"/>
  <c r="G91" i="26"/>
  <c r="F86" i="26"/>
  <c r="D86" i="26"/>
  <c r="AG86" i="26" s="1"/>
  <c r="F85" i="26"/>
  <c r="D85" i="26"/>
  <c r="AG85" i="26" s="1"/>
  <c r="F84" i="26"/>
  <c r="D84" i="26"/>
  <c r="AG84" i="26" s="1"/>
  <c r="F83" i="26"/>
  <c r="D83" i="26"/>
  <c r="AG83" i="26" s="1"/>
  <c r="D85" i="24"/>
  <c r="BG85" i="24" s="1"/>
  <c r="D84" i="24"/>
  <c r="BG84" i="24" s="1"/>
  <c r="D83" i="24"/>
  <c r="BG83" i="24" s="1"/>
  <c r="D82" i="24"/>
  <c r="BG82" i="24" s="1"/>
  <c r="E15" i="28"/>
  <c r="F15" i="28"/>
  <c r="G15" i="28"/>
  <c r="H15" i="28"/>
  <c r="D15" i="28"/>
  <c r="E13" i="28"/>
  <c r="F13" i="28"/>
  <c r="G13" i="28"/>
  <c r="H13" i="28"/>
  <c r="I13" i="28"/>
  <c r="J13" i="28"/>
  <c r="K13" i="28"/>
  <c r="L13" i="28"/>
  <c r="M13" i="28"/>
  <c r="N13" i="28"/>
  <c r="O13" i="28"/>
  <c r="D13" i="28"/>
  <c r="P13" i="28"/>
  <c r="E11" i="28"/>
  <c r="I83" i="24"/>
  <c r="F11" i="28"/>
  <c r="J83" i="24"/>
  <c r="G11" i="28"/>
  <c r="K83" i="24"/>
  <c r="H11" i="28"/>
  <c r="L83" i="24"/>
  <c r="I11" i="28"/>
  <c r="M83" i="24"/>
  <c r="J11" i="28"/>
  <c r="N83" i="24"/>
  <c r="K11" i="28"/>
  <c r="O83" i="24"/>
  <c r="L11" i="28"/>
  <c r="P83" i="24"/>
  <c r="M11" i="28"/>
  <c r="Q83" i="24"/>
  <c r="N11" i="28"/>
  <c r="AF83" i="24"/>
  <c r="O11" i="28"/>
  <c r="AG83" i="24"/>
  <c r="D11" i="28"/>
  <c r="H83" i="24"/>
  <c r="L24" i="24"/>
  <c r="L19" i="24"/>
  <c r="L20" i="24" s="1"/>
  <c r="L60" i="24"/>
  <c r="L59" i="24"/>
  <c r="L58" i="24"/>
  <c r="L44" i="24"/>
  <c r="L47" i="24"/>
  <c r="K16" i="24"/>
  <c r="K122" i="24" s="1"/>
  <c r="L16" i="24"/>
  <c r="L122" i="24" s="1"/>
  <c r="L15" i="24"/>
  <c r="L121" i="24" s="1"/>
  <c r="L11" i="24"/>
  <c r="L71" i="24"/>
  <c r="L74" i="24" s="1"/>
  <c r="L117" i="24"/>
  <c r="K117" i="24"/>
  <c r="L111" i="24"/>
  <c r="L110" i="24"/>
  <c r="L93" i="24" s="1"/>
  <c r="L109" i="24"/>
  <c r="L38" i="24" s="1"/>
  <c r="L39" i="24" s="1"/>
  <c r="L123" i="24" s="1"/>
  <c r="L108" i="24"/>
  <c r="L66" i="24" s="1"/>
  <c r="L67" i="24" s="1"/>
  <c r="L124" i="24" s="1"/>
  <c r="L107" i="24"/>
  <c r="L106" i="24"/>
  <c r="K111" i="24"/>
  <c r="K110" i="24"/>
  <c r="K93" i="24" s="1"/>
  <c r="K109" i="24"/>
  <c r="K38" i="24" s="1"/>
  <c r="K39" i="24" s="1"/>
  <c r="K123" i="24" s="1"/>
  <c r="K108" i="24"/>
  <c r="K66" i="24" s="1"/>
  <c r="K67" i="24" s="1"/>
  <c r="K124" i="24" s="1"/>
  <c r="K107" i="24"/>
  <c r="K106" i="24"/>
  <c r="J16" i="24"/>
  <c r="J122" i="24" s="1"/>
  <c r="J15" i="24"/>
  <c r="J121" i="24" s="1"/>
  <c r="J111" i="24"/>
  <c r="J110" i="24"/>
  <c r="J93" i="24" s="1"/>
  <c r="J109" i="24"/>
  <c r="J38" i="24" s="1"/>
  <c r="J39" i="24" s="1"/>
  <c r="J123" i="24" s="1"/>
  <c r="J108" i="24"/>
  <c r="J66" i="24" s="1"/>
  <c r="J67" i="24" s="1"/>
  <c r="J124" i="24" s="1"/>
  <c r="J107" i="24"/>
  <c r="J106" i="24"/>
  <c r="I16" i="24"/>
  <c r="I122" i="24" s="1"/>
  <c r="I15" i="24"/>
  <c r="I121" i="24" s="1"/>
  <c r="I111" i="24"/>
  <c r="I110" i="24"/>
  <c r="I93" i="24" s="1"/>
  <c r="I109" i="24"/>
  <c r="I38" i="24" s="1"/>
  <c r="I39" i="24" s="1"/>
  <c r="I108" i="24"/>
  <c r="I66" i="24" s="1"/>
  <c r="I67" i="24" s="1"/>
  <c r="I124" i="24" s="1"/>
  <c r="I107" i="24"/>
  <c r="I106" i="24"/>
  <c r="I105" i="24"/>
  <c r="I129" i="24" s="1"/>
  <c r="H16" i="24"/>
  <c r="H122" i="24" s="1"/>
  <c r="H15" i="24"/>
  <c r="H121" i="24" s="1"/>
  <c r="H107" i="24"/>
  <c r="H106" i="24"/>
  <c r="H111" i="24"/>
  <c r="H110" i="24"/>
  <c r="H93" i="24" s="1"/>
  <c r="H109" i="24"/>
  <c r="H38" i="24" s="1"/>
  <c r="H39" i="24" s="1"/>
  <c r="H123" i="24" s="1"/>
  <c r="H108" i="24"/>
  <c r="H66" i="24" s="1"/>
  <c r="H67" i="24" s="1"/>
  <c r="H124" i="24" s="1"/>
  <c r="K19" i="24"/>
  <c r="K18" i="24" s="1"/>
  <c r="K115" i="24"/>
  <c r="K116" i="24" s="1"/>
  <c r="K104" i="24"/>
  <c r="K129" i="24" s="1"/>
  <c r="K15" i="24"/>
  <c r="K121" i="24" s="1"/>
  <c r="K71" i="24"/>
  <c r="K92" i="24" s="1"/>
  <c r="K11" i="24"/>
  <c r="K8" i="24"/>
  <c r="K47" i="24"/>
  <c r="K44" i="24"/>
  <c r="K24" i="24"/>
  <c r="H6" i="19"/>
  <c r="I6" i="19" s="1"/>
  <c r="J6" i="19" s="1"/>
  <c r="K6" i="19" s="1"/>
  <c r="L6" i="19" s="1"/>
  <c r="M6" i="19" s="1"/>
  <c r="N6" i="19" s="1"/>
  <c r="O6" i="19" s="1"/>
  <c r="P6" i="19" s="1"/>
  <c r="Q6" i="19" s="1"/>
  <c r="R6" i="19" s="1"/>
  <c r="S6" i="19" s="1"/>
  <c r="T6" i="19" s="1"/>
  <c r="U6" i="19" s="1"/>
  <c r="V6" i="19" s="1"/>
  <c r="W6" i="19" s="1"/>
  <c r="X6" i="19" s="1"/>
  <c r="Y6" i="19" s="1"/>
  <c r="Z6" i="19" s="1"/>
  <c r="AA6" i="19" s="1"/>
  <c r="AB6" i="19" s="1"/>
  <c r="AC6" i="19" s="1"/>
  <c r="AD6" i="19" s="1"/>
  <c r="AE6" i="19" s="1"/>
  <c r="AF6" i="19" s="1"/>
  <c r="AG6" i="19" s="1"/>
  <c r="AH6" i="19" s="1"/>
  <c r="AI6" i="19" s="1"/>
  <c r="AJ6" i="19" s="1"/>
  <c r="AK6" i="19" s="1"/>
  <c r="AL6" i="19" s="1"/>
  <c r="AM6" i="19" s="1"/>
  <c r="AN6" i="19" s="1"/>
  <c r="AO6" i="19" s="1"/>
  <c r="AP6" i="19" s="1"/>
  <c r="AQ6" i="19" s="1"/>
  <c r="AR6" i="19" s="1"/>
  <c r="AS6" i="19" s="1"/>
  <c r="AT6" i="19" s="1"/>
  <c r="AU6" i="19" s="1"/>
  <c r="AV6" i="19" s="1"/>
  <c r="AW6" i="19" s="1"/>
  <c r="AX6" i="19" s="1"/>
  <c r="AY6" i="19" s="1"/>
  <c r="H6" i="7"/>
  <c r="I6" i="7" s="1"/>
  <c r="J6" i="7" s="1"/>
  <c r="K6" i="7" s="1"/>
  <c r="L6" i="7" s="1"/>
  <c r="M6" i="7" s="1"/>
  <c r="N6" i="7" s="1"/>
  <c r="O6" i="7" s="1"/>
  <c r="P6" i="7" s="1"/>
  <c r="Q6" i="7" s="1"/>
  <c r="R6" i="7" s="1"/>
  <c r="S6" i="7" s="1"/>
  <c r="T6" i="7" s="1"/>
  <c r="U6" i="7" s="1"/>
  <c r="V6" i="7" s="1"/>
  <c r="W6" i="7" s="1"/>
  <c r="X6" i="7" s="1"/>
  <c r="Y6" i="7" s="1"/>
  <c r="Z6" i="7" s="1"/>
  <c r="AA6" i="7" s="1"/>
  <c r="AB6" i="7" s="1"/>
  <c r="AC6" i="7" s="1"/>
  <c r="AD6" i="7" s="1"/>
  <c r="AE6" i="7" s="1"/>
  <c r="AF6" i="7" s="1"/>
  <c r="AG6" i="7" s="1"/>
  <c r="AH6" i="7" s="1"/>
  <c r="AI6" i="7" s="1"/>
  <c r="AJ6" i="7" s="1"/>
  <c r="AK6" i="7" s="1"/>
  <c r="AL6" i="7" s="1"/>
  <c r="AM6" i="7" s="1"/>
  <c r="AN6" i="7" s="1"/>
  <c r="AO6" i="7" s="1"/>
  <c r="AP6" i="7" s="1"/>
  <c r="AQ6" i="7" s="1"/>
  <c r="AR6" i="7" s="1"/>
  <c r="AS6" i="7" s="1"/>
  <c r="AT6" i="7" s="1"/>
  <c r="AU6" i="7" s="1"/>
  <c r="AV6" i="7" s="1"/>
  <c r="AW6" i="7" s="1"/>
  <c r="AX6" i="7" s="1"/>
  <c r="AY6" i="7" s="1"/>
  <c r="AZ6" i="7" s="1"/>
  <c r="H6" i="5"/>
  <c r="I6" i="5" s="1"/>
  <c r="J6" i="5" s="1"/>
  <c r="K6" i="5" s="1"/>
  <c r="L6" i="5" s="1"/>
  <c r="M6" i="5" s="1"/>
  <c r="N6" i="5" s="1"/>
  <c r="O6" i="5" s="1"/>
  <c r="P6" i="5" s="1"/>
  <c r="Q6" i="5" s="1"/>
  <c r="R6" i="5" s="1"/>
  <c r="S6" i="5" s="1"/>
  <c r="T6" i="5" s="1"/>
  <c r="U6" i="5" s="1"/>
  <c r="V6" i="5" s="1"/>
  <c r="W6" i="5" s="1"/>
  <c r="X6" i="5" s="1"/>
  <c r="Y6" i="5" s="1"/>
  <c r="Z6" i="5" s="1"/>
  <c r="AA6" i="5" s="1"/>
  <c r="AB6" i="5" s="1"/>
  <c r="AC6" i="5" s="1"/>
  <c r="AD6" i="5" s="1"/>
  <c r="AE6" i="5" s="1"/>
  <c r="AF6" i="5" s="1"/>
  <c r="AG6" i="5" s="1"/>
  <c r="AH6" i="5" s="1"/>
  <c r="AI6" i="5" s="1"/>
  <c r="AJ6" i="5" s="1"/>
  <c r="AK6" i="5" s="1"/>
  <c r="AL6" i="5" s="1"/>
  <c r="AM6" i="5" s="1"/>
  <c r="AN6" i="5" s="1"/>
  <c r="AO6" i="5" s="1"/>
  <c r="AP6" i="5" s="1"/>
  <c r="H6" i="9"/>
  <c r="I6" i="9" s="1"/>
  <c r="J6" i="9" s="1"/>
  <c r="K6" i="9" s="1"/>
  <c r="L6" i="9" s="1"/>
  <c r="M6" i="9" s="1"/>
  <c r="N6" i="9" s="1"/>
  <c r="O6" i="9" s="1"/>
  <c r="P6" i="9" s="1"/>
  <c r="Q6" i="9" s="1"/>
  <c r="R6" i="9" s="1"/>
  <c r="S6" i="9" s="1"/>
  <c r="T6" i="9" s="1"/>
  <c r="U6" i="9" s="1"/>
  <c r="V6" i="9" s="1"/>
  <c r="W6" i="9" s="1"/>
  <c r="X6" i="9" s="1"/>
  <c r="Y6" i="9" s="1"/>
  <c r="Z6" i="9" s="1"/>
  <c r="AA6" i="9" s="1"/>
  <c r="AB6" i="9" s="1"/>
  <c r="AC6" i="9" s="1"/>
  <c r="H6" i="6"/>
  <c r="I6" i="6" s="1"/>
  <c r="J6" i="6" s="1"/>
  <c r="K6" i="6" s="1"/>
  <c r="L6" i="6" s="1"/>
  <c r="M6" i="6" s="1"/>
  <c r="H64" i="24"/>
  <c r="I64" i="24"/>
  <c r="J75" i="24"/>
  <c r="B2" i="3"/>
  <c r="I116" i="24"/>
  <c r="H116" i="24"/>
  <c r="J115" i="24"/>
  <c r="J116" i="24" s="1"/>
  <c r="I8" i="24"/>
  <c r="I11" i="24"/>
  <c r="I19" i="24"/>
  <c r="I18" i="24" s="1"/>
  <c r="I24" i="24"/>
  <c r="I44" i="24"/>
  <c r="I47" i="24"/>
  <c r="I53" i="24"/>
  <c r="I57" i="24"/>
  <c r="I71" i="24"/>
  <c r="I92" i="24" s="1"/>
  <c r="I75" i="24"/>
  <c r="I117" i="24"/>
  <c r="J49" i="24"/>
  <c r="H49" i="24"/>
  <c r="J129" i="24"/>
  <c r="J117" i="24"/>
  <c r="J71" i="24"/>
  <c r="J92" i="24" s="1"/>
  <c r="J64" i="24"/>
  <c r="J57" i="24"/>
  <c r="J53" i="24"/>
  <c r="J47" i="24"/>
  <c r="J44" i="24"/>
  <c r="J24" i="24"/>
  <c r="J19" i="24"/>
  <c r="J20" i="24" s="1"/>
  <c r="J21" i="24" s="1"/>
  <c r="J11" i="24"/>
  <c r="J8" i="24"/>
  <c r="L8" i="24"/>
  <c r="H8" i="24"/>
  <c r="L129" i="24"/>
  <c r="R128" i="26"/>
  <c r="O128" i="26"/>
  <c r="L128" i="26"/>
  <c r="I128" i="26"/>
  <c r="I41" i="26"/>
  <c r="I42" i="26"/>
  <c r="H19" i="24"/>
  <c r="H18" i="24" s="1"/>
  <c r="R78" i="26"/>
  <c r="R91" i="26" s="1"/>
  <c r="L78" i="26"/>
  <c r="L91" i="26" s="1"/>
  <c r="K78" i="26"/>
  <c r="K91" i="26" s="1"/>
  <c r="I78" i="26"/>
  <c r="I91" i="26" s="1"/>
  <c r="L116" i="24"/>
  <c r="G45" i="26"/>
  <c r="R44" i="26"/>
  <c r="Q44" i="26"/>
  <c r="P44" i="26"/>
  <c r="O44" i="26"/>
  <c r="N44" i="26"/>
  <c r="M44" i="26"/>
  <c r="L44" i="26"/>
  <c r="K44" i="26"/>
  <c r="J44" i="26"/>
  <c r="H44" i="26"/>
  <c r="G44" i="26"/>
  <c r="F61" i="26"/>
  <c r="BE92" i="24"/>
  <c r="K75" i="24"/>
  <c r="L75" i="24"/>
  <c r="H75" i="24"/>
  <c r="H47" i="24"/>
  <c r="R127" i="26"/>
  <c r="Q127" i="26"/>
  <c r="P127" i="26"/>
  <c r="O127" i="26"/>
  <c r="N127" i="26"/>
  <c r="M127" i="26"/>
  <c r="L127" i="26"/>
  <c r="K127" i="26"/>
  <c r="J127" i="26"/>
  <c r="I127" i="26"/>
  <c r="H127" i="26"/>
  <c r="G127" i="26"/>
  <c r="R123" i="26"/>
  <c r="Q123" i="26"/>
  <c r="P123" i="26"/>
  <c r="O123" i="26"/>
  <c r="N123" i="26"/>
  <c r="M123" i="26"/>
  <c r="L123" i="26"/>
  <c r="K123" i="26"/>
  <c r="J123" i="26"/>
  <c r="I123" i="26"/>
  <c r="H123" i="26"/>
  <c r="G123" i="26"/>
  <c r="R118" i="26"/>
  <c r="Q118" i="26"/>
  <c r="P118" i="26"/>
  <c r="O118" i="26"/>
  <c r="N118" i="26"/>
  <c r="M118" i="26"/>
  <c r="L118" i="26"/>
  <c r="K118" i="26"/>
  <c r="J118" i="26"/>
  <c r="I118" i="26"/>
  <c r="H118" i="26"/>
  <c r="G118" i="26"/>
  <c r="R112" i="26"/>
  <c r="Q112" i="26"/>
  <c r="P112" i="26"/>
  <c r="O112" i="26"/>
  <c r="N112" i="26"/>
  <c r="M112" i="26"/>
  <c r="L112" i="26"/>
  <c r="K112" i="26"/>
  <c r="J112" i="26"/>
  <c r="I112" i="26"/>
  <c r="H112" i="26"/>
  <c r="G112" i="26"/>
  <c r="R110" i="26"/>
  <c r="R38" i="26" s="1"/>
  <c r="Q110" i="26"/>
  <c r="Q38" i="26" s="1"/>
  <c r="P110" i="26"/>
  <c r="P38" i="26" s="1"/>
  <c r="O110" i="26"/>
  <c r="O38" i="26" s="1"/>
  <c r="N110" i="26"/>
  <c r="N38" i="26" s="1"/>
  <c r="M110" i="26"/>
  <c r="M38" i="26" s="1"/>
  <c r="L110" i="26"/>
  <c r="L38" i="26" s="1"/>
  <c r="K110" i="26"/>
  <c r="K38" i="26" s="1"/>
  <c r="J110" i="26"/>
  <c r="J38" i="26" s="1"/>
  <c r="I110" i="26"/>
  <c r="I38" i="26" s="1"/>
  <c r="H110" i="26"/>
  <c r="H38" i="26" s="1"/>
  <c r="G110" i="26"/>
  <c r="G38" i="26" s="1"/>
  <c r="R109" i="26"/>
  <c r="R67" i="26" s="1"/>
  <c r="R68" i="26" s="1"/>
  <c r="R125" i="26" s="1"/>
  <c r="Q109" i="26"/>
  <c r="Q67" i="26" s="1"/>
  <c r="Q68" i="26" s="1"/>
  <c r="Q125" i="26" s="1"/>
  <c r="P109" i="26"/>
  <c r="P67" i="26" s="1"/>
  <c r="P68" i="26" s="1"/>
  <c r="P125" i="26" s="1"/>
  <c r="O109" i="26"/>
  <c r="O67" i="26" s="1"/>
  <c r="O68" i="26" s="1"/>
  <c r="O125" i="26" s="1"/>
  <c r="N109" i="26"/>
  <c r="N67" i="26" s="1"/>
  <c r="N68" i="26" s="1"/>
  <c r="N125" i="26" s="1"/>
  <c r="M109" i="26"/>
  <c r="M67" i="26" s="1"/>
  <c r="M68" i="26" s="1"/>
  <c r="M125" i="26" s="1"/>
  <c r="L109" i="26"/>
  <c r="L67" i="26" s="1"/>
  <c r="L68" i="26" s="1"/>
  <c r="L125" i="26" s="1"/>
  <c r="K109" i="26"/>
  <c r="K67" i="26" s="1"/>
  <c r="K68" i="26" s="1"/>
  <c r="K125" i="26" s="1"/>
  <c r="J109" i="26"/>
  <c r="J67" i="26" s="1"/>
  <c r="J68" i="26" s="1"/>
  <c r="J125" i="26" s="1"/>
  <c r="I109" i="26"/>
  <c r="I67" i="26" s="1"/>
  <c r="I68" i="26" s="1"/>
  <c r="I125" i="26" s="1"/>
  <c r="H109" i="26"/>
  <c r="H67" i="26" s="1"/>
  <c r="H68" i="26" s="1"/>
  <c r="H125" i="26" s="1"/>
  <c r="G109" i="26"/>
  <c r="G67" i="26" s="1"/>
  <c r="G68" i="26" s="1"/>
  <c r="G125" i="26" s="1"/>
  <c r="R108" i="26"/>
  <c r="Q108" i="26"/>
  <c r="P108" i="26"/>
  <c r="O108" i="26"/>
  <c r="N108" i="26"/>
  <c r="M108" i="26"/>
  <c r="L108" i="26"/>
  <c r="K108" i="26"/>
  <c r="J108" i="26"/>
  <c r="I108" i="26"/>
  <c r="H108" i="26"/>
  <c r="G108" i="26"/>
  <c r="R106" i="26"/>
  <c r="R130" i="26" s="1"/>
  <c r="Q106" i="26"/>
  <c r="Q130" i="26" s="1"/>
  <c r="P106" i="26"/>
  <c r="P130" i="26" s="1"/>
  <c r="O106" i="26"/>
  <c r="O130" i="26" s="1"/>
  <c r="N106" i="26"/>
  <c r="N130" i="26" s="1"/>
  <c r="M106" i="26"/>
  <c r="M130" i="26" s="1"/>
  <c r="L106" i="26"/>
  <c r="K106" i="26"/>
  <c r="K130" i="26" s="1"/>
  <c r="J106" i="26"/>
  <c r="J130" i="26" s="1"/>
  <c r="I106" i="26"/>
  <c r="I130" i="26" s="1"/>
  <c r="H106" i="26"/>
  <c r="G106" i="26"/>
  <c r="G130" i="26" s="1"/>
  <c r="R104" i="26"/>
  <c r="Q104" i="26"/>
  <c r="P104" i="26"/>
  <c r="O104" i="26"/>
  <c r="N104" i="26"/>
  <c r="M104" i="26"/>
  <c r="L104" i="26"/>
  <c r="K104" i="26"/>
  <c r="J104" i="26"/>
  <c r="I104" i="26"/>
  <c r="H104" i="26"/>
  <c r="G104" i="26"/>
  <c r="R73" i="26"/>
  <c r="R76" i="26" s="1"/>
  <c r="Q73" i="26"/>
  <c r="P73" i="26"/>
  <c r="P76" i="26" s="1"/>
  <c r="O73" i="26"/>
  <c r="O76" i="26" s="1"/>
  <c r="N73" i="26"/>
  <c r="M73" i="26"/>
  <c r="M76" i="26" s="1"/>
  <c r="L73" i="26"/>
  <c r="L76" i="26" s="1"/>
  <c r="K73" i="26"/>
  <c r="J73" i="26"/>
  <c r="I73" i="26"/>
  <c r="I76" i="26" s="1"/>
  <c r="H73" i="26"/>
  <c r="G73" i="26"/>
  <c r="Q72" i="26"/>
  <c r="Q75" i="26"/>
  <c r="P72" i="26"/>
  <c r="N72" i="26"/>
  <c r="M72" i="26"/>
  <c r="M75" i="26" s="1"/>
  <c r="K72" i="26"/>
  <c r="J72" i="26"/>
  <c r="H72" i="26"/>
  <c r="H75" i="26"/>
  <c r="G72" i="26"/>
  <c r="R69" i="26"/>
  <c r="R72" i="26" s="1"/>
  <c r="R75" i="26" s="1"/>
  <c r="O69" i="26"/>
  <c r="O72" i="26" s="1"/>
  <c r="L69" i="26"/>
  <c r="L72" i="26" s="1"/>
  <c r="I69" i="26"/>
  <c r="I72" i="26" s="1"/>
  <c r="R15" i="26"/>
  <c r="R122" i="26" s="1"/>
  <c r="Q15" i="26"/>
  <c r="Q122" i="26" s="1"/>
  <c r="P15" i="26"/>
  <c r="P122" i="26" s="1"/>
  <c r="O15" i="26"/>
  <c r="O122" i="26" s="1"/>
  <c r="N15" i="26"/>
  <c r="N122" i="26" s="1"/>
  <c r="M15" i="26"/>
  <c r="M122" i="26" s="1"/>
  <c r="L15" i="26"/>
  <c r="L122" i="26" s="1"/>
  <c r="K15" i="26"/>
  <c r="K122" i="26" s="1"/>
  <c r="J15" i="26"/>
  <c r="J122" i="26" s="1"/>
  <c r="I15" i="26"/>
  <c r="I122" i="26" s="1"/>
  <c r="H15" i="26"/>
  <c r="H122" i="26" s="1"/>
  <c r="G15" i="26"/>
  <c r="G122" i="26" s="1"/>
  <c r="R11" i="26"/>
  <c r="Q11" i="26"/>
  <c r="P11" i="26"/>
  <c r="O11" i="26"/>
  <c r="N11" i="26"/>
  <c r="M11" i="26"/>
  <c r="L11" i="26"/>
  <c r="K11" i="26"/>
  <c r="J11" i="26"/>
  <c r="I11" i="26"/>
  <c r="H11" i="26"/>
  <c r="G11" i="26"/>
  <c r="G124" i="26"/>
  <c r="H124" i="26"/>
  <c r="J75" i="26"/>
  <c r="K75" i="26"/>
  <c r="N75" i="26"/>
  <c r="P75" i="26"/>
  <c r="H117" i="24"/>
  <c r="H71" i="24"/>
  <c r="H74" i="24" s="1"/>
  <c r="H57" i="24"/>
  <c r="H53" i="24"/>
  <c r="H44" i="24"/>
  <c r="H24" i="24"/>
  <c r="H11" i="24"/>
  <c r="H129" i="24"/>
  <c r="F68" i="26"/>
  <c r="K64" i="24"/>
  <c r="L64" i="24"/>
  <c r="K57" i="24"/>
  <c r="L57" i="24"/>
  <c r="K53" i="24"/>
  <c r="L53" i="24"/>
  <c r="D40" i="26"/>
  <c r="AG40" i="26" s="1"/>
  <c r="AF40" i="26"/>
  <c r="F40" i="26"/>
  <c r="D40" i="24"/>
  <c r="BG40" i="24" s="1"/>
  <c r="AF132" i="26"/>
  <c r="AM132" i="26" s="1"/>
  <c r="AF131" i="26"/>
  <c r="AH131" i="26" s="1"/>
  <c r="AF130" i="26"/>
  <c r="AJ130" i="26" s="1"/>
  <c r="AF129" i="26"/>
  <c r="AI129" i="26" s="1"/>
  <c r="AF128" i="26"/>
  <c r="AI128" i="26" s="1"/>
  <c r="AI132" i="26" s="1"/>
  <c r="AF127" i="26"/>
  <c r="AK127" i="26" s="1"/>
  <c r="AF126" i="26"/>
  <c r="AM126" i="26" s="1"/>
  <c r="AF125" i="26"/>
  <c r="AM125" i="26" s="1"/>
  <c r="AF124" i="26"/>
  <c r="AM124" i="26" s="1"/>
  <c r="AF123" i="26"/>
  <c r="AF122" i="26"/>
  <c r="AF121" i="26"/>
  <c r="AH121" i="26" s="1"/>
  <c r="AF120" i="26"/>
  <c r="AF119" i="26"/>
  <c r="AL119" i="26" s="1"/>
  <c r="AF118" i="26"/>
  <c r="AF117" i="26"/>
  <c r="AF116" i="26"/>
  <c r="AL116" i="26" s="1"/>
  <c r="AF115" i="26"/>
  <c r="AM115" i="26" s="1"/>
  <c r="AF114" i="26"/>
  <c r="AK114" i="26" s="1"/>
  <c r="AF113" i="26"/>
  <c r="AF112" i="26"/>
  <c r="AK112" i="26" s="1"/>
  <c r="AF111" i="26"/>
  <c r="AF110" i="26"/>
  <c r="AF109" i="26"/>
  <c r="AF108" i="26"/>
  <c r="AH108" i="26" s="1"/>
  <c r="AF107" i="26"/>
  <c r="AJ107" i="26" s="1"/>
  <c r="AF106" i="26"/>
  <c r="AM106" i="26" s="1"/>
  <c r="AF105" i="26"/>
  <c r="AJ105" i="26" s="1"/>
  <c r="AF104" i="26"/>
  <c r="AI104" i="26" s="1"/>
  <c r="AF103" i="26"/>
  <c r="AM103" i="26" s="1"/>
  <c r="AF102" i="26"/>
  <c r="AF101" i="26"/>
  <c r="AF100" i="26"/>
  <c r="AI100" i="26" s="1"/>
  <c r="AF99" i="26"/>
  <c r="AH99" i="26" s="1"/>
  <c r="AF98" i="26"/>
  <c r="AI98" i="26" s="1"/>
  <c r="AF97" i="26"/>
  <c r="AM97" i="26" s="1"/>
  <c r="AF96" i="26"/>
  <c r="AH96" i="26" s="1"/>
  <c r="AF95" i="26"/>
  <c r="AM95" i="26" s="1"/>
  <c r="AF94" i="26"/>
  <c r="AI94" i="26" s="1"/>
  <c r="AF93" i="26"/>
  <c r="AF92" i="26"/>
  <c r="AF91" i="26"/>
  <c r="AH91" i="26" s="1"/>
  <c r="AF81" i="26"/>
  <c r="AL81" i="26" s="1"/>
  <c r="AF80" i="26"/>
  <c r="AI80" i="26" s="1"/>
  <c r="AF79" i="26"/>
  <c r="AJ79" i="26" s="1"/>
  <c r="AF78" i="26"/>
  <c r="AJ78" i="26" s="1"/>
  <c r="AF77" i="26"/>
  <c r="AF76" i="26"/>
  <c r="AF75" i="26"/>
  <c r="AF74" i="26"/>
  <c r="AF73" i="26"/>
  <c r="AI73" i="26" s="1"/>
  <c r="AF72" i="26"/>
  <c r="AF71" i="26"/>
  <c r="AM71" i="26" s="1"/>
  <c r="AF70" i="26"/>
  <c r="AM70" i="26" s="1"/>
  <c r="AF69" i="26"/>
  <c r="AH69" i="26" s="1"/>
  <c r="AF68" i="26"/>
  <c r="AM68" i="26" s="1"/>
  <c r="AF67" i="26"/>
  <c r="AJ67" i="26" s="1"/>
  <c r="AF66" i="26"/>
  <c r="AM66" i="26" s="1"/>
  <c r="AF65" i="26"/>
  <c r="AJ65" i="26" s="1"/>
  <c r="AF64" i="26"/>
  <c r="AM64" i="26" s="1"/>
  <c r="AF63" i="26"/>
  <c r="AF62" i="26"/>
  <c r="AJ62" i="26" s="1"/>
  <c r="AF60" i="26"/>
  <c r="AJ60" i="26" s="1"/>
  <c r="AF59" i="26"/>
  <c r="AK59" i="26" s="1"/>
  <c r="AF58" i="26"/>
  <c r="AH58" i="26" s="1"/>
  <c r="AF57" i="26"/>
  <c r="AI57" i="26" s="1"/>
  <c r="AF56" i="26"/>
  <c r="AI56" i="26" s="1"/>
  <c r="AF55" i="26"/>
  <c r="AH55" i="26" s="1"/>
  <c r="AF54" i="26"/>
  <c r="AF53" i="26"/>
  <c r="AI53" i="26" s="1"/>
  <c r="AF52" i="26"/>
  <c r="AJ52" i="26" s="1"/>
  <c r="AF51" i="26"/>
  <c r="AF50" i="26"/>
  <c r="AK50" i="26" s="1"/>
  <c r="AF49" i="26"/>
  <c r="AL49" i="26" s="1"/>
  <c r="AF47" i="26"/>
  <c r="AM47" i="26" s="1"/>
  <c r="AF46" i="26"/>
  <c r="AK46" i="26" s="1"/>
  <c r="AF45" i="26"/>
  <c r="AF44" i="26"/>
  <c r="AF43" i="26"/>
  <c r="AF42" i="26"/>
  <c r="AF41" i="26"/>
  <c r="AF39" i="26"/>
  <c r="AM39" i="26" s="1"/>
  <c r="AF38" i="26"/>
  <c r="AJ38" i="26" s="1"/>
  <c r="AF37" i="26"/>
  <c r="AM37" i="26" s="1"/>
  <c r="AF19" i="26"/>
  <c r="AF18" i="26"/>
  <c r="AL18" i="26" s="1"/>
  <c r="AF17" i="26"/>
  <c r="AF16" i="26"/>
  <c r="AF15" i="26"/>
  <c r="AF14" i="26"/>
  <c r="AF13" i="26"/>
  <c r="AI13" i="26" s="1"/>
  <c r="AF12" i="26"/>
  <c r="AI12" i="26" s="1"/>
  <c r="AF11" i="26"/>
  <c r="AH11" i="26" s="1"/>
  <c r="AF10" i="26"/>
  <c r="AH10" i="26" s="1"/>
  <c r="AF9" i="26"/>
  <c r="AK9" i="26" s="1"/>
  <c r="AF8" i="26"/>
  <c r="AM8" i="26" s="1"/>
  <c r="AF7" i="26"/>
  <c r="AK7" i="26" s="1"/>
  <c r="AF6" i="26"/>
  <c r="AF5" i="26"/>
  <c r="AI5" i="26" s="1"/>
  <c r="F132" i="26"/>
  <c r="F131" i="26"/>
  <c r="F130" i="26"/>
  <c r="F129" i="26"/>
  <c r="F128" i="26"/>
  <c r="F127" i="26"/>
  <c r="F126" i="26"/>
  <c r="F125" i="26"/>
  <c r="F124" i="26"/>
  <c r="F123" i="26"/>
  <c r="F122" i="26"/>
  <c r="F121" i="26"/>
  <c r="F120" i="26"/>
  <c r="F119" i="26"/>
  <c r="F118" i="26"/>
  <c r="F117" i="26"/>
  <c r="F116" i="26"/>
  <c r="F115" i="26"/>
  <c r="F114" i="26"/>
  <c r="F113" i="26"/>
  <c r="F11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2" i="26"/>
  <c r="F81" i="26"/>
  <c r="F80" i="26"/>
  <c r="F79" i="26"/>
  <c r="F78" i="26"/>
  <c r="F77" i="26"/>
  <c r="F76" i="26"/>
  <c r="F75" i="26"/>
  <c r="F74" i="26"/>
  <c r="F73" i="26"/>
  <c r="F72" i="26"/>
  <c r="F71" i="26"/>
  <c r="F70" i="26"/>
  <c r="F69" i="26"/>
  <c r="F67" i="26"/>
  <c r="F66" i="26"/>
  <c r="F65" i="26"/>
  <c r="F64" i="26"/>
  <c r="F63" i="26"/>
  <c r="F62" i="26"/>
  <c r="F60" i="26"/>
  <c r="F59" i="26"/>
  <c r="F58" i="26"/>
  <c r="F57" i="26"/>
  <c r="F56" i="26"/>
  <c r="F55" i="26"/>
  <c r="F54" i="26"/>
  <c r="F53" i="26"/>
  <c r="F52" i="26"/>
  <c r="F51" i="26"/>
  <c r="F50" i="26"/>
  <c r="F49" i="26"/>
  <c r="F48" i="26"/>
  <c r="F47" i="26"/>
  <c r="F46" i="26"/>
  <c r="F45" i="26"/>
  <c r="F44" i="26"/>
  <c r="F43" i="26"/>
  <c r="F42" i="26"/>
  <c r="F41" i="26"/>
  <c r="F39" i="26"/>
  <c r="F26" i="26"/>
  <c r="F25" i="26"/>
  <c r="F24" i="26"/>
  <c r="F23" i="26"/>
  <c r="F22" i="26"/>
  <c r="F21" i="26"/>
  <c r="F20" i="26"/>
  <c r="F19" i="26"/>
  <c r="F18" i="26"/>
  <c r="F17" i="26"/>
  <c r="F16" i="26"/>
  <c r="F15" i="26"/>
  <c r="F14" i="26"/>
  <c r="F13" i="26"/>
  <c r="F12" i="26"/>
  <c r="F11" i="26"/>
  <c r="F10" i="26"/>
  <c r="F9" i="26"/>
  <c r="F8" i="26"/>
  <c r="F7" i="26"/>
  <c r="F6" i="26"/>
  <c r="F5" i="26"/>
  <c r="F4" i="26"/>
  <c r="B3" i="22"/>
  <c r="B2" i="22"/>
  <c r="B2" i="9"/>
  <c r="B3" i="21"/>
  <c r="B2" i="21"/>
  <c r="B2" i="5"/>
  <c r="B2" i="19"/>
  <c r="B2" i="7"/>
  <c r="B2" i="6"/>
  <c r="AJ90" i="26"/>
  <c r="AI90" i="26"/>
  <c r="D16" i="24"/>
  <c r="BG16" i="24" s="1"/>
  <c r="D15" i="24"/>
  <c r="BG15" i="24" s="1"/>
  <c r="D14" i="24"/>
  <c r="BG14" i="24" s="1"/>
  <c r="D13" i="24"/>
  <c r="BG13" i="24" s="1"/>
  <c r="D12" i="24"/>
  <c r="BG12" i="24" s="1"/>
  <c r="D11" i="24"/>
  <c r="D14" i="26"/>
  <c r="AG14" i="26" s="1"/>
  <c r="D13" i="26"/>
  <c r="AG13" i="26" s="1"/>
  <c r="D12" i="26"/>
  <c r="AG12" i="26" s="1"/>
  <c r="H3" i="26"/>
  <c r="I3" i="26"/>
  <c r="J3" i="26"/>
  <c r="K3" i="26"/>
  <c r="L3" i="26"/>
  <c r="M3" i="26"/>
  <c r="N3" i="26"/>
  <c r="O3" i="26"/>
  <c r="P3" i="26"/>
  <c r="Q3" i="26"/>
  <c r="R3" i="26"/>
  <c r="S3" i="26"/>
  <c r="T3" i="26"/>
  <c r="U3" i="26"/>
  <c r="V3" i="26"/>
  <c r="W3" i="26"/>
  <c r="X3" i="26"/>
  <c r="Y3" i="26"/>
  <c r="Z3" i="26"/>
  <c r="AA3" i="26"/>
  <c r="AB3" i="26"/>
  <c r="AC3" i="26"/>
  <c r="AD3" i="26"/>
  <c r="AG3" i="26"/>
  <c r="D4" i="26"/>
  <c r="AG4" i="26" s="1"/>
  <c r="D5" i="26"/>
  <c r="AG5" i="26"/>
  <c r="D6" i="26"/>
  <c r="AG6" i="26"/>
  <c r="D7" i="26"/>
  <c r="AG7" i="26" s="1"/>
  <c r="D8" i="26"/>
  <c r="AG8" i="26"/>
  <c r="D9" i="26"/>
  <c r="AG9" i="26" s="1"/>
  <c r="D10" i="26"/>
  <c r="AG10" i="26"/>
  <c r="D11" i="26"/>
  <c r="AG11" i="26" s="1"/>
  <c r="D15" i="26"/>
  <c r="AG15" i="26" s="1"/>
  <c r="D16" i="26"/>
  <c r="AG16" i="26" s="1"/>
  <c r="D17" i="26"/>
  <c r="AG17" i="26" s="1"/>
  <c r="D18" i="26"/>
  <c r="AG18" i="26" s="1"/>
  <c r="D19" i="26"/>
  <c r="AG19" i="26" s="1"/>
  <c r="D20" i="26"/>
  <c r="AG20" i="26" s="1"/>
  <c r="D21" i="26"/>
  <c r="AG21" i="26" s="1"/>
  <c r="D22" i="26"/>
  <c r="AG22" i="26" s="1"/>
  <c r="D23" i="26"/>
  <c r="AG23" i="26" s="1"/>
  <c r="D24" i="26"/>
  <c r="AG24" i="26" s="1"/>
  <c r="D25" i="26"/>
  <c r="AG25" i="26" s="1"/>
  <c r="D26" i="26"/>
  <c r="AG26" i="26" s="1"/>
  <c r="D27" i="26"/>
  <c r="AG27" i="26" s="1"/>
  <c r="D28" i="26"/>
  <c r="AG28" i="26" s="1"/>
  <c r="D29" i="26"/>
  <c r="AG29" i="26" s="1"/>
  <c r="D37" i="26"/>
  <c r="AG37" i="26" s="1"/>
  <c r="D38" i="26"/>
  <c r="AG38" i="26" s="1"/>
  <c r="D39" i="26"/>
  <c r="AG39" i="26" s="1"/>
  <c r="D41" i="26"/>
  <c r="AG41" i="26" s="1"/>
  <c r="D42" i="26"/>
  <c r="AG42" i="26" s="1"/>
  <c r="D43" i="26"/>
  <c r="AG43" i="26" s="1"/>
  <c r="D44" i="26"/>
  <c r="AG44" i="26" s="1"/>
  <c r="D45" i="26"/>
  <c r="AG45" i="26" s="1"/>
  <c r="D46" i="26"/>
  <c r="AG46" i="26" s="1"/>
  <c r="D47" i="26"/>
  <c r="AG47" i="26" s="1"/>
  <c r="D48" i="26"/>
  <c r="AG48" i="26" s="1"/>
  <c r="D49" i="26"/>
  <c r="AG49" i="26" s="1"/>
  <c r="D50" i="26"/>
  <c r="AG50" i="26" s="1"/>
  <c r="D51" i="26"/>
  <c r="AG51" i="26" s="1"/>
  <c r="D52" i="26"/>
  <c r="AG52" i="26" s="1"/>
  <c r="D53" i="26"/>
  <c r="AG53" i="26" s="1"/>
  <c r="D54" i="26"/>
  <c r="AG54" i="26" s="1"/>
  <c r="D55" i="26"/>
  <c r="AG55" i="26" s="1"/>
  <c r="D56" i="26"/>
  <c r="AG56" i="26" s="1"/>
  <c r="D57" i="26"/>
  <c r="AG57" i="26" s="1"/>
  <c r="D58" i="26"/>
  <c r="AG58" i="26" s="1"/>
  <c r="D59" i="26"/>
  <c r="AG59" i="26" s="1"/>
  <c r="D60" i="26"/>
  <c r="AG60" i="26" s="1"/>
  <c r="D61" i="26"/>
  <c r="AG61" i="26" s="1"/>
  <c r="D62" i="26"/>
  <c r="AG62" i="26" s="1"/>
  <c r="D63" i="26"/>
  <c r="AG63" i="26" s="1"/>
  <c r="D64" i="26"/>
  <c r="AG64" i="26" s="1"/>
  <c r="D65" i="26"/>
  <c r="AG65" i="26" s="1"/>
  <c r="D66" i="26"/>
  <c r="AG66" i="26" s="1"/>
  <c r="D67" i="26"/>
  <c r="AG67" i="26" s="1"/>
  <c r="D68" i="26"/>
  <c r="AG68" i="26" s="1"/>
  <c r="D69" i="26"/>
  <c r="AG69" i="26" s="1"/>
  <c r="D70" i="26"/>
  <c r="AG70" i="26" s="1"/>
  <c r="D71" i="26"/>
  <c r="AG71" i="26" s="1"/>
  <c r="D72" i="26"/>
  <c r="AG72" i="26" s="1"/>
  <c r="D73" i="26"/>
  <c r="AG73" i="26" s="1"/>
  <c r="D74" i="26"/>
  <c r="AG74" i="26" s="1"/>
  <c r="D75" i="26"/>
  <c r="AG75" i="26" s="1"/>
  <c r="D76" i="26"/>
  <c r="AG76" i="26" s="1"/>
  <c r="D77" i="26"/>
  <c r="AG77" i="26" s="1"/>
  <c r="D78" i="26"/>
  <c r="AG78" i="26" s="1"/>
  <c r="D79" i="26"/>
  <c r="AG79" i="26" s="1"/>
  <c r="D80" i="26"/>
  <c r="AG80" i="26" s="1"/>
  <c r="D81" i="26"/>
  <c r="AG81" i="26" s="1"/>
  <c r="D82" i="26"/>
  <c r="AG82" i="26" s="1"/>
  <c r="D87" i="26"/>
  <c r="AG87" i="26" s="1"/>
  <c r="D88" i="26"/>
  <c r="AG88" i="26" s="1"/>
  <c r="D89" i="26"/>
  <c r="AG89" i="26" s="1"/>
  <c r="D90" i="26"/>
  <c r="AG90" i="26" s="1"/>
  <c r="D91" i="26"/>
  <c r="AG91" i="26" s="1"/>
  <c r="D92" i="26"/>
  <c r="AG92" i="26" s="1"/>
  <c r="D93" i="26"/>
  <c r="AG93" i="26" s="1"/>
  <c r="D94" i="26"/>
  <c r="AG94" i="26" s="1"/>
  <c r="D95" i="26"/>
  <c r="AG95" i="26" s="1"/>
  <c r="D96" i="26"/>
  <c r="AG96" i="26" s="1"/>
  <c r="D97" i="26"/>
  <c r="AG97" i="26" s="1"/>
  <c r="D98" i="26"/>
  <c r="AG98" i="26" s="1"/>
  <c r="D99" i="26"/>
  <c r="AG99" i="26" s="1"/>
  <c r="D100" i="26"/>
  <c r="AG100" i="26" s="1"/>
  <c r="D101" i="26"/>
  <c r="AG101" i="26" s="1"/>
  <c r="D102" i="26"/>
  <c r="AG102" i="26" s="1"/>
  <c r="D103" i="26"/>
  <c r="AG103" i="26" s="1"/>
  <c r="D104" i="26"/>
  <c r="AG104" i="26" s="1"/>
  <c r="D105" i="26"/>
  <c r="AG105" i="26" s="1"/>
  <c r="D106" i="26"/>
  <c r="AG106" i="26" s="1"/>
  <c r="D107" i="26"/>
  <c r="AG107" i="26" s="1"/>
  <c r="D108" i="26"/>
  <c r="AG108" i="26" s="1"/>
  <c r="D109" i="26"/>
  <c r="AG109" i="26" s="1"/>
  <c r="D110" i="26"/>
  <c r="AG110" i="26" s="1"/>
  <c r="D111" i="26"/>
  <c r="AG111" i="26" s="1"/>
  <c r="D112" i="26"/>
  <c r="AG112" i="26" s="1"/>
  <c r="D113" i="26"/>
  <c r="AG113" i="26" s="1"/>
  <c r="D114" i="26"/>
  <c r="AG114" i="26" s="1"/>
  <c r="D115" i="26"/>
  <c r="AG115" i="26" s="1"/>
  <c r="D116" i="26"/>
  <c r="AG116" i="26" s="1"/>
  <c r="D117" i="26"/>
  <c r="AG117" i="26" s="1"/>
  <c r="D118" i="26"/>
  <c r="AG118" i="26" s="1"/>
  <c r="D119" i="26"/>
  <c r="AG119" i="26" s="1"/>
  <c r="D120" i="26"/>
  <c r="AG120" i="26" s="1"/>
  <c r="D121" i="26"/>
  <c r="AG121" i="26" s="1"/>
  <c r="D122" i="26"/>
  <c r="AG122" i="26" s="1"/>
  <c r="D123" i="26"/>
  <c r="AG123" i="26" s="1"/>
  <c r="D124" i="26"/>
  <c r="AG124" i="26" s="1"/>
  <c r="D125" i="26"/>
  <c r="AG125" i="26" s="1"/>
  <c r="D126" i="26"/>
  <c r="AG126" i="26" s="1"/>
  <c r="D127" i="26"/>
  <c r="AG127" i="26" s="1"/>
  <c r="D128" i="26"/>
  <c r="AG128" i="26" s="1"/>
  <c r="D129" i="26"/>
  <c r="AG129" i="26" s="1"/>
  <c r="D130" i="26"/>
  <c r="AG130" i="26" s="1"/>
  <c r="D131" i="26"/>
  <c r="AG131" i="26" s="1"/>
  <c r="D132" i="26"/>
  <c r="AG132" i="26" s="1"/>
  <c r="BG3" i="24"/>
  <c r="D5" i="24"/>
  <c r="D6" i="24"/>
  <c r="D7" i="24"/>
  <c r="BG7" i="24" s="1"/>
  <c r="D8" i="24"/>
  <c r="BG8" i="24" s="1"/>
  <c r="D9" i="24"/>
  <c r="BG9" i="24" s="1"/>
  <c r="D10" i="24"/>
  <c r="D17" i="24"/>
  <c r="BG17" i="24" s="1"/>
  <c r="D18" i="24"/>
  <c r="BG18" i="24" s="1"/>
  <c r="D19" i="24"/>
  <c r="BG19" i="24" s="1"/>
  <c r="D20" i="24"/>
  <c r="BG20" i="24" s="1"/>
  <c r="D21" i="24"/>
  <c r="BG21" i="24" s="1"/>
  <c r="D22" i="24"/>
  <c r="BG22" i="24" s="1"/>
  <c r="D23" i="24"/>
  <c r="BG23" i="24" s="1"/>
  <c r="D24" i="24"/>
  <c r="BG24" i="24" s="1"/>
  <c r="D25" i="24"/>
  <c r="BG25" i="24" s="1"/>
  <c r="D26" i="24"/>
  <c r="BG26" i="24" s="1"/>
  <c r="D30" i="24"/>
  <c r="BG30" i="24" s="1"/>
  <c r="D31" i="24"/>
  <c r="BG31" i="24" s="1"/>
  <c r="D37" i="24"/>
  <c r="BG37" i="24" s="1"/>
  <c r="D38" i="24"/>
  <c r="BG38" i="24" s="1"/>
  <c r="D39" i="24"/>
  <c r="BG39" i="24" s="1"/>
  <c r="D41" i="24"/>
  <c r="BG41" i="24" s="1"/>
  <c r="D42" i="24"/>
  <c r="BG42" i="24" s="1"/>
  <c r="D43" i="24"/>
  <c r="BG43" i="24" s="1"/>
  <c r="D44" i="24"/>
  <c r="BG44" i="24" s="1"/>
  <c r="D45" i="24"/>
  <c r="BG45" i="24" s="1"/>
  <c r="D46" i="24"/>
  <c r="D47" i="24"/>
  <c r="BG47" i="24" s="1"/>
  <c r="D48" i="24"/>
  <c r="BG48" i="24" s="1"/>
  <c r="D49" i="24"/>
  <c r="BG49" i="24" s="1"/>
  <c r="D50" i="24"/>
  <c r="BG50" i="24" s="1"/>
  <c r="D51" i="24"/>
  <c r="BG51" i="24" s="1"/>
  <c r="D52" i="24"/>
  <c r="BG52" i="24" s="1"/>
  <c r="D53" i="24"/>
  <c r="BG53" i="24" s="1"/>
  <c r="D54" i="24"/>
  <c r="BG54" i="24" s="1"/>
  <c r="D55" i="24"/>
  <c r="BG55" i="24" s="1"/>
  <c r="D56" i="24"/>
  <c r="BG56" i="24" s="1"/>
  <c r="D57" i="24"/>
  <c r="BG57" i="24" s="1"/>
  <c r="D58" i="24"/>
  <c r="BG58" i="24" s="1"/>
  <c r="D59" i="24"/>
  <c r="BG59" i="24" s="1"/>
  <c r="D60" i="24"/>
  <c r="BG60" i="24" s="1"/>
  <c r="D61" i="24"/>
  <c r="BG61" i="24" s="1"/>
  <c r="D62" i="24"/>
  <c r="BG62" i="24" s="1"/>
  <c r="D63" i="24"/>
  <c r="BG63" i="24" s="1"/>
  <c r="D64" i="24"/>
  <c r="BG64" i="24" s="1"/>
  <c r="D65" i="24"/>
  <c r="BG65" i="24" s="1"/>
  <c r="D66" i="24"/>
  <c r="BG66" i="24" s="1"/>
  <c r="D67" i="24"/>
  <c r="BG67" i="24" s="1"/>
  <c r="D68" i="24"/>
  <c r="BG68" i="24" s="1"/>
  <c r="D69" i="24"/>
  <c r="BG69" i="24" s="1"/>
  <c r="D70" i="24"/>
  <c r="BG70" i="24" s="1"/>
  <c r="D71" i="24"/>
  <c r="BG71" i="24" s="1"/>
  <c r="D72" i="24"/>
  <c r="BG72" i="24" s="1"/>
  <c r="D73" i="24"/>
  <c r="BG73" i="24" s="1"/>
  <c r="D74" i="24"/>
  <c r="BG74" i="24" s="1"/>
  <c r="D75" i="24"/>
  <c r="BG75" i="24" s="1"/>
  <c r="D76" i="24"/>
  <c r="BG76" i="24" s="1"/>
  <c r="D77" i="24"/>
  <c r="BG77" i="24" s="1"/>
  <c r="D78" i="24"/>
  <c r="BG78" i="24" s="1"/>
  <c r="D79" i="24"/>
  <c r="BG79" i="24" s="1"/>
  <c r="D80" i="24"/>
  <c r="BG80" i="24" s="1"/>
  <c r="D81" i="24"/>
  <c r="BG81" i="24" s="1"/>
  <c r="D86" i="24"/>
  <c r="BG86" i="24" s="1"/>
  <c r="D87" i="24"/>
  <c r="BG87" i="24" s="1"/>
  <c r="D88" i="24"/>
  <c r="BG88" i="24" s="1"/>
  <c r="D89" i="24"/>
  <c r="BG89" i="24" s="1"/>
  <c r="D90" i="24"/>
  <c r="BG90" i="24" s="1"/>
  <c r="D91" i="24"/>
  <c r="BG91" i="24" s="1"/>
  <c r="D92" i="24"/>
  <c r="BG92" i="24" s="1"/>
  <c r="D93" i="24"/>
  <c r="BG93" i="24" s="1"/>
  <c r="D94" i="24"/>
  <c r="BG94" i="24" s="1"/>
  <c r="D95" i="24"/>
  <c r="BG95" i="24" s="1"/>
  <c r="D96" i="24"/>
  <c r="BG96" i="24" s="1"/>
  <c r="D97" i="24"/>
  <c r="BG97" i="24" s="1"/>
  <c r="D98" i="24"/>
  <c r="BG98" i="24" s="1"/>
  <c r="D99" i="24"/>
  <c r="BG99" i="24" s="1"/>
  <c r="D100" i="24"/>
  <c r="BG100" i="24" s="1"/>
  <c r="D101" i="24"/>
  <c r="BG101" i="24" s="1"/>
  <c r="D102" i="24"/>
  <c r="BG102" i="24" s="1"/>
  <c r="D103" i="24"/>
  <c r="BG103" i="24" s="1"/>
  <c r="D104" i="24"/>
  <c r="BG104" i="24" s="1"/>
  <c r="D105" i="24"/>
  <c r="BG105" i="24" s="1"/>
  <c r="D106" i="24"/>
  <c r="BG106" i="24" s="1"/>
  <c r="D107" i="24"/>
  <c r="BG107" i="24" s="1"/>
  <c r="D108" i="24"/>
  <c r="BG108" i="24" s="1"/>
  <c r="D109" i="24"/>
  <c r="D110" i="24"/>
  <c r="BG110" i="24" s="1"/>
  <c r="D111" i="24"/>
  <c r="BG111" i="24" s="1"/>
  <c r="D112" i="24"/>
  <c r="BG112" i="24" s="1"/>
  <c r="D113" i="24"/>
  <c r="BG113" i="24" s="1"/>
  <c r="D114" i="24"/>
  <c r="BG114" i="24" s="1"/>
  <c r="D115" i="24"/>
  <c r="BG115" i="24" s="1"/>
  <c r="D116" i="24"/>
  <c r="BG116" i="24" s="1"/>
  <c r="D117" i="24"/>
  <c r="BG117" i="24" s="1"/>
  <c r="D118" i="24"/>
  <c r="BG118" i="24" s="1"/>
  <c r="D119" i="24"/>
  <c r="BG119" i="24" s="1"/>
  <c r="D120" i="24"/>
  <c r="BG120" i="24" s="1"/>
  <c r="D121" i="24"/>
  <c r="BG121" i="24" s="1"/>
  <c r="D122" i="24"/>
  <c r="BG122" i="24" s="1"/>
  <c r="D123" i="24"/>
  <c r="BG123" i="24" s="1"/>
  <c r="D124" i="24"/>
  <c r="BG124" i="24" s="1"/>
  <c r="D125" i="24"/>
  <c r="BG125" i="24" s="1"/>
  <c r="D126" i="24"/>
  <c r="BG126" i="24" s="1"/>
  <c r="D127" i="24"/>
  <c r="BG127" i="24" s="1"/>
  <c r="D128" i="24"/>
  <c r="BG128" i="24" s="1"/>
  <c r="D129" i="24"/>
  <c r="BG129" i="24" s="1"/>
  <c r="D130" i="24"/>
  <c r="BG130" i="24" s="1"/>
  <c r="D131" i="24"/>
  <c r="BG131" i="24" s="1"/>
  <c r="D4" i="24"/>
  <c r="I3" i="24"/>
  <c r="B34" i="9"/>
  <c r="C34" i="9"/>
  <c r="B35" i="9"/>
  <c r="C35" i="9"/>
  <c r="B36" i="9"/>
  <c r="C36" i="9"/>
  <c r="B37" i="9"/>
  <c r="C37" i="9"/>
  <c r="B38" i="9"/>
  <c r="C38" i="9"/>
  <c r="B39" i="9"/>
  <c r="H94" i="26"/>
  <c r="H95" i="26" s="1"/>
  <c r="H126" i="26" s="1"/>
  <c r="L94" i="26"/>
  <c r="L95" i="26" s="1"/>
  <c r="L126" i="26" s="1"/>
  <c r="Q94" i="26"/>
  <c r="Q95" i="26" s="1"/>
  <c r="Q126" i="26" s="1"/>
  <c r="K94" i="26"/>
  <c r="K95" i="26" s="1"/>
  <c r="K126" i="26" s="1"/>
  <c r="I94" i="26"/>
  <c r="I95" i="26"/>
  <c r="I126" i="26"/>
  <c r="R94" i="26"/>
  <c r="R95" i="26" s="1"/>
  <c r="R126" i="26" s="1"/>
  <c r="P94" i="26"/>
  <c r="P95" i="26"/>
  <c r="P126" i="26" s="1"/>
  <c r="N94" i="26"/>
  <c r="N95" i="26"/>
  <c r="N126" i="26"/>
  <c r="J94" i="26"/>
  <c r="J95" i="26" s="1"/>
  <c r="J126" i="26" s="1"/>
  <c r="G94" i="26"/>
  <c r="G95" i="26" s="1"/>
  <c r="G126" i="26" s="1"/>
  <c r="M94" i="26"/>
  <c r="O94" i="26"/>
  <c r="O95" i="26" s="1"/>
  <c r="O126" i="26" s="1"/>
  <c r="M95" i="26"/>
  <c r="M126" i="26"/>
  <c r="AK137" i="26"/>
  <c r="AH137" i="26"/>
  <c r="AL18" i="24"/>
  <c r="BK9" i="6" l="1"/>
  <c r="BG9" i="6"/>
  <c r="U75" i="26"/>
  <c r="U74" i="26"/>
  <c r="U77" i="26" s="1"/>
  <c r="U93" i="26"/>
  <c r="U95" i="26" s="1"/>
  <c r="U126" i="26" s="1"/>
  <c r="BO9" i="6"/>
  <c r="V68" i="26"/>
  <c r="V125" i="26" s="1"/>
  <c r="U68" i="26"/>
  <c r="U125" i="26" s="1"/>
  <c r="U45" i="26"/>
  <c r="X68" i="26"/>
  <c r="X125" i="26" s="1"/>
  <c r="AD113" i="26"/>
  <c r="J74" i="26"/>
  <c r="J77" i="26" s="1"/>
  <c r="BG10" i="6"/>
  <c r="BC9" i="6"/>
  <c r="AH90" i="26"/>
  <c r="AK19" i="26"/>
  <c r="K74" i="26"/>
  <c r="K77" i="26" s="1"/>
  <c r="AJ88" i="26"/>
  <c r="AD68" i="26"/>
  <c r="AD125" i="26" s="1"/>
  <c r="W68" i="26"/>
  <c r="W125" i="26" s="1"/>
  <c r="W113" i="26"/>
  <c r="AJ137" i="26"/>
  <c r="X72" i="26"/>
  <c r="AM88" i="26"/>
  <c r="Z113" i="26"/>
  <c r="V113" i="26"/>
  <c r="Y68" i="26"/>
  <c r="Y125" i="26" s="1"/>
  <c r="AA75" i="26"/>
  <c r="AA93" i="26"/>
  <c r="AA95" i="26" s="1"/>
  <c r="AA126" i="26" s="1"/>
  <c r="AA74" i="26"/>
  <c r="AA77" i="26" s="1"/>
  <c r="AC45" i="26"/>
  <c r="AA45" i="26"/>
  <c r="AM20" i="26"/>
  <c r="AH15" i="26"/>
  <c r="BS9" i="6"/>
  <c r="AL88" i="26"/>
  <c r="BS29" i="5" s="1"/>
  <c r="AK76" i="26"/>
  <c r="AH109" i="26"/>
  <c r="AD72" i="26"/>
  <c r="AB68" i="26"/>
  <c r="AB125" i="26" s="1"/>
  <c r="T68" i="26"/>
  <c r="T125" i="26" s="1"/>
  <c r="BC22" i="6"/>
  <c r="AI113" i="26"/>
  <c r="AK22" i="26"/>
  <c r="AI122" i="26"/>
  <c r="AL123" i="26"/>
  <c r="Z45" i="26"/>
  <c r="N129" i="26"/>
  <c r="BO18" i="6"/>
  <c r="AK110" i="26"/>
  <c r="H74" i="26"/>
  <c r="H77" i="26" s="1"/>
  <c r="AA68" i="26"/>
  <c r="AA125" i="26" s="1"/>
  <c r="S45" i="26"/>
  <c r="AI45" i="26"/>
  <c r="BM23" i="24"/>
  <c r="BO14" i="6"/>
  <c r="BC19" i="6"/>
  <c r="AL44" i="26"/>
  <c r="AH40" i="26"/>
  <c r="BM64" i="24"/>
  <c r="AS135" i="24"/>
  <c r="AT135" i="24"/>
  <c r="BH135" i="24" s="1"/>
  <c r="AU21" i="7" a="1"/>
  <c r="AU21" i="7" s="1"/>
  <c r="AQ22" i="7" a="1"/>
  <c r="AQ22" i="7" s="1"/>
  <c r="AY22" i="7" a="1"/>
  <c r="AY22" i="7" s="1"/>
  <c r="AU14" i="7" a="1"/>
  <c r="AU14" i="7" s="1"/>
  <c r="AQ15" i="7" a="1"/>
  <c r="AQ15" i="7" s="1"/>
  <c r="AY15" i="7" a="1"/>
  <c r="AY15" i="7" s="1"/>
  <c r="AU16" i="7" a="1"/>
  <c r="AU16" i="7" s="1"/>
  <c r="AQ17" i="7" a="1"/>
  <c r="AQ17" i="7" s="1"/>
  <c r="AY17" i="7" a="1"/>
  <c r="AY17" i="7" s="1"/>
  <c r="AU18" i="7" a="1"/>
  <c r="AU18" i="7" s="1"/>
  <c r="AQ9" i="7" a="1"/>
  <c r="AQ9" i="7" s="1"/>
  <c r="AY9" i="7" a="1"/>
  <c r="AY9" i="7" s="1"/>
  <c r="AU10" i="7" a="1"/>
  <c r="AU10" i="7" s="1"/>
  <c r="AQ11" i="7" a="1"/>
  <c r="AQ11" i="7" s="1"/>
  <c r="AY11" i="7" a="1"/>
  <c r="AY11" i="7" s="1"/>
  <c r="AP15" i="7" a="1"/>
  <c r="AP15" i="7" s="1"/>
  <c r="AX9" i="7" a="1"/>
  <c r="AX9" i="7" s="1"/>
  <c r="AV21" i="7" a="1"/>
  <c r="AV21" i="7" s="1"/>
  <c r="AR22" i="7" a="1"/>
  <c r="AR22" i="7" s="1"/>
  <c r="AZ22" i="7" a="1"/>
  <c r="AZ22" i="7" s="1"/>
  <c r="AV14" i="7" a="1"/>
  <c r="AV14" i="7" s="1"/>
  <c r="AR15" i="7" a="1"/>
  <c r="AR15" i="7" s="1"/>
  <c r="AZ15" i="7" a="1"/>
  <c r="AZ15" i="7" s="1"/>
  <c r="AV16" i="7" a="1"/>
  <c r="AV16" i="7" s="1"/>
  <c r="AR17" i="7" a="1"/>
  <c r="AR17" i="7" s="1"/>
  <c r="AZ17" i="7" a="1"/>
  <c r="AZ17" i="7" s="1"/>
  <c r="AV18" i="7" a="1"/>
  <c r="AV18" i="7" s="1"/>
  <c r="AR9" i="7" a="1"/>
  <c r="AR9" i="7" s="1"/>
  <c r="AZ9" i="7" a="1"/>
  <c r="AZ9" i="7" s="1"/>
  <c r="AV10" i="7" a="1"/>
  <c r="AV10" i="7" s="1"/>
  <c r="AR11" i="7" a="1"/>
  <c r="AR11" i="7" s="1"/>
  <c r="AZ11" i="7" a="1"/>
  <c r="AZ11" i="7" s="1"/>
  <c r="AX15" i="7" a="1"/>
  <c r="AX15" i="7" s="1"/>
  <c r="AO21" i="7" a="1"/>
  <c r="AO21" i="7" s="1"/>
  <c r="AW21" i="7" a="1"/>
  <c r="AW21" i="7" s="1"/>
  <c r="AS22" i="7" a="1"/>
  <c r="AS22" i="7" s="1"/>
  <c r="AW14" i="7" a="1"/>
  <c r="AW14" i="7" s="1"/>
  <c r="AS15" i="7" a="1"/>
  <c r="AS15" i="7" s="1"/>
  <c r="AW16" i="7" a="1"/>
  <c r="AW16" i="7" s="1"/>
  <c r="AS17" i="7" a="1"/>
  <c r="AS17" i="7" s="1"/>
  <c r="AW18" i="7" a="1"/>
  <c r="AW18" i="7" s="1"/>
  <c r="AS9" i="7" a="1"/>
  <c r="AS9" i="7" s="1"/>
  <c r="AW10" i="7" a="1"/>
  <c r="AW10" i="7" s="1"/>
  <c r="AS11" i="7" a="1"/>
  <c r="AS11" i="7" s="1"/>
  <c r="AP22" i="7" a="1"/>
  <c r="AP22" i="7" s="1"/>
  <c r="AT18" i="7" a="1"/>
  <c r="AT18" i="7" s="1"/>
  <c r="AX11" i="7" a="1"/>
  <c r="AX11" i="7" s="1"/>
  <c r="AP21" i="7" a="1"/>
  <c r="AP21" i="7" s="1"/>
  <c r="AX21" i="7" a="1"/>
  <c r="AX21" i="7" s="1"/>
  <c r="AT22" i="7" a="1"/>
  <c r="AT22" i="7" s="1"/>
  <c r="AP14" i="7" a="1"/>
  <c r="AP14" i="7" s="1"/>
  <c r="AX14" i="7" a="1"/>
  <c r="AX14" i="7" s="1"/>
  <c r="AT15" i="7" a="1"/>
  <c r="AT15" i="7" s="1"/>
  <c r="AP16" i="7" a="1"/>
  <c r="AP16" i="7" s="1"/>
  <c r="AX16" i="7" a="1"/>
  <c r="AX16" i="7" s="1"/>
  <c r="AT17" i="7" a="1"/>
  <c r="AT17" i="7" s="1"/>
  <c r="AP18" i="7" a="1"/>
  <c r="AP18" i="7" s="1"/>
  <c r="AT9" i="7" a="1"/>
  <c r="AT9" i="7" s="1"/>
  <c r="AP10" i="7" a="1"/>
  <c r="AP10" i="7" s="1"/>
  <c r="AX10" i="7" a="1"/>
  <c r="AX10" i="7" s="1"/>
  <c r="AT11" i="7" a="1"/>
  <c r="AT11" i="7" s="1"/>
  <c r="AT16" i="7" a="1"/>
  <c r="AT16" i="7" s="1"/>
  <c r="AP11" i="7" a="1"/>
  <c r="AP11" i="7" s="1"/>
  <c r="AQ21" i="7" a="1"/>
  <c r="AQ21" i="7" s="1"/>
  <c r="AY21" i="7" a="1"/>
  <c r="AY21" i="7" s="1"/>
  <c r="AU22" i="7" a="1"/>
  <c r="AU22" i="7" s="1"/>
  <c r="AQ14" i="7" a="1"/>
  <c r="AQ14" i="7" s="1"/>
  <c r="AY14" i="7" a="1"/>
  <c r="AY14" i="7" s="1"/>
  <c r="AU15" i="7" a="1"/>
  <c r="AU15" i="7" s="1"/>
  <c r="AQ16" i="7" a="1"/>
  <c r="AQ16" i="7" s="1"/>
  <c r="AY16" i="7" a="1"/>
  <c r="AY16" i="7" s="1"/>
  <c r="AU17" i="7" a="1"/>
  <c r="AU17" i="7" s="1"/>
  <c r="AQ18" i="7" a="1"/>
  <c r="AQ18" i="7" s="1"/>
  <c r="AY18" i="7" a="1"/>
  <c r="AY18" i="7" s="1"/>
  <c r="AU9" i="7" a="1"/>
  <c r="AU9" i="7" s="1"/>
  <c r="AQ10" i="7" a="1"/>
  <c r="AQ10" i="7" s="1"/>
  <c r="AY10" i="7" a="1"/>
  <c r="AY10" i="7" s="1"/>
  <c r="AU11" i="7" a="1"/>
  <c r="AU11" i="7" s="1"/>
  <c r="AT14" i="7" a="1"/>
  <c r="AT14" i="7" s="1"/>
  <c r="AR21" i="7" a="1"/>
  <c r="AR21" i="7" s="1"/>
  <c r="AZ21" i="7" a="1"/>
  <c r="AZ21" i="7" s="1"/>
  <c r="AV22" i="7" a="1"/>
  <c r="AV22" i="7" s="1"/>
  <c r="AR14" i="7" a="1"/>
  <c r="AR14" i="7" s="1"/>
  <c r="AZ14" i="7" a="1"/>
  <c r="AZ14" i="7" s="1"/>
  <c r="AV15" i="7" a="1"/>
  <c r="AV15" i="7" s="1"/>
  <c r="AR16" i="7" a="1"/>
  <c r="AR16" i="7" s="1"/>
  <c r="AZ16" i="7" a="1"/>
  <c r="AZ16" i="7" s="1"/>
  <c r="AV17" i="7" a="1"/>
  <c r="AV17" i="7" s="1"/>
  <c r="AZ18" i="7" a="1"/>
  <c r="AZ18" i="7" s="1"/>
  <c r="AV9" i="7" a="1"/>
  <c r="AV9" i="7" s="1"/>
  <c r="AR10" i="7" a="1"/>
  <c r="AR10" i="7" s="1"/>
  <c r="AZ10" i="7" a="1"/>
  <c r="AZ10" i="7" s="1"/>
  <c r="AV11" i="7" a="1"/>
  <c r="AV11" i="7" s="1"/>
  <c r="AX22" i="7" a="1"/>
  <c r="AX22" i="7" s="1"/>
  <c r="AS21" i="7" a="1"/>
  <c r="AS21" i="7" s="1"/>
  <c r="AO22" i="7" a="1"/>
  <c r="AO22" i="7" s="1"/>
  <c r="AW22" i="7" a="1"/>
  <c r="AW22" i="7" s="1"/>
  <c r="AS14" i="7" a="1"/>
  <c r="AS14" i="7" s="1"/>
  <c r="AO15" i="7" a="1"/>
  <c r="AO15" i="7" s="1"/>
  <c r="AW15" i="7" a="1"/>
  <c r="AW15" i="7" s="1"/>
  <c r="AS16" i="7" a="1"/>
  <c r="AS16" i="7" s="1"/>
  <c r="AO17" i="7" a="1"/>
  <c r="AO17" i="7" s="1"/>
  <c r="AW17" i="7" a="1"/>
  <c r="AW17" i="7" s="1"/>
  <c r="AS18" i="7" a="1"/>
  <c r="AS18" i="7" s="1"/>
  <c r="AO9" i="7" a="1"/>
  <c r="AO9" i="7" s="1"/>
  <c r="AW9" i="7" a="1"/>
  <c r="AW9" i="7" s="1"/>
  <c r="AS10" i="7" a="1"/>
  <c r="AS10" i="7" s="1"/>
  <c r="AO11" i="7" a="1"/>
  <c r="AO11" i="7" s="1"/>
  <c r="AW11" i="7" a="1"/>
  <c r="AW11" i="7" s="1"/>
  <c r="AT21" i="7" a="1"/>
  <c r="AT21" i="7" s="1"/>
  <c r="AP17" i="7" a="1"/>
  <c r="AP17" i="7" s="1"/>
  <c r="AX17" i="7" a="1"/>
  <c r="AX17" i="7" s="1"/>
  <c r="AP9" i="7" a="1"/>
  <c r="AP9" i="7" s="1"/>
  <c r="AT10" i="7" a="1"/>
  <c r="AT10" i="7" s="1"/>
  <c r="AV49" i="9" a="1"/>
  <c r="AV49" i="9" s="1"/>
  <c r="AQ51" i="9" a="1"/>
  <c r="AQ51" i="9" s="1"/>
  <c r="AW51" i="9" a="1"/>
  <c r="AW51" i="9" s="1"/>
  <c r="AR52" i="9" a="1"/>
  <c r="AR52" i="9" s="1"/>
  <c r="AX52" i="9" a="1"/>
  <c r="AX52" i="9" s="1"/>
  <c r="AS42" i="9" a="1"/>
  <c r="AS42" i="9" s="1"/>
  <c r="AZ42" i="9" a="1"/>
  <c r="AZ42" i="9" s="1"/>
  <c r="AT43" i="9" a="1"/>
  <c r="AT43" i="9" s="1"/>
  <c r="AU44" i="9" a="1"/>
  <c r="AU44" i="9" s="1"/>
  <c r="AV45" i="9" a="1"/>
  <c r="AV45" i="9" s="1"/>
  <c r="AP46" i="9" a="1"/>
  <c r="AP46" i="9" s="1"/>
  <c r="AQ34" i="9" a="1"/>
  <c r="AQ34" i="9" s="1"/>
  <c r="AW34" i="9" a="1"/>
  <c r="AW34" i="9" s="1"/>
  <c r="AR35" i="9" a="1"/>
  <c r="AR35" i="9" s="1"/>
  <c r="AX35" i="9" a="1"/>
  <c r="AX35" i="9" s="1"/>
  <c r="AY36" i="9" a="1"/>
  <c r="AY36" i="9" s="1"/>
  <c r="AS37" i="9" a="1"/>
  <c r="AS37" i="9" s="1"/>
  <c r="AZ37" i="9" a="1"/>
  <c r="AZ37" i="9" s="1"/>
  <c r="AT38" i="9" a="1"/>
  <c r="AT38" i="9" s="1"/>
  <c r="AU39" i="9" a="1"/>
  <c r="AU39" i="9" s="1"/>
  <c r="AO29" i="9" a="1"/>
  <c r="AO29" i="9" s="1"/>
  <c r="AP30" i="9" a="1"/>
  <c r="AP30" i="9" s="1"/>
  <c r="AV30" i="9" a="1"/>
  <c r="AV30" i="9" s="1"/>
  <c r="AQ31" i="9" a="1"/>
  <c r="AQ31" i="9" s="1"/>
  <c r="AW31" i="9" a="1"/>
  <c r="AW31" i="9" s="1"/>
  <c r="AR23" i="9" a="1"/>
  <c r="AR23" i="9" s="1"/>
  <c r="AX23" i="9" a="1"/>
  <c r="AX23" i="9" s="1"/>
  <c r="AY24" i="9" a="1"/>
  <c r="AY24" i="9" s="1"/>
  <c r="AS25" i="9" a="1"/>
  <c r="AS25" i="9" s="1"/>
  <c r="AZ25" i="9" a="1"/>
  <c r="AZ25" i="9" s="1"/>
  <c r="AT9" i="9" a="1"/>
  <c r="AT9" i="9" s="1"/>
  <c r="AU10" i="9" a="1"/>
  <c r="AU10" i="9" s="1"/>
  <c r="AO11" i="9" a="1"/>
  <c r="AO11" i="9" s="1"/>
  <c r="AV11" i="9" a="1"/>
  <c r="AV11" i="9" s="1"/>
  <c r="AP12" i="9" a="1"/>
  <c r="AP12" i="9" s="1"/>
  <c r="AQ13" i="9" a="1"/>
  <c r="AQ13" i="9" s="1"/>
  <c r="AW13" i="9" a="1"/>
  <c r="AW13" i="9" s="1"/>
  <c r="AR14" i="9" a="1"/>
  <c r="AR14" i="9" s="1"/>
  <c r="AX14" i="9" a="1"/>
  <c r="AX14" i="9" s="1"/>
  <c r="AY15" i="9" a="1"/>
  <c r="AY15" i="9" s="1"/>
  <c r="AS16" i="9" a="1"/>
  <c r="AS16" i="9" s="1"/>
  <c r="AZ16" i="9" a="1"/>
  <c r="AZ16" i="9" s="1"/>
  <c r="AT17" i="9" a="1"/>
  <c r="AT17" i="9" s="1"/>
  <c r="AU18" i="9" a="1"/>
  <c r="AU18" i="9" s="1"/>
  <c r="AW42" i="5" a="1"/>
  <c r="AW42" i="5" s="1"/>
  <c r="AS43" i="5" a="1"/>
  <c r="AS43" i="5" s="1"/>
  <c r="AZ43" i="5" a="1"/>
  <c r="AZ43" i="5" s="1"/>
  <c r="AV44" i="5" a="1"/>
  <c r="AV44" i="5" s="1"/>
  <c r="AY45" i="5" a="1"/>
  <c r="AY45" i="5" s="1"/>
  <c r="AZ39" i="5" a="1"/>
  <c r="AZ39" i="5" s="1"/>
  <c r="AW34" i="5" a="1"/>
  <c r="AW34" i="5" s="1"/>
  <c r="AS35" i="5" a="1"/>
  <c r="AS35" i="5" s="1"/>
  <c r="AZ35" i="5" a="1"/>
  <c r="AZ35" i="5" s="1"/>
  <c r="AV36" i="5" a="1"/>
  <c r="AV36" i="5" s="1"/>
  <c r="AY37" i="5" a="1"/>
  <c r="AY37" i="5" s="1"/>
  <c r="AU28" i="5" a="1"/>
  <c r="AU28" i="5" s="1"/>
  <c r="AR29" i="5" a="1"/>
  <c r="AR29" i="5" s="1"/>
  <c r="AX29" i="5" a="1"/>
  <c r="AX29" i="5" s="1"/>
  <c r="AQ31" i="5" a="1"/>
  <c r="AQ31" i="5" s="1"/>
  <c r="AW31" i="5" a="1"/>
  <c r="AW31" i="5" s="1"/>
  <c r="AT21" i="5" a="1"/>
  <c r="AT21" i="5" s="1"/>
  <c r="AP49" i="9" a="1"/>
  <c r="AP49" i="9" s="1"/>
  <c r="AR51" i="9" a="1"/>
  <c r="AR51" i="9" s="1"/>
  <c r="AX51" i="9" a="1"/>
  <c r="AX51" i="9" s="1"/>
  <c r="AY52" i="9" a="1"/>
  <c r="AY52" i="9" s="1"/>
  <c r="AT42" i="9" a="1"/>
  <c r="AT42" i="9" s="1"/>
  <c r="AO44" i="9" a="1"/>
  <c r="AO44" i="9" s="1"/>
  <c r="AV44" i="9" a="1"/>
  <c r="AV44" i="9" s="1"/>
  <c r="AP45" i="9" a="1"/>
  <c r="AP45" i="9" s="1"/>
  <c r="AQ46" i="9" a="1"/>
  <c r="AQ46" i="9" s="1"/>
  <c r="AW46" i="9" a="1"/>
  <c r="AW46" i="9" s="1"/>
  <c r="AR34" i="9" a="1"/>
  <c r="AR34" i="9" s="1"/>
  <c r="AX34" i="9" a="1"/>
  <c r="AX34" i="9" s="1"/>
  <c r="AY35" i="9" a="1"/>
  <c r="AY35" i="9" s="1"/>
  <c r="AS36" i="9" a="1"/>
  <c r="AS36" i="9" s="1"/>
  <c r="AZ36" i="9" a="1"/>
  <c r="AZ36" i="9" s="1"/>
  <c r="AT37" i="9" a="1"/>
  <c r="AT37" i="9" s="1"/>
  <c r="AU38" i="9" a="1"/>
  <c r="AU38" i="9" s="1"/>
  <c r="AO39" i="9" a="1"/>
  <c r="AO39" i="9" s="1"/>
  <c r="AV39" i="9" a="1"/>
  <c r="AV39" i="9" s="1"/>
  <c r="AP29" i="9" a="1"/>
  <c r="AP29" i="9" s="1"/>
  <c r="AV29" i="9" a="1"/>
  <c r="AV29" i="9" s="1"/>
  <c r="AQ30" i="9" a="1"/>
  <c r="AQ30" i="9" s="1"/>
  <c r="AW30" i="9" a="1"/>
  <c r="AW30" i="9" s="1"/>
  <c r="AX31" i="9" a="1"/>
  <c r="AX31" i="9" s="1"/>
  <c r="AY23" i="9" a="1"/>
  <c r="AY23" i="9" s="1"/>
  <c r="AS24" i="9" a="1"/>
  <c r="AS24" i="9" s="1"/>
  <c r="AZ24" i="9" a="1"/>
  <c r="AZ24" i="9" s="1"/>
  <c r="AT25" i="9" a="1"/>
  <c r="AT25" i="9" s="1"/>
  <c r="AU9" i="9" a="1"/>
  <c r="AU9" i="9" s="1"/>
  <c r="AO10" i="9" a="1"/>
  <c r="AO10" i="9" s="1"/>
  <c r="AV10" i="9" a="1"/>
  <c r="AV10" i="9" s="1"/>
  <c r="AP11" i="9" a="1"/>
  <c r="AP11" i="9" s="1"/>
  <c r="AQ12" i="9" a="1"/>
  <c r="AQ12" i="9" s="1"/>
  <c r="AW12" i="9" a="1"/>
  <c r="AW12" i="9" s="1"/>
  <c r="AR13" i="9" a="1"/>
  <c r="AR13" i="9" s="1"/>
  <c r="AX13" i="9" a="1"/>
  <c r="AX13" i="9" s="1"/>
  <c r="AY14" i="9" a="1"/>
  <c r="AY14" i="9" s="1"/>
  <c r="AS15" i="9" a="1"/>
  <c r="AS15" i="9" s="1"/>
  <c r="AZ15" i="9" a="1"/>
  <c r="AZ15" i="9" s="1"/>
  <c r="AT16" i="9" a="1"/>
  <c r="AT16" i="9" s="1"/>
  <c r="AU17" i="9" a="1"/>
  <c r="AU17" i="9" s="1"/>
  <c r="AO18" i="9" a="1"/>
  <c r="AO18" i="9" s="1"/>
  <c r="AV18" i="9" a="1"/>
  <c r="AV18" i="9" s="1"/>
  <c r="AQ42" i="5" a="1"/>
  <c r="AQ42" i="5" s="1"/>
  <c r="AX42" i="5" a="1"/>
  <c r="AX42" i="5" s="1"/>
  <c r="AT43" i="5" a="1"/>
  <c r="AT43" i="5" s="1"/>
  <c r="AW44" i="5" a="1"/>
  <c r="AW44" i="5" s="1"/>
  <c r="AS45" i="5" a="1"/>
  <c r="AS45" i="5" s="1"/>
  <c r="AZ45" i="5" a="1"/>
  <c r="AZ45" i="5" s="1"/>
  <c r="AU39" i="5" a="1"/>
  <c r="AU39" i="5" s="1"/>
  <c r="AQ34" i="5" a="1"/>
  <c r="AQ34" i="5" s="1"/>
  <c r="AQ49" i="9" a="1"/>
  <c r="AQ49" i="9" s="1"/>
  <c r="AW49" i="9" a="1"/>
  <c r="AW49" i="9" s="1"/>
  <c r="AY51" i="9" a="1"/>
  <c r="AY51" i="9" s="1"/>
  <c r="AS52" i="9" a="1"/>
  <c r="AS52" i="9" s="1"/>
  <c r="AZ52" i="9" a="1"/>
  <c r="AZ52" i="9" s="1"/>
  <c r="AU42" i="9" a="1"/>
  <c r="AU42" i="9" s="1"/>
  <c r="AV43" i="9" a="1"/>
  <c r="AV43" i="9" s="1"/>
  <c r="AP44" i="9" a="1"/>
  <c r="AP44" i="9" s="1"/>
  <c r="AQ45" i="9" a="1"/>
  <c r="AQ45" i="9" s="1"/>
  <c r="AW45" i="9" a="1"/>
  <c r="AW45" i="9" s="1"/>
  <c r="AR46" i="9" a="1"/>
  <c r="AR46" i="9" s="1"/>
  <c r="AX46" i="9" a="1"/>
  <c r="AX46" i="9" s="1"/>
  <c r="AY34" i="9" a="1"/>
  <c r="AY34" i="9" s="1"/>
  <c r="AS35" i="9" a="1"/>
  <c r="AS35" i="9" s="1"/>
  <c r="AZ35" i="9" a="1"/>
  <c r="AZ35" i="9" s="1"/>
  <c r="AT36" i="9" a="1"/>
  <c r="AT36" i="9" s="1"/>
  <c r="AU37" i="9" a="1"/>
  <c r="AU37" i="9" s="1"/>
  <c r="AV38" i="9" a="1"/>
  <c r="AV38" i="9" s="1"/>
  <c r="AP39" i="9" a="1"/>
  <c r="AP39" i="9" s="1"/>
  <c r="AQ29" i="9" a="1"/>
  <c r="AQ29" i="9" s="1"/>
  <c r="AW29" i="9" a="1"/>
  <c r="AW29" i="9" s="1"/>
  <c r="AX30" i="9" a="1"/>
  <c r="AX30" i="9" s="1"/>
  <c r="AR31" i="9" a="1"/>
  <c r="AR31" i="9" s="1"/>
  <c r="AY31" i="9" a="1"/>
  <c r="AY31" i="9" s="1"/>
  <c r="AS23" i="9" a="1"/>
  <c r="AS23" i="9" s="1"/>
  <c r="AZ23" i="9" a="1"/>
  <c r="AZ23" i="9" s="1"/>
  <c r="AT24" i="9" a="1"/>
  <c r="AT24" i="9" s="1"/>
  <c r="AU25" i="9" a="1"/>
  <c r="AU25" i="9" s="1"/>
  <c r="AO9" i="9" a="1"/>
  <c r="AO9" i="9" s="1"/>
  <c r="AV9" i="9" a="1"/>
  <c r="AV9" i="9" s="1"/>
  <c r="AP10" i="9" a="1"/>
  <c r="AP10" i="9" s="1"/>
  <c r="AQ11" i="9" a="1"/>
  <c r="AQ11" i="9" s="1"/>
  <c r="AW11" i="9" a="1"/>
  <c r="AW11" i="9" s="1"/>
  <c r="AR12" i="9" a="1"/>
  <c r="AR12" i="9" s="1"/>
  <c r="AX12" i="9" a="1"/>
  <c r="AX12" i="9" s="1"/>
  <c r="AY13" i="9" a="1"/>
  <c r="AY13" i="9" s="1"/>
  <c r="AS14" i="9" a="1"/>
  <c r="AS14" i="9" s="1"/>
  <c r="AZ14" i="9" a="1"/>
  <c r="AZ14" i="9" s="1"/>
  <c r="AT15" i="9" a="1"/>
  <c r="AT15" i="9" s="1"/>
  <c r="AU16" i="9" a="1"/>
  <c r="AU16" i="9" s="1"/>
  <c r="AO17" i="9" a="1"/>
  <c r="AO17" i="9" s="1"/>
  <c r="AV17" i="9" a="1"/>
  <c r="AV17" i="9" s="1"/>
  <c r="AP18" i="9" a="1"/>
  <c r="AP18" i="9" s="1"/>
  <c r="AR42" i="5" a="1"/>
  <c r="AR42" i="5" s="1"/>
  <c r="AU43" i="5" a="1"/>
  <c r="AU43" i="5" s="1"/>
  <c r="AQ44" i="5" a="1"/>
  <c r="AQ44" i="5" s="1"/>
  <c r="AX44" i="5" a="1"/>
  <c r="AX44" i="5" s="1"/>
  <c r="AT45" i="5" a="1"/>
  <c r="AT45" i="5" s="1"/>
  <c r="AV39" i="5" a="1"/>
  <c r="AV39" i="5" s="1"/>
  <c r="AR34" i="5" a="1"/>
  <c r="AR34" i="5" s="1"/>
  <c r="AU35" i="5" a="1"/>
  <c r="AU35" i="5" s="1"/>
  <c r="AQ36" i="5" a="1"/>
  <c r="AQ36" i="5" s="1"/>
  <c r="AX36" i="5" a="1"/>
  <c r="AX36" i="5" s="1"/>
  <c r="AT37" i="5" a="1"/>
  <c r="AT37" i="5" s="1"/>
  <c r="AW28" i="5" a="1"/>
  <c r="AW28" i="5" s="1"/>
  <c r="AS29" i="5" a="1"/>
  <c r="AS29" i="5" s="1"/>
  <c r="AZ29" i="5" a="1"/>
  <c r="AZ29" i="5" s="1"/>
  <c r="AV30" i="5" a="1"/>
  <c r="AV30" i="5" s="1"/>
  <c r="AY31" i="5" a="1"/>
  <c r="AY31" i="5" s="1"/>
  <c r="AR49" i="9" a="1"/>
  <c r="AR49" i="9" s="1"/>
  <c r="AX49" i="9" a="1"/>
  <c r="AX49" i="9" s="1"/>
  <c r="AS51" i="9" a="1"/>
  <c r="AS51" i="9" s="1"/>
  <c r="AZ51" i="9" a="1"/>
  <c r="AZ51" i="9" s="1"/>
  <c r="AT52" i="9" a="1"/>
  <c r="AT52" i="9" s="1"/>
  <c r="AO42" i="9" a="1"/>
  <c r="AO42" i="9" s="1"/>
  <c r="AV42" i="9" a="1"/>
  <c r="AV42" i="9" s="1"/>
  <c r="AP43" i="9" a="1"/>
  <c r="AP43" i="9" s="1"/>
  <c r="AQ44" i="9" a="1"/>
  <c r="AQ44" i="9" s="1"/>
  <c r="AW44" i="9" a="1"/>
  <c r="AW44" i="9" s="1"/>
  <c r="AR45" i="9" a="1"/>
  <c r="AR45" i="9" s="1"/>
  <c r="AX45" i="9" a="1"/>
  <c r="AX45" i="9" s="1"/>
  <c r="AY46" i="9" a="1"/>
  <c r="AY46" i="9" s="1"/>
  <c r="AS34" i="9" a="1"/>
  <c r="AS34" i="9" s="1"/>
  <c r="AZ34" i="9" a="1"/>
  <c r="AZ34" i="9" s="1"/>
  <c r="AT35" i="9" a="1"/>
  <c r="AT35" i="9" s="1"/>
  <c r="AU36" i="9" a="1"/>
  <c r="AU36" i="9" s="1"/>
  <c r="AV37" i="9" a="1"/>
  <c r="AV37" i="9" s="1"/>
  <c r="AP38" i="9" a="1"/>
  <c r="AP38" i="9" s="1"/>
  <c r="AQ39" i="9" a="1"/>
  <c r="AQ39" i="9" s="1"/>
  <c r="AW39" i="9" a="1"/>
  <c r="AW39" i="9" s="1"/>
  <c r="AX29" i="9" a="1"/>
  <c r="AX29" i="9" s="1"/>
  <c r="AR30" i="9" a="1"/>
  <c r="AR30" i="9" s="1"/>
  <c r="AY30" i="9" a="1"/>
  <c r="AY30" i="9" s="1"/>
  <c r="AS31" i="9" a="1"/>
  <c r="AS31" i="9" s="1"/>
  <c r="AT23" i="9" a="1"/>
  <c r="AT23" i="9" s="1"/>
  <c r="AU24" i="9" a="1"/>
  <c r="AU24" i="9" s="1"/>
  <c r="AO25" i="9" a="1"/>
  <c r="AO25" i="9" s="1"/>
  <c r="AV25" i="9" a="1"/>
  <c r="AV25" i="9" s="1"/>
  <c r="AP9" i="9" a="1"/>
  <c r="AP9" i="9" s="1"/>
  <c r="AQ10" i="9" a="1"/>
  <c r="AQ10" i="9" s="1"/>
  <c r="AW10" i="9" a="1"/>
  <c r="AW10" i="9" s="1"/>
  <c r="AR11" i="9" a="1"/>
  <c r="AR11" i="9" s="1"/>
  <c r="AX11" i="9" a="1"/>
  <c r="AX11" i="9" s="1"/>
  <c r="AY12" i="9" a="1"/>
  <c r="AY12" i="9" s="1"/>
  <c r="AS13" i="9" a="1"/>
  <c r="AS13" i="9" s="1"/>
  <c r="AZ13" i="9" a="1"/>
  <c r="AZ13" i="9" s="1"/>
  <c r="AT14" i="9" a="1"/>
  <c r="AT14" i="9" s="1"/>
  <c r="AU15" i="9" a="1"/>
  <c r="AU15" i="9" s="1"/>
  <c r="AO16" i="9" a="1"/>
  <c r="AO16" i="9" s="1"/>
  <c r="AV16" i="9" a="1"/>
  <c r="AV16" i="9" s="1"/>
  <c r="AP17" i="9" a="1"/>
  <c r="AP17" i="9" s="1"/>
  <c r="AQ18" i="9" a="1"/>
  <c r="AQ18" i="9" s="1"/>
  <c r="AW18" i="9" a="1"/>
  <c r="AW18" i="9" s="1"/>
  <c r="AS42" i="5" a="1"/>
  <c r="AS42" i="5" s="1"/>
  <c r="AY42" i="5" a="1"/>
  <c r="AY42" i="5" s="1"/>
  <c r="AV43" i="5" a="1"/>
  <c r="AV43" i="5" s="1"/>
  <c r="AR44" i="5" a="1"/>
  <c r="AR44" i="5" s="1"/>
  <c r="AU45" i="5" a="1"/>
  <c r="AU45" i="5" s="1"/>
  <c r="AY49" i="9" a="1"/>
  <c r="AY49" i="9" s="1"/>
  <c r="AT51" i="9" a="1"/>
  <c r="AT51" i="9" s="1"/>
  <c r="AU52" i="9" a="1"/>
  <c r="AU52" i="9" s="1"/>
  <c r="AP42" i="9" a="1"/>
  <c r="AP42" i="9" s="1"/>
  <c r="AQ43" i="9" a="1"/>
  <c r="AQ43" i="9" s="1"/>
  <c r="AW43" i="9" a="1"/>
  <c r="AW43" i="9" s="1"/>
  <c r="AR44" i="9" a="1"/>
  <c r="AR44" i="9" s="1"/>
  <c r="AX44" i="9" a="1"/>
  <c r="AX44" i="9" s="1"/>
  <c r="AY45" i="9" a="1"/>
  <c r="AY45" i="9" s="1"/>
  <c r="AS46" i="9" a="1"/>
  <c r="AS46" i="9" s="1"/>
  <c r="AZ46" i="9" a="1"/>
  <c r="AZ46" i="9" s="1"/>
  <c r="AT34" i="9" a="1"/>
  <c r="AT34" i="9" s="1"/>
  <c r="AU35" i="9" a="1"/>
  <c r="AU35" i="9" s="1"/>
  <c r="AV36" i="9" a="1"/>
  <c r="AV36" i="9" s="1"/>
  <c r="AP37" i="9" a="1"/>
  <c r="AP37" i="9" s="1"/>
  <c r="AQ38" i="9" a="1"/>
  <c r="AQ38" i="9" s="1"/>
  <c r="AW38" i="9" a="1"/>
  <c r="AW38" i="9" s="1"/>
  <c r="AR39" i="9" a="1"/>
  <c r="AR39" i="9" s="1"/>
  <c r="AX39" i="9" a="1"/>
  <c r="AX39" i="9" s="1"/>
  <c r="AR29" i="9" a="1"/>
  <c r="AR29" i="9" s="1"/>
  <c r="AY29" i="9" a="1"/>
  <c r="AY29" i="9" s="1"/>
  <c r="AS30" i="9" a="1"/>
  <c r="AS30" i="9" s="1"/>
  <c r="AT31" i="9" a="1"/>
  <c r="AT31" i="9" s="1"/>
  <c r="AZ31" i="9" a="1"/>
  <c r="AZ31" i="9" s="1"/>
  <c r="AU23" i="9" a="1"/>
  <c r="AU23" i="9" s="1"/>
  <c r="AO24" i="9" a="1"/>
  <c r="AO24" i="9" s="1"/>
  <c r="AV24" i="9" a="1"/>
  <c r="AV24" i="9" s="1"/>
  <c r="AP25" i="9" a="1"/>
  <c r="AP25" i="9" s="1"/>
  <c r="AQ9" i="9" a="1"/>
  <c r="AQ9" i="9" s="1"/>
  <c r="AW9" i="9" a="1"/>
  <c r="AW9" i="9" s="1"/>
  <c r="AR10" i="9" a="1"/>
  <c r="AR10" i="9" s="1"/>
  <c r="AX10" i="9" a="1"/>
  <c r="AX10" i="9" s="1"/>
  <c r="AY11" i="9" a="1"/>
  <c r="AY11" i="9" s="1"/>
  <c r="AS12" i="9" a="1"/>
  <c r="AS12" i="9" s="1"/>
  <c r="AZ12" i="9" a="1"/>
  <c r="AZ12" i="9" s="1"/>
  <c r="AT13" i="9" a="1"/>
  <c r="AT13" i="9" s="1"/>
  <c r="AU14" i="9" a="1"/>
  <c r="AU14" i="9" s="1"/>
  <c r="AO15" i="9" a="1"/>
  <c r="AO15" i="9" s="1"/>
  <c r="AV15" i="9" a="1"/>
  <c r="AV15" i="9" s="1"/>
  <c r="AP16" i="9" a="1"/>
  <c r="AP16" i="9" s="1"/>
  <c r="AQ17" i="9" a="1"/>
  <c r="AQ17" i="9" s="1"/>
  <c r="AW17" i="9" a="1"/>
  <c r="AW17" i="9" s="1"/>
  <c r="AR18" i="9" a="1"/>
  <c r="AR18" i="9" s="1"/>
  <c r="AX18" i="9" a="1"/>
  <c r="AX18" i="9" s="1"/>
  <c r="AT42" i="5" a="1"/>
  <c r="AT42" i="5" s="1"/>
  <c r="AZ42" i="5" a="1"/>
  <c r="AZ42" i="5" s="1"/>
  <c r="AS44" i="5" a="1"/>
  <c r="AS44" i="5" s="1"/>
  <c r="AY44" i="5" a="1"/>
  <c r="AY44" i="5" s="1"/>
  <c r="AV45" i="5" a="1"/>
  <c r="AV45" i="5" s="1"/>
  <c r="AR39" i="5" a="1"/>
  <c r="AR39" i="5" s="1"/>
  <c r="AT34" i="5" a="1"/>
  <c r="AT34" i="5" s="1"/>
  <c r="AZ34" i="5" a="1"/>
  <c r="AZ34" i="5" s="1"/>
  <c r="AS36" i="5" a="1"/>
  <c r="AS36" i="5" s="1"/>
  <c r="AS49" i="9" a="1"/>
  <c r="AS49" i="9" s="1"/>
  <c r="AZ49" i="9" a="1"/>
  <c r="AZ49" i="9" s="1"/>
  <c r="AU51" i="9" a="1"/>
  <c r="AU51" i="9" s="1"/>
  <c r="AV52" i="9" a="1"/>
  <c r="AV52" i="9" s="1"/>
  <c r="AQ42" i="9" a="1"/>
  <c r="AQ42" i="9" s="1"/>
  <c r="AW42" i="9" a="1"/>
  <c r="AW42" i="9" s="1"/>
  <c r="AR43" i="9" a="1"/>
  <c r="AR43" i="9" s="1"/>
  <c r="AX43" i="9" a="1"/>
  <c r="AX43" i="9" s="1"/>
  <c r="AY44" i="9" a="1"/>
  <c r="AY44" i="9" s="1"/>
  <c r="AS45" i="9" a="1"/>
  <c r="AS45" i="9" s="1"/>
  <c r="AZ45" i="9" a="1"/>
  <c r="AZ45" i="9" s="1"/>
  <c r="AT46" i="9" a="1"/>
  <c r="AT46" i="9" s="1"/>
  <c r="AU34" i="9" a="1"/>
  <c r="AU34" i="9" s="1"/>
  <c r="AO35" i="9" a="1"/>
  <c r="AO35" i="9" s="1"/>
  <c r="AV35" i="9" a="1"/>
  <c r="AV35" i="9" s="1"/>
  <c r="AP36" i="9" a="1"/>
  <c r="AP36" i="9" s="1"/>
  <c r="AQ37" i="9" a="1"/>
  <c r="AQ37" i="9" s="1"/>
  <c r="AW37" i="9" a="1"/>
  <c r="AW37" i="9" s="1"/>
  <c r="AR38" i="9" a="1"/>
  <c r="AR38" i="9" s="1"/>
  <c r="AX38" i="9" a="1"/>
  <c r="AX38" i="9" s="1"/>
  <c r="AY39" i="9" a="1"/>
  <c r="AY39" i="9" s="1"/>
  <c r="AS29" i="9" a="1"/>
  <c r="AS29" i="9" s="1"/>
  <c r="AT30" i="9" a="1"/>
  <c r="AT30" i="9" s="1"/>
  <c r="AZ30" i="9" a="1"/>
  <c r="AZ30" i="9" s="1"/>
  <c r="AU31" i="9" a="1"/>
  <c r="AU31" i="9" s="1"/>
  <c r="AO23" i="9" a="1"/>
  <c r="AO23" i="9" s="1"/>
  <c r="AV23" i="9" a="1"/>
  <c r="AV23" i="9" s="1"/>
  <c r="AP24" i="9" a="1"/>
  <c r="AP24" i="9" s="1"/>
  <c r="AQ25" i="9" a="1"/>
  <c r="AQ25" i="9" s="1"/>
  <c r="AW25" i="9" a="1"/>
  <c r="AW25" i="9" s="1"/>
  <c r="AR9" i="9" a="1"/>
  <c r="AR9" i="9" s="1"/>
  <c r="AX9" i="9" a="1"/>
  <c r="AX9" i="9" s="1"/>
  <c r="AY10" i="9" a="1"/>
  <c r="AY10" i="9" s="1"/>
  <c r="AS11" i="9" a="1"/>
  <c r="AS11" i="9" s="1"/>
  <c r="AZ11" i="9" a="1"/>
  <c r="AZ11" i="9" s="1"/>
  <c r="AT12" i="9" a="1"/>
  <c r="AT12" i="9" s="1"/>
  <c r="AU13" i="9" a="1"/>
  <c r="AU13" i="9" s="1"/>
  <c r="AO14" i="9" a="1"/>
  <c r="AO14" i="9" s="1"/>
  <c r="AV14" i="9" a="1"/>
  <c r="AV14" i="9" s="1"/>
  <c r="AP15" i="9" a="1"/>
  <c r="AP15" i="9" s="1"/>
  <c r="AQ16" i="9" a="1"/>
  <c r="AQ16" i="9" s="1"/>
  <c r="AW16" i="9" a="1"/>
  <c r="AW16" i="9" s="1"/>
  <c r="AR17" i="9" a="1"/>
  <c r="AR17" i="9" s="1"/>
  <c r="AX17" i="9" a="1"/>
  <c r="AX17" i="9" s="1"/>
  <c r="AY18" i="9" a="1"/>
  <c r="AY18" i="9" s="1"/>
  <c r="AQ43" i="5" a="1"/>
  <c r="AQ43" i="5" s="1"/>
  <c r="AW43" i="5" a="1"/>
  <c r="AW43" i="5" s="1"/>
  <c r="AT44" i="5" a="1"/>
  <c r="AT44" i="5" s="1"/>
  <c r="AZ44" i="5" a="1"/>
  <c r="AZ44" i="5" s="1"/>
  <c r="AS39" i="5" a="1"/>
  <c r="AS39" i="5" s="1"/>
  <c r="AX39" i="5" a="1"/>
  <c r="AX39" i="5" s="1"/>
  <c r="AQ35" i="5" a="1"/>
  <c r="AQ35" i="5" s="1"/>
  <c r="AW35" i="5" a="1"/>
  <c r="AW35" i="5" s="1"/>
  <c r="AT36" i="5" a="1"/>
  <c r="AT36" i="5" s="1"/>
  <c r="AZ36" i="5" a="1"/>
  <c r="AZ36" i="5" s="1"/>
  <c r="AS28" i="5" a="1"/>
  <c r="AS28" i="5" s="1"/>
  <c r="AY28" i="5" a="1"/>
  <c r="AY28" i="5" s="1"/>
  <c r="AV29" i="5" a="1"/>
  <c r="AV29" i="5" s="1"/>
  <c r="AR30" i="5" a="1"/>
  <c r="AR30" i="5" s="1"/>
  <c r="AU31" i="5" a="1"/>
  <c r="AU31" i="5" s="1"/>
  <c r="AQ21" i="5" a="1"/>
  <c r="AQ21" i="5" s="1"/>
  <c r="AX21" i="5" a="1"/>
  <c r="AX21" i="5" s="1"/>
  <c r="AT22" i="5" a="1"/>
  <c r="AT22" i="5" s="1"/>
  <c r="AW23" i="5" a="1"/>
  <c r="AW23" i="5" s="1"/>
  <c r="AT49" i="9" a="1"/>
  <c r="AT49" i="9" s="1"/>
  <c r="AO51" i="9" a="1"/>
  <c r="AO51" i="9" s="1"/>
  <c r="AV51" i="9" a="1"/>
  <c r="AV51" i="9" s="1"/>
  <c r="AP52" i="9" a="1"/>
  <c r="AP52" i="9" s="1"/>
  <c r="AR42" i="9" a="1"/>
  <c r="AR42" i="9" s="1"/>
  <c r="AX42" i="9" a="1"/>
  <c r="AX42" i="9" s="1"/>
  <c r="AY43" i="9" a="1"/>
  <c r="AY43" i="9" s="1"/>
  <c r="AS44" i="9" a="1"/>
  <c r="AS44" i="9" s="1"/>
  <c r="AZ44" i="9" a="1"/>
  <c r="AZ44" i="9" s="1"/>
  <c r="AT45" i="9" a="1"/>
  <c r="AT45" i="9" s="1"/>
  <c r="AO34" i="9" a="1"/>
  <c r="AO34" i="9" s="1"/>
  <c r="AV34" i="9" a="1"/>
  <c r="AV34" i="9" s="1"/>
  <c r="AP35" i="9" a="1"/>
  <c r="AP35" i="9" s="1"/>
  <c r="AQ36" i="9" a="1"/>
  <c r="AQ36" i="9" s="1"/>
  <c r="AW36" i="9" a="1"/>
  <c r="AW36" i="9" s="1"/>
  <c r="AR37" i="9" a="1"/>
  <c r="AR37" i="9" s="1"/>
  <c r="AX37" i="9" a="1"/>
  <c r="AX37" i="9" s="1"/>
  <c r="AY38" i="9" a="1"/>
  <c r="AY38" i="9" s="1"/>
  <c r="AS39" i="9" a="1"/>
  <c r="AS39" i="9" s="1"/>
  <c r="AZ39" i="9" a="1"/>
  <c r="AZ39" i="9" s="1"/>
  <c r="AT29" i="9" a="1"/>
  <c r="AT29" i="9" s="1"/>
  <c r="AZ29" i="9" a="1"/>
  <c r="AZ29" i="9" s="1"/>
  <c r="AU30" i="9" a="1"/>
  <c r="AU30" i="9" s="1"/>
  <c r="AO31" i="9" a="1"/>
  <c r="AO31" i="9" s="1"/>
  <c r="AP23" i="9" a="1"/>
  <c r="AP23" i="9" s="1"/>
  <c r="AQ24" i="9" a="1"/>
  <c r="AQ24" i="9" s="1"/>
  <c r="AW24" i="9" a="1"/>
  <c r="AW24" i="9" s="1"/>
  <c r="AR25" i="9" a="1"/>
  <c r="AR25" i="9" s="1"/>
  <c r="AX25" i="9" a="1"/>
  <c r="AX25" i="9" s="1"/>
  <c r="AY9" i="9" a="1"/>
  <c r="AY9" i="9" s="1"/>
  <c r="AS10" i="9" a="1"/>
  <c r="AS10" i="9" s="1"/>
  <c r="AZ10" i="9" a="1"/>
  <c r="AZ10" i="9" s="1"/>
  <c r="AT11" i="9" a="1"/>
  <c r="AT11" i="9" s="1"/>
  <c r="AU12" i="9" a="1"/>
  <c r="AU12" i="9" s="1"/>
  <c r="AO13" i="9" a="1"/>
  <c r="AO13" i="9" s="1"/>
  <c r="AV13" i="9" a="1"/>
  <c r="AV13" i="9" s="1"/>
  <c r="AP14" i="9" a="1"/>
  <c r="AP14" i="9" s="1"/>
  <c r="AQ15" i="9" a="1"/>
  <c r="AQ15" i="9" s="1"/>
  <c r="AW15" i="9" a="1"/>
  <c r="AW15" i="9" s="1"/>
  <c r="AR16" i="9" a="1"/>
  <c r="AR16" i="9" s="1"/>
  <c r="AX16" i="9" a="1"/>
  <c r="AX16" i="9" s="1"/>
  <c r="AY17" i="9" a="1"/>
  <c r="AY17" i="9" s="1"/>
  <c r="AS18" i="9" a="1"/>
  <c r="AS18" i="9" s="1"/>
  <c r="AZ18" i="9" a="1"/>
  <c r="AZ18" i="9" s="1"/>
  <c r="AU42" i="5" a="1"/>
  <c r="AU42" i="5" s="1"/>
  <c r="AR43" i="5" a="1"/>
  <c r="AR43" i="5" s="1"/>
  <c r="AX43" i="5" a="1"/>
  <c r="AX43" i="5" s="1"/>
  <c r="AP51" i="9" a="1"/>
  <c r="AP51" i="9" s="1"/>
  <c r="AW52" i="9" a="1"/>
  <c r="AW52" i="9" s="1"/>
  <c r="AY42" i="9" a="1"/>
  <c r="AY42" i="9" s="1"/>
  <c r="AS43" i="9" a="1"/>
  <c r="AS43" i="9" s="1"/>
  <c r="AZ43" i="9" a="1"/>
  <c r="AZ43" i="9" s="1"/>
  <c r="AT44" i="9" a="1"/>
  <c r="AT44" i="9" s="1"/>
  <c r="AU45" i="9" a="1"/>
  <c r="AU45" i="9" s="1"/>
  <c r="AV46" i="9" a="1"/>
  <c r="AV46" i="9" s="1"/>
  <c r="AP34" i="9" a="1"/>
  <c r="AP34" i="9" s="1"/>
  <c r="AQ35" i="9" a="1"/>
  <c r="AQ35" i="9" s="1"/>
  <c r="AW35" i="9" a="1"/>
  <c r="AW35" i="9" s="1"/>
  <c r="AR36" i="9" a="1"/>
  <c r="AR36" i="9" s="1"/>
  <c r="AX36" i="9" a="1"/>
  <c r="AX36" i="9" s="1"/>
  <c r="AY37" i="9" a="1"/>
  <c r="AY37" i="9" s="1"/>
  <c r="AS38" i="9" a="1"/>
  <c r="AS38" i="9" s="1"/>
  <c r="AZ38" i="9" a="1"/>
  <c r="AZ38" i="9" s="1"/>
  <c r="AT39" i="9" a="1"/>
  <c r="AT39" i="9" s="1"/>
  <c r="AU29" i="9" a="1"/>
  <c r="AU29" i="9" s="1"/>
  <c r="AO30" i="9" a="1"/>
  <c r="AO30" i="9" s="1"/>
  <c r="AP31" i="9" a="1"/>
  <c r="AP31" i="9" s="1"/>
  <c r="AV31" i="9" a="1"/>
  <c r="AV31" i="9" s="1"/>
  <c r="AQ23" i="9" a="1"/>
  <c r="AQ23" i="9" s="1"/>
  <c r="AW23" i="9" a="1"/>
  <c r="AW23" i="9" s="1"/>
  <c r="AR24" i="9" a="1"/>
  <c r="AR24" i="9" s="1"/>
  <c r="AX24" i="9" a="1"/>
  <c r="AX24" i="9" s="1"/>
  <c r="AY25" i="9" a="1"/>
  <c r="AY25" i="9" s="1"/>
  <c r="AS9" i="9" a="1"/>
  <c r="AS9" i="9" s="1"/>
  <c r="AZ9" i="9" a="1"/>
  <c r="AZ9" i="9" s="1"/>
  <c r="AT10" i="9" a="1"/>
  <c r="AT10" i="9" s="1"/>
  <c r="AU11" i="9" a="1"/>
  <c r="AU11" i="9" s="1"/>
  <c r="AO12" i="9" a="1"/>
  <c r="AO12" i="9" s="1"/>
  <c r="AV12" i="9" a="1"/>
  <c r="AV12" i="9" s="1"/>
  <c r="AP13" i="9" a="1"/>
  <c r="AP13" i="9" s="1"/>
  <c r="AQ14" i="9" a="1"/>
  <c r="AQ14" i="9" s="1"/>
  <c r="AW14" i="9" a="1"/>
  <c r="AW14" i="9" s="1"/>
  <c r="AR15" i="9" a="1"/>
  <c r="AR15" i="9" s="1"/>
  <c r="AX15" i="9" a="1"/>
  <c r="AX15" i="9" s="1"/>
  <c r="AY16" i="9" a="1"/>
  <c r="AY16" i="9" s="1"/>
  <c r="AS17" i="9" a="1"/>
  <c r="AS17" i="9" s="1"/>
  <c r="AZ17" i="9" a="1"/>
  <c r="AZ17" i="9" s="1"/>
  <c r="AT18" i="9" a="1"/>
  <c r="AT18" i="9" s="1"/>
  <c r="AV42" i="5" a="1"/>
  <c r="AV42" i="5" s="1"/>
  <c r="AY43" i="5" a="1"/>
  <c r="AY43" i="5" s="1"/>
  <c r="AU44" i="5" a="1"/>
  <c r="AU44" i="5" s="1"/>
  <c r="AR45" i="5" a="1"/>
  <c r="AR45" i="5" s="1"/>
  <c r="AX45" i="5" a="1"/>
  <c r="AX45" i="5" s="1"/>
  <c r="AT39" i="5" a="1"/>
  <c r="AT39" i="5" s="1"/>
  <c r="AY39" i="5" a="1"/>
  <c r="AY39" i="5" s="1"/>
  <c r="AV34" i="5" a="1"/>
  <c r="AV34" i="5" s="1"/>
  <c r="AY35" i="5" a="1"/>
  <c r="AY35" i="5" s="1"/>
  <c r="AU36" i="5" a="1"/>
  <c r="AU36" i="5" s="1"/>
  <c r="AR37" i="5" a="1"/>
  <c r="AR37" i="5" s="1"/>
  <c r="AX37" i="5" a="1"/>
  <c r="AX37" i="5" s="1"/>
  <c r="AQ29" i="5" a="1"/>
  <c r="AQ29" i="5" s="1"/>
  <c r="AW29" i="5" a="1"/>
  <c r="AW29" i="5" s="1"/>
  <c r="AT30" i="5" a="1"/>
  <c r="AT30" i="5" s="1"/>
  <c r="AZ30" i="5" a="1"/>
  <c r="AZ30" i="5" s="1"/>
  <c r="AS21" i="5" a="1"/>
  <c r="AS21" i="5" s="1"/>
  <c r="AS34" i="5" a="1"/>
  <c r="AS34" i="5" s="1"/>
  <c r="AU37" i="5" a="1"/>
  <c r="AU37" i="5" s="1"/>
  <c r="AX28" i="5" a="1"/>
  <c r="AX28" i="5" s="1"/>
  <c r="AS31" i="5" a="1"/>
  <c r="AS31" i="5" s="1"/>
  <c r="AU21" i="5" a="1"/>
  <c r="AU21" i="5" s="1"/>
  <c r="AZ22" i="5" a="1"/>
  <c r="AZ22" i="5" s="1"/>
  <c r="AX23" i="5" a="1"/>
  <c r="AX23" i="5" s="1"/>
  <c r="AT24" i="5" a="1"/>
  <c r="AT24" i="5" s="1"/>
  <c r="AW25" i="5" a="1"/>
  <c r="AW25" i="5" s="1"/>
  <c r="AS16" i="5" a="1"/>
  <c r="AS16" i="5" s="1"/>
  <c r="AT17" i="5" a="1"/>
  <c r="AT17" i="5" s="1"/>
  <c r="AY17" i="5" a="1"/>
  <c r="AY17" i="5" s="1"/>
  <c r="AZ18" i="5" a="1"/>
  <c r="AZ18" i="5" s="1"/>
  <c r="AU9" i="5" a="1"/>
  <c r="AU9" i="5" s="1"/>
  <c r="AZ9" i="5" a="1"/>
  <c r="AZ9" i="5" s="1"/>
  <c r="AV10" i="5" a="1"/>
  <c r="AV10" i="5" s="1"/>
  <c r="AR11" i="5" a="1"/>
  <c r="AR11" i="5" s="1"/>
  <c r="AU12" i="5" a="1"/>
  <c r="AU12" i="5" s="1"/>
  <c r="AQ13" i="5" a="1"/>
  <c r="AQ13" i="5" s="1"/>
  <c r="AX13" i="5" a="1"/>
  <c r="AX13" i="5" s="1"/>
  <c r="AT14" i="5" a="1"/>
  <c r="AT14" i="5" s="1"/>
  <c r="AY42" i="7" a="1"/>
  <c r="AY42" i="7" s="1"/>
  <c r="AX43" i="7" a="1"/>
  <c r="AX43" i="7" s="1"/>
  <c r="AU25" i="7" a="1"/>
  <c r="AU25" i="7" s="1"/>
  <c r="AR26" i="7" a="1"/>
  <c r="AR26" i="7" s="1"/>
  <c r="AX26" i="7" a="1"/>
  <c r="AX26" i="7" s="1"/>
  <c r="AQ28" i="7" a="1"/>
  <c r="AQ28" i="7" s="1"/>
  <c r="AW28" i="7" a="1"/>
  <c r="AW28" i="7" s="1"/>
  <c r="AT29" i="7" a="1"/>
  <c r="AT29" i="7" s="1"/>
  <c r="AZ29" i="7" a="1"/>
  <c r="AZ29" i="7" s="1"/>
  <c r="AS31" i="7" a="1"/>
  <c r="AS31" i="7" s="1"/>
  <c r="AY31" i="7" a="1"/>
  <c r="AY31" i="7" s="1"/>
  <c r="AV32" i="7" a="1"/>
  <c r="AV32" i="7" s="1"/>
  <c r="AR33" i="7" a="1"/>
  <c r="AR33" i="7" s="1"/>
  <c r="AU34" i="7" a="1"/>
  <c r="AU34" i="7" s="1"/>
  <c r="AQ35" i="7" a="1"/>
  <c r="AQ35" i="7" s="1"/>
  <c r="AY35" i="7" a="1"/>
  <c r="AY35" i="7" s="1"/>
  <c r="AW36" i="7" a="1"/>
  <c r="AW36" i="7" s="1"/>
  <c r="AU37" i="7" a="1"/>
  <c r="AU37" i="7" s="1"/>
  <c r="AS38" i="7" a="1"/>
  <c r="AS38" i="7" s="1"/>
  <c r="AQ39" i="7" a="1"/>
  <c r="AQ39" i="7" s="1"/>
  <c r="AY39" i="7" a="1"/>
  <c r="AY39" i="7" s="1"/>
  <c r="AP46" i="19" a="1"/>
  <c r="AP46" i="19" s="1"/>
  <c r="AQ47" i="19" a="1"/>
  <c r="AQ47" i="19" s="1"/>
  <c r="AW47" i="19" a="1"/>
  <c r="AW47" i="19" s="1"/>
  <c r="AR48" i="19" a="1"/>
  <c r="AR48" i="19" s="1"/>
  <c r="AX48" i="19" a="1"/>
  <c r="AX48" i="19" s="1"/>
  <c r="AY40" i="19" a="1"/>
  <c r="AY40" i="19" s="1"/>
  <c r="AS41" i="19" a="1"/>
  <c r="AS41" i="19" s="1"/>
  <c r="AZ41" i="19" a="1"/>
  <c r="AZ41" i="19" s="1"/>
  <c r="AT42" i="19" a="1"/>
  <c r="AT42" i="19" s="1"/>
  <c r="AU43" i="19" a="1"/>
  <c r="AU43" i="19" s="1"/>
  <c r="AP35" i="19" a="1"/>
  <c r="AP35" i="19" s="1"/>
  <c r="AV35" i="19" a="1"/>
  <c r="AV35" i="19" s="1"/>
  <c r="AQ36" i="19" a="1"/>
  <c r="AQ36" i="19" s="1"/>
  <c r="AW36" i="19" a="1"/>
  <c r="AW36" i="19" s="1"/>
  <c r="AX37" i="19" a="1"/>
  <c r="AX37" i="19" s="1"/>
  <c r="AR29" i="19" a="1"/>
  <c r="AR29" i="19" s="1"/>
  <c r="AY29" i="19" a="1"/>
  <c r="AY29" i="19" s="1"/>
  <c r="AS30" i="19" a="1"/>
  <c r="AS30" i="19" s="1"/>
  <c r="AT31" i="19" a="1"/>
  <c r="AT31" i="19" s="1"/>
  <c r="AU34" i="5" a="1"/>
  <c r="AU34" i="5" s="1"/>
  <c r="AR36" i="5" a="1"/>
  <c r="AR36" i="5" s="1"/>
  <c r="AV37" i="5" a="1"/>
  <c r="AV37" i="5" s="1"/>
  <c r="AQ30" i="5" a="1"/>
  <c r="AQ30" i="5" s="1"/>
  <c r="AT31" i="5" a="1"/>
  <c r="AT31" i="5" s="1"/>
  <c r="AV21" i="5" a="1"/>
  <c r="AV21" i="5" s="1"/>
  <c r="AS22" i="5" a="1"/>
  <c r="AS22" i="5" s="1"/>
  <c r="AQ23" i="5" a="1"/>
  <c r="AQ23" i="5" s="1"/>
  <c r="AU24" i="5" a="1"/>
  <c r="AU24" i="5" s="1"/>
  <c r="AQ25" i="5" a="1"/>
  <c r="AQ25" i="5" s="1"/>
  <c r="AX25" i="5" a="1"/>
  <c r="AX25" i="5" s="1"/>
  <c r="AT16" i="5" a="1"/>
  <c r="AT16" i="5" s="1"/>
  <c r="AY16" i="5" a="1"/>
  <c r="AY16" i="5" s="1"/>
  <c r="AZ17" i="5" a="1"/>
  <c r="AZ17" i="5" s="1"/>
  <c r="AU18" i="5" a="1"/>
  <c r="AU18" i="5" s="1"/>
  <c r="AQ10" i="5" a="1"/>
  <c r="AQ10" i="5" s="1"/>
  <c r="AS11" i="5" a="1"/>
  <c r="AS11" i="5" s="1"/>
  <c r="AY11" i="5" a="1"/>
  <c r="AY11" i="5" s="1"/>
  <c r="AV12" i="5" a="1"/>
  <c r="AV12" i="5" s="1"/>
  <c r="AR13" i="5" a="1"/>
  <c r="AR13" i="5" s="1"/>
  <c r="AU14" i="5" a="1"/>
  <c r="AU14" i="5" s="1"/>
  <c r="AU42" i="7" a="1"/>
  <c r="AU42" i="7" s="1"/>
  <c r="AT43" i="7" a="1"/>
  <c r="AT43" i="7" s="1"/>
  <c r="AY43" i="7" a="1"/>
  <c r="AY43" i="7" s="1"/>
  <c r="AT44" i="7" a="1"/>
  <c r="AT44" i="7" s="1"/>
  <c r="AY44" i="7" a="1"/>
  <c r="AY44" i="7" s="1"/>
  <c r="AV25" i="7" a="1"/>
  <c r="AV25" i="7" s="1"/>
  <c r="AY26" i="7" a="1"/>
  <c r="AY26" i="7" s="1"/>
  <c r="AU27" i="7" a="1"/>
  <c r="AU27" i="7" s="1"/>
  <c r="AR28" i="7" a="1"/>
  <c r="AR28" i="7" s="1"/>
  <c r="AX28" i="7" a="1"/>
  <c r="AX28" i="7" s="1"/>
  <c r="AQ30" i="7" a="1"/>
  <c r="AQ30" i="7" s="1"/>
  <c r="AW30" i="7" a="1"/>
  <c r="AW30" i="7" s="1"/>
  <c r="AT31" i="7" a="1"/>
  <c r="AT31" i="7" s="1"/>
  <c r="AZ31" i="7" a="1"/>
  <c r="AZ31" i="7" s="1"/>
  <c r="AS33" i="7" a="1"/>
  <c r="AS33" i="7" s="1"/>
  <c r="AY33" i="7" a="1"/>
  <c r="AY33" i="7" s="1"/>
  <c r="AV34" i="7" a="1"/>
  <c r="AV34" i="7" s="1"/>
  <c r="AR35" i="7" a="1"/>
  <c r="AR35" i="7" s="1"/>
  <c r="AZ35" i="7" a="1"/>
  <c r="AZ35" i="7" s="1"/>
  <c r="AX36" i="7" a="1"/>
  <c r="AX36" i="7" s="1"/>
  <c r="AV37" i="7" a="1"/>
  <c r="AV37" i="7" s="1"/>
  <c r="AT38" i="7" a="1"/>
  <c r="AT38" i="7" s="1"/>
  <c r="AR39" i="7" a="1"/>
  <c r="AR39" i="7" s="1"/>
  <c r="AZ39" i="7" a="1"/>
  <c r="AZ39" i="7" s="1"/>
  <c r="AQ46" i="19" a="1"/>
  <c r="AQ46" i="19" s="1"/>
  <c r="AW46" i="19" a="1"/>
  <c r="AW46" i="19" s="1"/>
  <c r="AR47" i="19" a="1"/>
  <c r="AR47" i="19" s="1"/>
  <c r="AX47" i="19" a="1"/>
  <c r="AX47" i="19" s="1"/>
  <c r="AY48" i="19" a="1"/>
  <c r="AY48" i="19" s="1"/>
  <c r="AS40" i="19" a="1"/>
  <c r="AS40" i="19" s="1"/>
  <c r="AZ40" i="19" a="1"/>
  <c r="AZ40" i="19" s="1"/>
  <c r="AT41" i="19" a="1"/>
  <c r="AT41" i="19" s="1"/>
  <c r="AU42" i="19" a="1"/>
  <c r="AU42" i="19" s="1"/>
  <c r="AO43" i="19" a="1"/>
  <c r="AO43" i="19" s="1"/>
  <c r="AV43" i="19" a="1"/>
  <c r="AV43" i="19" s="1"/>
  <c r="AQ45" i="5" a="1"/>
  <c r="AQ45" i="5" s="1"/>
  <c r="AX34" i="5" a="1"/>
  <c r="AX34" i="5" s="1"/>
  <c r="AW37" i="5" a="1"/>
  <c r="AW37" i="5" s="1"/>
  <c r="AZ28" i="5" a="1"/>
  <c r="AZ28" i="5" s="1"/>
  <c r="AS30" i="5" a="1"/>
  <c r="AS30" i="5" s="1"/>
  <c r="AV31" i="5" a="1"/>
  <c r="AV31" i="5" s="1"/>
  <c r="AW21" i="5" a="1"/>
  <c r="AW21" i="5" s="1"/>
  <c r="AU22" i="5" a="1"/>
  <c r="AU22" i="5" s="1"/>
  <c r="AR23" i="5" a="1"/>
  <c r="AR23" i="5" s="1"/>
  <c r="AY23" i="5" a="1"/>
  <c r="AY23" i="5" s="1"/>
  <c r="AV24" i="5" a="1"/>
  <c r="AV24" i="5" s="1"/>
  <c r="AR25" i="5" a="1"/>
  <c r="AR25" i="5" s="1"/>
  <c r="AZ16" i="5" a="1"/>
  <c r="AZ16" i="5" s="1"/>
  <c r="AU17" i="5" a="1"/>
  <c r="AU17" i="5" s="1"/>
  <c r="AV18" i="5" a="1"/>
  <c r="AV18" i="5" s="1"/>
  <c r="AQ9" i="5" a="1"/>
  <c r="AQ9" i="5" s="1"/>
  <c r="AV9" i="5" a="1"/>
  <c r="AV9" i="5" s="1"/>
  <c r="AR10" i="5" a="1"/>
  <c r="AR10" i="5" s="1"/>
  <c r="AW10" i="5" a="1"/>
  <c r="AW10" i="5" s="1"/>
  <c r="AT11" i="5" a="1"/>
  <c r="AT11" i="5" s="1"/>
  <c r="AZ11" i="5" a="1"/>
  <c r="AZ11" i="5" s="1"/>
  <c r="AS13" i="5" a="1"/>
  <c r="AS13" i="5" s="1"/>
  <c r="AY13" i="5" a="1"/>
  <c r="AY13" i="5" s="1"/>
  <c r="AV14" i="5" a="1"/>
  <c r="AV14" i="5" s="1"/>
  <c r="AQ42" i="7" a="1"/>
  <c r="AQ42" i="7" s="1"/>
  <c r="AZ42" i="7" a="1"/>
  <c r="AZ42" i="7" s="1"/>
  <c r="AU43" i="7" a="1"/>
  <c r="AU43" i="7" s="1"/>
  <c r="AZ44" i="7" a="1"/>
  <c r="AZ44" i="7" s="1"/>
  <c r="AW25" i="7" a="1"/>
  <c r="AW25" i="7" s="1"/>
  <c r="AS26" i="7" a="1"/>
  <c r="AS26" i="7" s="1"/>
  <c r="AZ26" i="7" a="1"/>
  <c r="AZ26" i="7" s="1"/>
  <c r="AV27" i="7" a="1"/>
  <c r="AV27" i="7" s="1"/>
  <c r="AY28" i="7" a="1"/>
  <c r="AY28" i="7" s="1"/>
  <c r="AU29" i="7" a="1"/>
  <c r="AU29" i="7" s="1"/>
  <c r="AR30" i="7" a="1"/>
  <c r="AR30" i="7" s="1"/>
  <c r="AX30" i="7" a="1"/>
  <c r="AX30" i="7" s="1"/>
  <c r="AQ32" i="7" a="1"/>
  <c r="AQ32" i="7" s="1"/>
  <c r="AW32" i="7" a="1"/>
  <c r="AW32" i="7" s="1"/>
  <c r="AT33" i="7" a="1"/>
  <c r="AT33" i="7" s="1"/>
  <c r="AZ33" i="7" a="1"/>
  <c r="AZ33" i="7" s="1"/>
  <c r="AS35" i="7" a="1"/>
  <c r="AS35" i="7" s="1"/>
  <c r="AQ36" i="7" a="1"/>
  <c r="AQ36" i="7" s="1"/>
  <c r="AY36" i="7" a="1"/>
  <c r="AY36" i="7" s="1"/>
  <c r="AW37" i="7" a="1"/>
  <c r="AW37" i="7" s="1"/>
  <c r="AU38" i="7" a="1"/>
  <c r="AU38" i="7" s="1"/>
  <c r="AS39" i="7" a="1"/>
  <c r="AS39" i="7" s="1"/>
  <c r="AR46" i="19" a="1"/>
  <c r="AR46" i="19" s="1"/>
  <c r="AX46" i="19" a="1"/>
  <c r="AX46" i="19" s="1"/>
  <c r="AY47" i="19" a="1"/>
  <c r="AY47" i="19" s="1"/>
  <c r="AS48" i="19" a="1"/>
  <c r="AS48" i="19" s="1"/>
  <c r="AZ48" i="19" a="1"/>
  <c r="AZ48" i="19" s="1"/>
  <c r="AW45" i="5" a="1"/>
  <c r="AW45" i="5" s="1"/>
  <c r="AY34" i="5" a="1"/>
  <c r="AY34" i="5" s="1"/>
  <c r="AW36" i="5" a="1"/>
  <c r="AW36" i="5" s="1"/>
  <c r="AZ37" i="5" a="1"/>
  <c r="AZ37" i="5" s="1"/>
  <c r="AU30" i="5" a="1"/>
  <c r="AU30" i="5" s="1"/>
  <c r="AX31" i="5" a="1"/>
  <c r="AX31" i="5" s="1"/>
  <c r="AV22" i="5" a="1"/>
  <c r="AV22" i="5" s="1"/>
  <c r="AS23" i="5" a="1"/>
  <c r="AS23" i="5" s="1"/>
  <c r="AZ23" i="5" a="1"/>
  <c r="AZ23" i="5" s="1"/>
  <c r="AS25" i="5" a="1"/>
  <c r="AS25" i="5" s="1"/>
  <c r="AY25" i="5" a="1"/>
  <c r="AY25" i="5" s="1"/>
  <c r="AU16" i="5" a="1"/>
  <c r="AU16" i="5" s="1"/>
  <c r="AV17" i="5" a="1"/>
  <c r="AV17" i="5" s="1"/>
  <c r="AQ18" i="5" a="1"/>
  <c r="AQ18" i="5" s="1"/>
  <c r="AW9" i="5" a="1"/>
  <c r="AW9" i="5" s="1"/>
  <c r="AX10" i="5" a="1"/>
  <c r="AX10" i="5" s="1"/>
  <c r="AQ12" i="5" a="1"/>
  <c r="AQ12" i="5" s="1"/>
  <c r="AW12" i="5" a="1"/>
  <c r="AW12" i="5" s="1"/>
  <c r="AT13" i="5" a="1"/>
  <c r="AT13" i="5" s="1"/>
  <c r="AZ13" i="5" a="1"/>
  <c r="AZ13" i="5" s="1"/>
  <c r="AV42" i="7" a="1"/>
  <c r="AV42" i="7" s="1"/>
  <c r="AQ43" i="7" a="1"/>
  <c r="AQ43" i="7" s="1"/>
  <c r="AZ43" i="7" a="1"/>
  <c r="AZ43" i="7" s="1"/>
  <c r="AU44" i="7" a="1"/>
  <c r="AU44" i="7" s="1"/>
  <c r="AQ25" i="7" a="1"/>
  <c r="AQ25" i="7" s="1"/>
  <c r="AX25" i="7" a="1"/>
  <c r="AX25" i="7" s="1"/>
  <c r="AT26" i="7" a="1"/>
  <c r="AT26" i="7" s="1"/>
  <c r="AW27" i="7" a="1"/>
  <c r="AW27" i="7" s="1"/>
  <c r="AS28" i="7" a="1"/>
  <c r="AS28" i="7" s="1"/>
  <c r="AZ28" i="7" a="1"/>
  <c r="AZ28" i="7" s="1"/>
  <c r="AV29" i="7" a="1"/>
  <c r="AV29" i="7" s="1"/>
  <c r="AY30" i="7" a="1"/>
  <c r="AY30" i="7" s="1"/>
  <c r="AU31" i="7" a="1"/>
  <c r="AU31" i="7" s="1"/>
  <c r="AR32" i="7" a="1"/>
  <c r="AR32" i="7" s="1"/>
  <c r="AX32" i="7" a="1"/>
  <c r="AX32" i="7" s="1"/>
  <c r="AQ34" i="7" a="1"/>
  <c r="AQ34" i="7" s="1"/>
  <c r="AW34" i="7" a="1"/>
  <c r="AW34" i="7" s="1"/>
  <c r="AT35" i="7" a="1"/>
  <c r="AT35" i="7" s="1"/>
  <c r="AR36" i="7" a="1"/>
  <c r="AR36" i="7" s="1"/>
  <c r="AZ36" i="7" a="1"/>
  <c r="AZ36" i="7" s="1"/>
  <c r="AX37" i="7" a="1"/>
  <c r="AX37" i="7" s="1"/>
  <c r="AV38" i="7" a="1"/>
  <c r="AV38" i="7" s="1"/>
  <c r="AT39" i="7" a="1"/>
  <c r="AT39" i="7" s="1"/>
  <c r="AY46" i="19" a="1"/>
  <c r="AY46" i="19" s="1"/>
  <c r="AS47" i="19" a="1"/>
  <c r="AS47" i="19" s="1"/>
  <c r="AZ47" i="19" a="1"/>
  <c r="AZ47" i="19" s="1"/>
  <c r="AT48" i="19" a="1"/>
  <c r="AT48" i="19" s="1"/>
  <c r="AU40" i="19" a="1"/>
  <c r="AU40" i="19" s="1"/>
  <c r="AO41" i="19" a="1"/>
  <c r="AO41" i="19" s="1"/>
  <c r="AV41" i="19" a="1"/>
  <c r="AV41" i="19" s="1"/>
  <c r="AP42" i="19" a="1"/>
  <c r="AP42" i="19" s="1"/>
  <c r="AQ43" i="19" a="1"/>
  <c r="AQ43" i="19" s="1"/>
  <c r="AX43" i="19" a="1"/>
  <c r="AX43" i="19" s="1"/>
  <c r="AR35" i="19" a="1"/>
  <c r="AR35" i="19" s="1"/>
  <c r="AY35" i="19" a="1"/>
  <c r="AY35" i="19" s="1"/>
  <c r="AS36" i="19" a="1"/>
  <c r="AS36" i="19" s="1"/>
  <c r="AQ39" i="5" a="1"/>
  <c r="AQ39" i="5" s="1"/>
  <c r="AR35" i="5" a="1"/>
  <c r="AR35" i="5" s="1"/>
  <c r="AQ28" i="5" a="1"/>
  <c r="AQ28" i="5" s="1"/>
  <c r="AT29" i="5" a="1"/>
  <c r="AT29" i="5" s="1"/>
  <c r="AW30" i="5" a="1"/>
  <c r="AW30" i="5" s="1"/>
  <c r="AZ31" i="5" a="1"/>
  <c r="AZ31" i="5" s="1"/>
  <c r="AY21" i="5" a="1"/>
  <c r="AY21" i="5" s="1"/>
  <c r="AT23" i="5" a="1"/>
  <c r="AT23" i="5" s="1"/>
  <c r="AQ24" i="5" a="1"/>
  <c r="AQ24" i="5" s="1"/>
  <c r="AW24" i="5" a="1"/>
  <c r="AW24" i="5" s="1"/>
  <c r="AT25" i="5" a="1"/>
  <c r="AT25" i="5" s="1"/>
  <c r="AZ25" i="5" a="1"/>
  <c r="AZ25" i="5" s="1"/>
  <c r="AV16" i="5" a="1"/>
  <c r="AV16" i="5" s="1"/>
  <c r="AQ17" i="5" a="1"/>
  <c r="AQ17" i="5" s="1"/>
  <c r="AR18" i="5" a="1"/>
  <c r="AR18" i="5" s="1"/>
  <c r="AW18" i="5" a="1"/>
  <c r="AW18" i="5" s="1"/>
  <c r="AR9" i="5" a="1"/>
  <c r="AR9" i="5" s="1"/>
  <c r="AX9" i="5" a="1"/>
  <c r="AX9" i="5" s="1"/>
  <c r="AS10" i="5" a="1"/>
  <c r="AS10" i="5" s="1"/>
  <c r="AY10" i="5" a="1"/>
  <c r="AY10" i="5" s="1"/>
  <c r="AU11" i="5" a="1"/>
  <c r="AU11" i="5" s="1"/>
  <c r="AR12" i="5" a="1"/>
  <c r="AR12" i="5" s="1"/>
  <c r="AX12" i="5" a="1"/>
  <c r="AX12" i="5" s="1"/>
  <c r="AQ14" i="5" a="1"/>
  <c r="AQ14" i="5" s="1"/>
  <c r="AW14" i="5" a="1"/>
  <c r="AW14" i="5" s="1"/>
  <c r="AR42" i="7" a="1"/>
  <c r="AR42" i="7" s="1"/>
  <c r="AW42" i="7" a="1"/>
  <c r="AW42" i="7" s="1"/>
  <c r="AV43" i="7" a="1"/>
  <c r="AV43" i="7" s="1"/>
  <c r="AV44" i="7" a="1"/>
  <c r="AV44" i="7" s="1"/>
  <c r="AR25" i="7" a="1"/>
  <c r="AR25" i="7" s="1"/>
  <c r="AU26" i="7" a="1"/>
  <c r="AU26" i="7" s="1"/>
  <c r="AQ27" i="7" a="1"/>
  <c r="AQ27" i="7" s="1"/>
  <c r="AX27" i="7" a="1"/>
  <c r="AX27" i="7" s="1"/>
  <c r="AT28" i="7" a="1"/>
  <c r="AT28" i="7" s="1"/>
  <c r="AW29" i="7" a="1"/>
  <c r="AW29" i="7" s="1"/>
  <c r="AS30" i="7" a="1"/>
  <c r="AS30" i="7" s="1"/>
  <c r="AZ30" i="7" a="1"/>
  <c r="AZ30" i="7" s="1"/>
  <c r="AV31" i="7" a="1"/>
  <c r="AV31" i="7" s="1"/>
  <c r="AY32" i="7" a="1"/>
  <c r="AY32" i="7" s="1"/>
  <c r="AU33" i="7" a="1"/>
  <c r="AU33" i="7" s="1"/>
  <c r="AR34" i="7" a="1"/>
  <c r="AR34" i="7" s="1"/>
  <c r="AX34" i="7" a="1"/>
  <c r="AX34" i="7" s="1"/>
  <c r="AU35" i="7" a="1"/>
  <c r="AU35" i="7" s="1"/>
  <c r="AS36" i="7" a="1"/>
  <c r="AS36" i="7" s="1"/>
  <c r="AQ37" i="7" a="1"/>
  <c r="AQ37" i="7" s="1"/>
  <c r="AY37" i="7" a="1"/>
  <c r="AY37" i="7" s="1"/>
  <c r="AW38" i="7" a="1"/>
  <c r="AW38" i="7" s="1"/>
  <c r="AU39" i="7" a="1"/>
  <c r="AU39" i="7" s="1"/>
  <c r="AS46" i="19" a="1"/>
  <c r="AS46" i="19" s="1"/>
  <c r="AZ46" i="19" a="1"/>
  <c r="AZ46" i="19" s="1"/>
  <c r="AT47" i="19" a="1"/>
  <c r="AT47" i="19" s="1"/>
  <c r="AU48" i="19" a="1"/>
  <c r="AU48" i="19" s="1"/>
  <c r="AO40" i="19" a="1"/>
  <c r="AO40" i="19" s="1"/>
  <c r="AV40" i="19" a="1"/>
  <c r="AV40" i="19" s="1"/>
  <c r="AP41" i="19" a="1"/>
  <c r="AP41" i="19" s="1"/>
  <c r="AQ42" i="19" a="1"/>
  <c r="AQ42" i="19" s="1"/>
  <c r="AW42" i="19" a="1"/>
  <c r="AW42" i="19" s="1"/>
  <c r="AR43" i="19" a="1"/>
  <c r="AR43" i="19" s="1"/>
  <c r="AY43" i="19" a="1"/>
  <c r="AY43" i="19" s="1"/>
  <c r="AS35" i="19" a="1"/>
  <c r="AS35" i="19" s="1"/>
  <c r="AT36" i="19" a="1"/>
  <c r="AT36" i="19" s="1"/>
  <c r="AZ36" i="19" a="1"/>
  <c r="AZ36" i="19" s="1"/>
  <c r="AU37" i="19" a="1"/>
  <c r="AU37" i="19" s="1"/>
  <c r="AO29" i="19" a="1"/>
  <c r="AO29" i="19" s="1"/>
  <c r="AP30" i="19" a="1"/>
  <c r="AP30" i="19" s="1"/>
  <c r="AV30" i="19" a="1"/>
  <c r="AV30" i="19" s="1"/>
  <c r="AQ31" i="19" a="1"/>
  <c r="AQ31" i="19" s="1"/>
  <c r="AT35" i="5" a="1"/>
  <c r="AT35" i="5" s="1"/>
  <c r="AY36" i="5" a="1"/>
  <c r="AY36" i="5" s="1"/>
  <c r="AR28" i="5" a="1"/>
  <c r="AR28" i="5" s="1"/>
  <c r="AU29" i="5" a="1"/>
  <c r="AU29" i="5" s="1"/>
  <c r="AX30" i="5" a="1"/>
  <c r="AX30" i="5" s="1"/>
  <c r="AZ21" i="5" a="1"/>
  <c r="AZ21" i="5" s="1"/>
  <c r="AW22" i="5" a="1"/>
  <c r="AW22" i="5" s="1"/>
  <c r="AR24" i="5" a="1"/>
  <c r="AR24" i="5" s="1"/>
  <c r="AX24" i="5" a="1"/>
  <c r="AX24" i="5" s="1"/>
  <c r="AQ16" i="5" a="1"/>
  <c r="AQ16" i="5" s="1"/>
  <c r="AR17" i="5" a="1"/>
  <c r="AR17" i="5" s="1"/>
  <c r="AW17" i="5" a="1"/>
  <c r="AW17" i="5" s="1"/>
  <c r="AX18" i="5" a="1"/>
  <c r="AX18" i="5" s="1"/>
  <c r="AS9" i="5" a="1"/>
  <c r="AS9" i="5" s="1"/>
  <c r="AZ10" i="5" a="1"/>
  <c r="AZ10" i="5" s="1"/>
  <c r="AV11" i="5" a="1"/>
  <c r="AV11" i="5" s="1"/>
  <c r="AY12" i="5" a="1"/>
  <c r="AY12" i="5" s="1"/>
  <c r="AU13" i="5" a="1"/>
  <c r="AU13" i="5" s="1"/>
  <c r="AR14" i="5" a="1"/>
  <c r="AR14" i="5" s="1"/>
  <c r="AX14" i="5" a="1"/>
  <c r="AX14" i="5" s="1"/>
  <c r="AS42" i="7" a="1"/>
  <c r="AS42" i="7" s="1"/>
  <c r="AR43" i="7" a="1"/>
  <c r="AR43" i="7" s="1"/>
  <c r="AQ44" i="7" a="1"/>
  <c r="AQ44" i="7" s="1"/>
  <c r="AW44" i="7" a="1"/>
  <c r="AW44" i="7" s="1"/>
  <c r="AS25" i="7" a="1"/>
  <c r="AS25" i="7" s="1"/>
  <c r="AY25" i="7" a="1"/>
  <c r="AY25" i="7" s="1"/>
  <c r="AV26" i="7" a="1"/>
  <c r="AV26" i="7" s="1"/>
  <c r="AR27" i="7" a="1"/>
  <c r="AR27" i="7" s="1"/>
  <c r="AU28" i="7" a="1"/>
  <c r="AU28" i="7" s="1"/>
  <c r="AQ29" i="7" a="1"/>
  <c r="AQ29" i="7" s="1"/>
  <c r="AX29" i="7" a="1"/>
  <c r="AX29" i="7" s="1"/>
  <c r="AT30" i="7" a="1"/>
  <c r="AT30" i="7" s="1"/>
  <c r="AW31" i="7" a="1"/>
  <c r="AW31" i="7" s="1"/>
  <c r="AS32" i="7" a="1"/>
  <c r="AS32" i="7" s="1"/>
  <c r="AZ32" i="7" a="1"/>
  <c r="AZ32" i="7" s="1"/>
  <c r="AV33" i="7" a="1"/>
  <c r="AV33" i="7" s="1"/>
  <c r="AY34" i="7" a="1"/>
  <c r="AY34" i="7" s="1"/>
  <c r="AV35" i="7" a="1"/>
  <c r="AV35" i="7" s="1"/>
  <c r="AT36" i="7" a="1"/>
  <c r="AT36" i="7" s="1"/>
  <c r="AR37" i="7" a="1"/>
  <c r="AR37" i="7" s="1"/>
  <c r="AZ37" i="7" a="1"/>
  <c r="AZ37" i="7" s="1"/>
  <c r="AX38" i="7" a="1"/>
  <c r="AX38" i="7" s="1"/>
  <c r="AV39" i="7" a="1"/>
  <c r="AV39" i="7" s="1"/>
  <c r="AT46" i="19" a="1"/>
  <c r="AT46" i="19" s="1"/>
  <c r="AU47" i="19" a="1"/>
  <c r="AU47" i="19" s="1"/>
  <c r="AV48" i="19" a="1"/>
  <c r="AV48" i="19" s="1"/>
  <c r="AP40" i="19" a="1"/>
  <c r="AP40" i="19" s="1"/>
  <c r="AQ41" i="19" a="1"/>
  <c r="AQ41" i="19" s="1"/>
  <c r="AW41" i="19" a="1"/>
  <c r="AW41" i="19" s="1"/>
  <c r="AR42" i="19" a="1"/>
  <c r="AR42" i="19" s="1"/>
  <c r="AX42" i="19" a="1"/>
  <c r="AX42" i="19" s="1"/>
  <c r="AZ43" i="19" a="1"/>
  <c r="AZ43" i="19" s="1"/>
  <c r="AT35" i="19" a="1"/>
  <c r="AT35" i="19" s="1"/>
  <c r="AZ35" i="19" a="1"/>
  <c r="AZ35" i="19" s="1"/>
  <c r="AU36" i="19" a="1"/>
  <c r="AU36" i="19" s="1"/>
  <c r="AO37" i="19" a="1"/>
  <c r="AO37" i="19" s="1"/>
  <c r="AP29" i="19" a="1"/>
  <c r="AP29" i="19" s="1"/>
  <c r="AV29" i="19" a="1"/>
  <c r="AV29" i="19" s="1"/>
  <c r="AQ30" i="19" a="1"/>
  <c r="AQ30" i="19" s="1"/>
  <c r="AW30" i="19" a="1"/>
  <c r="AW30" i="19" s="1"/>
  <c r="AX31" i="19" a="1"/>
  <c r="AX31" i="19" s="1"/>
  <c r="AR32" i="19" a="1"/>
  <c r="AR32" i="19" s="1"/>
  <c r="AY32" i="19" a="1"/>
  <c r="AY32" i="19" s="1"/>
  <c r="AR23" i="19" a="1"/>
  <c r="AR23" i="19" s="1"/>
  <c r="AO24" i="19" a="1"/>
  <c r="AO24" i="19" s="1"/>
  <c r="AT24" i="19" a="1"/>
  <c r="AT24" i="19" s="1"/>
  <c r="AR25" i="19" a="1"/>
  <c r="AR25" i="19" s="1"/>
  <c r="AW25" i="19" a="1"/>
  <c r="AW25" i="19" s="1"/>
  <c r="AV26" i="19" a="1"/>
  <c r="AV26" i="19" s="1"/>
  <c r="AO12" i="19" a="1"/>
  <c r="AO12" i="19" s="1"/>
  <c r="AU12" i="19" a="1"/>
  <c r="AU12" i="19" s="1"/>
  <c r="AW39" i="5" a="1"/>
  <c r="AW39" i="5" s="1"/>
  <c r="AV35" i="5" a="1"/>
  <c r="AV35" i="5" s="1"/>
  <c r="AQ37" i="5" a="1"/>
  <c r="AQ37" i="5" s="1"/>
  <c r="AT28" i="5" a="1"/>
  <c r="AT28" i="5" s="1"/>
  <c r="AY30" i="5" a="1"/>
  <c r="AY30" i="5" s="1"/>
  <c r="AR21" i="5" a="1"/>
  <c r="AR21" i="5" s="1"/>
  <c r="AQ22" i="5" a="1"/>
  <c r="AQ22" i="5" s="1"/>
  <c r="AX22" i="5" a="1"/>
  <c r="AX22" i="5" s="1"/>
  <c r="AU23" i="5" a="1"/>
  <c r="AU23" i="5" s="1"/>
  <c r="AY24" i="5" a="1"/>
  <c r="AY24" i="5" s="1"/>
  <c r="AU25" i="5" a="1"/>
  <c r="AU25" i="5" s="1"/>
  <c r="AR16" i="5" a="1"/>
  <c r="AR16" i="5" s="1"/>
  <c r="AW16" i="5" a="1"/>
  <c r="AW16" i="5" s="1"/>
  <c r="AX17" i="5" a="1"/>
  <c r="AX17" i="5" s="1"/>
  <c r="AS18" i="5" a="1"/>
  <c r="AS18" i="5" s="1"/>
  <c r="AT9" i="5" a="1"/>
  <c r="AT9" i="5" s="1"/>
  <c r="AY9" i="5" a="1"/>
  <c r="AY9" i="5" s="1"/>
  <c r="AT10" i="5" a="1"/>
  <c r="AT10" i="5" s="1"/>
  <c r="AW11" i="5" a="1"/>
  <c r="AW11" i="5" s="1"/>
  <c r="AS12" i="5" a="1"/>
  <c r="AS12" i="5" s="1"/>
  <c r="AZ12" i="5" a="1"/>
  <c r="AZ12" i="5" s="1"/>
  <c r="AV13" i="5" a="1"/>
  <c r="AV13" i="5" s="1"/>
  <c r="AY14" i="5" a="1"/>
  <c r="AY14" i="5" s="1"/>
  <c r="AX42" i="7" a="1"/>
  <c r="AX42" i="7" s="1"/>
  <c r="AW43" i="7" a="1"/>
  <c r="AW43" i="7" s="1"/>
  <c r="AR44" i="7" a="1"/>
  <c r="AR44" i="7" s="1"/>
  <c r="AT25" i="7" a="1"/>
  <c r="AT25" i="7" s="1"/>
  <c r="AZ25" i="7" a="1"/>
  <c r="AZ25" i="7" s="1"/>
  <c r="AS27" i="7" a="1"/>
  <c r="AS27" i="7" s="1"/>
  <c r="AY27" i="7" a="1"/>
  <c r="AY27" i="7" s="1"/>
  <c r="AV28" i="7" a="1"/>
  <c r="AV28" i="7" s="1"/>
  <c r="AR29" i="7" a="1"/>
  <c r="AR29" i="7" s="1"/>
  <c r="AU30" i="7" a="1"/>
  <c r="AU30" i="7" s="1"/>
  <c r="AQ31" i="7" a="1"/>
  <c r="AQ31" i="7" s="1"/>
  <c r="AX31" i="7" a="1"/>
  <c r="AX31" i="7" s="1"/>
  <c r="AT32" i="7" a="1"/>
  <c r="AT32" i="7" s="1"/>
  <c r="AW33" i="7" a="1"/>
  <c r="AW33" i="7" s="1"/>
  <c r="AS34" i="7" a="1"/>
  <c r="AS34" i="7" s="1"/>
  <c r="AZ34" i="7" a="1"/>
  <c r="AZ34" i="7" s="1"/>
  <c r="AW35" i="7" a="1"/>
  <c r="AW35" i="7" s="1"/>
  <c r="AU36" i="7" a="1"/>
  <c r="AU36" i="7" s="1"/>
  <c r="AS37" i="7" a="1"/>
  <c r="AS37" i="7" s="1"/>
  <c r="AQ38" i="7" a="1"/>
  <c r="AQ38" i="7" s="1"/>
  <c r="AY38" i="7" a="1"/>
  <c r="AY38" i="7" s="1"/>
  <c r="AW39" i="7" a="1"/>
  <c r="AW39" i="7" s="1"/>
  <c r="AU46" i="19" a="1"/>
  <c r="AU46" i="19" s="1"/>
  <c r="AO47" i="19" a="1"/>
  <c r="AO47" i="19" s="1"/>
  <c r="AX35" i="5" a="1"/>
  <c r="AX35" i="5" s="1"/>
  <c r="AS37" i="5" a="1"/>
  <c r="AS37" i="5" s="1"/>
  <c r="AV28" i="5" a="1"/>
  <c r="AV28" i="5" s="1"/>
  <c r="AY29" i="5" a="1"/>
  <c r="AY29" i="5" s="1"/>
  <c r="AR31" i="5" a="1"/>
  <c r="AR31" i="5" s="1"/>
  <c r="AR22" i="5" a="1"/>
  <c r="AR22" i="5" s="1"/>
  <c r="AY22" i="5" a="1"/>
  <c r="AY22" i="5" s="1"/>
  <c r="AV23" i="5" a="1"/>
  <c r="AV23" i="5" s="1"/>
  <c r="AS24" i="5" a="1"/>
  <c r="AS24" i="5" s="1"/>
  <c r="AZ24" i="5" a="1"/>
  <c r="AZ24" i="5" s="1"/>
  <c r="AV25" i="5" a="1"/>
  <c r="AV25" i="5" s="1"/>
  <c r="AX16" i="5" a="1"/>
  <c r="AX16" i="5" s="1"/>
  <c r="AS17" i="5" a="1"/>
  <c r="AS17" i="5" s="1"/>
  <c r="AT18" i="5" a="1"/>
  <c r="AT18" i="5" s="1"/>
  <c r="AY18" i="5" a="1"/>
  <c r="AY18" i="5" s="1"/>
  <c r="AU10" i="5" a="1"/>
  <c r="AU10" i="5" s="1"/>
  <c r="AQ11" i="5" a="1"/>
  <c r="AQ11" i="5" s="1"/>
  <c r="AX11" i="5" a="1"/>
  <c r="AX11" i="5" s="1"/>
  <c r="AT12" i="5" a="1"/>
  <c r="AT12" i="5" s="1"/>
  <c r="AW13" i="5" a="1"/>
  <c r="AW13" i="5" s="1"/>
  <c r="AS14" i="5" a="1"/>
  <c r="AS14" i="5" s="1"/>
  <c r="AZ14" i="5" a="1"/>
  <c r="AZ14" i="5" s="1"/>
  <c r="AT42" i="7" a="1"/>
  <c r="AT42" i="7" s="1"/>
  <c r="AS43" i="7" a="1"/>
  <c r="AS43" i="7" s="1"/>
  <c r="AS44" i="7" a="1"/>
  <c r="AS44" i="7" s="1"/>
  <c r="AX44" i="7" a="1"/>
  <c r="AX44" i="7" s="1"/>
  <c r="AQ26" i="7" a="1"/>
  <c r="AQ26" i="7" s="1"/>
  <c r="AW26" i="7" a="1"/>
  <c r="AW26" i="7" s="1"/>
  <c r="AT27" i="7" a="1"/>
  <c r="AT27" i="7" s="1"/>
  <c r="AZ27" i="7" a="1"/>
  <c r="AZ27" i="7" s="1"/>
  <c r="AS29" i="7" a="1"/>
  <c r="AS29" i="7" s="1"/>
  <c r="AY29" i="7" a="1"/>
  <c r="AY29" i="7" s="1"/>
  <c r="AV30" i="7" a="1"/>
  <c r="AV30" i="7" s="1"/>
  <c r="AR31" i="7" a="1"/>
  <c r="AR31" i="7" s="1"/>
  <c r="AU32" i="7" a="1"/>
  <c r="AU32" i="7" s="1"/>
  <c r="AQ33" i="7" a="1"/>
  <c r="AQ33" i="7" s="1"/>
  <c r="AX33" i="7" a="1"/>
  <c r="AX33" i="7" s="1"/>
  <c r="AT34" i="7" a="1"/>
  <c r="AT34" i="7" s="1"/>
  <c r="AX35" i="7" a="1"/>
  <c r="AX35" i="7" s="1"/>
  <c r="AV36" i="7" a="1"/>
  <c r="AV36" i="7" s="1"/>
  <c r="AT37" i="7" a="1"/>
  <c r="AT37" i="7" s="1"/>
  <c r="AR38" i="7" a="1"/>
  <c r="AR38" i="7" s="1"/>
  <c r="AZ38" i="7" a="1"/>
  <c r="AZ38" i="7" s="1"/>
  <c r="AX39" i="7" a="1"/>
  <c r="AX39" i="7" s="1"/>
  <c r="AO46" i="19" a="1"/>
  <c r="AO46" i="19" s="1"/>
  <c r="AV46" i="19" a="1"/>
  <c r="AV46" i="19" s="1"/>
  <c r="AP47" i="19" a="1"/>
  <c r="AP47" i="19" s="1"/>
  <c r="AQ48" i="19" a="1"/>
  <c r="AQ48" i="19" s="1"/>
  <c r="AW48" i="19" a="1"/>
  <c r="AW48" i="19" s="1"/>
  <c r="AR40" i="19" a="1"/>
  <c r="AR40" i="19" s="1"/>
  <c r="AX40" i="19" a="1"/>
  <c r="AX40" i="19" s="1"/>
  <c r="AY41" i="19" a="1"/>
  <c r="AY41" i="19" s="1"/>
  <c r="AS42" i="19" a="1"/>
  <c r="AS42" i="19" s="1"/>
  <c r="AZ42" i="19" a="1"/>
  <c r="AZ42" i="19" s="1"/>
  <c r="AT43" i="19" a="1"/>
  <c r="AT43" i="19" s="1"/>
  <c r="AO35" i="19" a="1"/>
  <c r="AO35" i="19" s="1"/>
  <c r="AP36" i="19" a="1"/>
  <c r="AP36" i="19" s="1"/>
  <c r="AV36" i="19" a="1"/>
  <c r="AV36" i="19" s="1"/>
  <c r="AT40" i="19" a="1"/>
  <c r="AT40" i="19" s="1"/>
  <c r="AV42" i="19" a="1"/>
  <c r="AV42" i="19" s="1"/>
  <c r="AU35" i="19" a="1"/>
  <c r="AU35" i="19" s="1"/>
  <c r="AY36" i="19" a="1"/>
  <c r="AY36" i="19" s="1"/>
  <c r="AW37" i="19" a="1"/>
  <c r="AW37" i="19" s="1"/>
  <c r="AU29" i="19" a="1"/>
  <c r="AU29" i="19" s="1"/>
  <c r="AT30" i="19" a="1"/>
  <c r="AT30" i="19" s="1"/>
  <c r="AR31" i="19" a="1"/>
  <c r="AR31" i="19" s="1"/>
  <c r="AZ31" i="19" a="1"/>
  <c r="AZ31" i="19" s="1"/>
  <c r="AZ24" i="19" a="1"/>
  <c r="AZ24" i="19" s="1"/>
  <c r="AT25" i="19" a="1"/>
  <c r="AT25" i="19" s="1"/>
  <c r="AZ25" i="19" a="1"/>
  <c r="AZ25" i="19" s="1"/>
  <c r="AT26" i="19" a="1"/>
  <c r="AT26" i="19" s="1"/>
  <c r="AZ26" i="19" a="1"/>
  <c r="AZ26" i="19" s="1"/>
  <c r="AT12" i="19" a="1"/>
  <c r="AT12" i="19" s="1"/>
  <c r="AU13" i="19" a="1"/>
  <c r="AU13" i="19" s="1"/>
  <c r="AO14" i="19" a="1"/>
  <c r="AO14" i="19" s="1"/>
  <c r="AV14" i="19" a="1"/>
  <c r="AV14" i="19" s="1"/>
  <c r="AP15" i="19" a="1"/>
  <c r="AP15" i="19" s="1"/>
  <c r="AQ16" i="19" a="1"/>
  <c r="AQ16" i="19" s="1"/>
  <c r="AW16" i="19" a="1"/>
  <c r="AW16" i="19" s="1"/>
  <c r="AR17" i="19" a="1"/>
  <c r="AR17" i="19" s="1"/>
  <c r="AX17" i="19" a="1"/>
  <c r="AX17" i="19" s="1"/>
  <c r="AY18" i="19" a="1"/>
  <c r="AY18" i="19" s="1"/>
  <c r="AS19" i="19" a="1"/>
  <c r="AS19" i="19" s="1"/>
  <c r="AZ19" i="19" a="1"/>
  <c r="AZ19" i="19" s="1"/>
  <c r="AT20" i="19" a="1"/>
  <c r="AT20" i="19" s="1"/>
  <c r="AU9" i="19" a="1"/>
  <c r="AU9" i="19" s="1"/>
  <c r="AW40" i="19" a="1"/>
  <c r="AW40" i="19" s="1"/>
  <c r="AY42" i="19" a="1"/>
  <c r="AY42" i="19" s="1"/>
  <c r="AW35" i="19" a="1"/>
  <c r="AW35" i="19" s="1"/>
  <c r="AY37" i="19" a="1"/>
  <c r="AY37" i="19" s="1"/>
  <c r="AW29" i="19" a="1"/>
  <c r="AW29" i="19" s="1"/>
  <c r="AU30" i="19" a="1"/>
  <c r="AU30" i="19" s="1"/>
  <c r="AS31" i="19" a="1"/>
  <c r="AS31" i="19" s="1"/>
  <c r="AO32" i="19" a="1"/>
  <c r="AO32" i="19" s="1"/>
  <c r="AV32" i="19" a="1"/>
  <c r="AV32" i="19" s="1"/>
  <c r="AQ23" i="19" a="1"/>
  <c r="AQ23" i="19" s="1"/>
  <c r="AV23" i="19" a="1"/>
  <c r="AV23" i="19" s="1"/>
  <c r="AP24" i="19" a="1"/>
  <c r="AP24" i="19" s="1"/>
  <c r="AU24" i="19" a="1"/>
  <c r="AU24" i="19" s="1"/>
  <c r="AO13" i="19" a="1"/>
  <c r="AO13" i="19" s="1"/>
  <c r="AV13" i="19" a="1"/>
  <c r="AV13" i="19" s="1"/>
  <c r="AP14" i="19" a="1"/>
  <c r="AP14" i="19" s="1"/>
  <c r="AQ15" i="19" a="1"/>
  <c r="AQ15" i="19" s="1"/>
  <c r="AW15" i="19" a="1"/>
  <c r="AW15" i="19" s="1"/>
  <c r="AR16" i="19" a="1"/>
  <c r="AR16" i="19" s="1"/>
  <c r="AX16" i="19" a="1"/>
  <c r="AX16" i="19" s="1"/>
  <c r="AY17" i="19" a="1"/>
  <c r="AY17" i="19" s="1"/>
  <c r="AS18" i="19" a="1"/>
  <c r="AS18" i="19" s="1"/>
  <c r="AZ18" i="19" a="1"/>
  <c r="AZ18" i="19" s="1"/>
  <c r="AT19" i="19" a="1"/>
  <c r="AT19" i="19" s="1"/>
  <c r="AU20" i="19" a="1"/>
  <c r="AU20" i="19" s="1"/>
  <c r="AO9" i="19" a="1"/>
  <c r="AO9" i="19" s="1"/>
  <c r="AV9" i="19" a="1"/>
  <c r="AV9" i="19" s="1"/>
  <c r="AP43" i="19" a="1"/>
  <c r="AP43" i="19" s="1"/>
  <c r="AX35" i="19" a="1"/>
  <c r="AX35" i="19" s="1"/>
  <c r="AP37" i="19" a="1"/>
  <c r="AP37" i="19" s="1"/>
  <c r="AX29" i="19" a="1"/>
  <c r="AX29" i="19" s="1"/>
  <c r="AU31" i="19" a="1"/>
  <c r="AU31" i="19" s="1"/>
  <c r="AP32" i="19" a="1"/>
  <c r="AP32" i="19" s="1"/>
  <c r="AW32" i="19" a="1"/>
  <c r="AW32" i="19" s="1"/>
  <c r="AW23" i="19" a="1"/>
  <c r="AW23" i="19" s="1"/>
  <c r="AO25" i="19" a="1"/>
  <c r="AO25" i="19" s="1"/>
  <c r="AU25" i="19" a="1"/>
  <c r="AU25" i="19" s="1"/>
  <c r="AO26" i="19" a="1"/>
  <c r="AO26" i="19" s="1"/>
  <c r="AU26" i="19" a="1"/>
  <c r="AU26" i="19" s="1"/>
  <c r="AP12" i="19" a="1"/>
  <c r="AP12" i="19" s="1"/>
  <c r="AV12" i="19" a="1"/>
  <c r="AV12" i="19" s="1"/>
  <c r="AP13" i="19" a="1"/>
  <c r="AP13" i="19" s="1"/>
  <c r="AQ14" i="19" a="1"/>
  <c r="AQ14" i="19" s="1"/>
  <c r="AW14" i="19" a="1"/>
  <c r="AW14" i="19" s="1"/>
  <c r="AR15" i="19" a="1"/>
  <c r="AR15" i="19" s="1"/>
  <c r="AX15" i="19" a="1"/>
  <c r="AX15" i="19" s="1"/>
  <c r="AY16" i="19" a="1"/>
  <c r="AY16" i="19" s="1"/>
  <c r="AS17" i="19" a="1"/>
  <c r="AS17" i="19" s="1"/>
  <c r="AZ17" i="19" a="1"/>
  <c r="AZ17" i="19" s="1"/>
  <c r="AT18" i="19" a="1"/>
  <c r="AT18" i="19" s="1"/>
  <c r="AU19" i="19" a="1"/>
  <c r="AU19" i="19" s="1"/>
  <c r="AO20" i="19" a="1"/>
  <c r="AO20" i="19" s="1"/>
  <c r="AV20" i="19" a="1"/>
  <c r="AV20" i="19" s="1"/>
  <c r="AP9" i="19" a="1"/>
  <c r="AP9" i="19" s="1"/>
  <c r="AR41" i="19" a="1"/>
  <c r="AR41" i="19" s="1"/>
  <c r="AS43" i="19" a="1"/>
  <c r="AS43" i="19" s="1"/>
  <c r="AO36" i="19" a="1"/>
  <c r="AO36" i="19" s="1"/>
  <c r="AQ37" i="19" a="1"/>
  <c r="AQ37" i="19" s="1"/>
  <c r="AZ37" i="19" a="1"/>
  <c r="AZ37" i="19" s="1"/>
  <c r="AX30" i="19" a="1"/>
  <c r="AX30" i="19" s="1"/>
  <c r="AQ32" i="19" a="1"/>
  <c r="AQ32" i="19" s="1"/>
  <c r="AX32" i="19" a="1"/>
  <c r="AX32" i="19" s="1"/>
  <c r="AX23" i="19" a="1"/>
  <c r="AX23" i="19" s="1"/>
  <c r="AQ24" i="19" a="1"/>
  <c r="AQ24" i="19" s="1"/>
  <c r="AV24" i="19" a="1"/>
  <c r="AV24" i="19" s="1"/>
  <c r="AP25" i="19" a="1"/>
  <c r="AP25" i="19" s="1"/>
  <c r="AV25" i="19" a="1"/>
  <c r="AV25" i="19" s="1"/>
  <c r="AP26" i="19" a="1"/>
  <c r="AP26" i="19" s="1"/>
  <c r="AQ12" i="19" a="1"/>
  <c r="AQ12" i="19" s="1"/>
  <c r="AQ13" i="19" a="1"/>
  <c r="AQ13" i="19" s="1"/>
  <c r="AW13" i="19" a="1"/>
  <c r="AW13" i="19" s="1"/>
  <c r="AR14" i="19" a="1"/>
  <c r="AR14" i="19" s="1"/>
  <c r="AX14" i="19" a="1"/>
  <c r="AX14" i="19" s="1"/>
  <c r="AY15" i="19" a="1"/>
  <c r="AY15" i="19" s="1"/>
  <c r="AS16" i="19" a="1"/>
  <c r="AS16" i="19" s="1"/>
  <c r="AZ16" i="19" a="1"/>
  <c r="AZ16" i="19" s="1"/>
  <c r="AT17" i="19" a="1"/>
  <c r="AT17" i="19" s="1"/>
  <c r="AU18" i="19" a="1"/>
  <c r="AU18" i="19" s="1"/>
  <c r="AO19" i="19" a="1"/>
  <c r="AO19" i="19" s="1"/>
  <c r="AV19" i="19" a="1"/>
  <c r="AV19" i="19" s="1"/>
  <c r="AP20" i="19" a="1"/>
  <c r="AP20" i="19" s="1"/>
  <c r="AQ9" i="19" a="1"/>
  <c r="AQ9" i="19" s="1"/>
  <c r="AW9" i="19" a="1"/>
  <c r="AW9" i="19" s="1"/>
  <c r="AV47" i="19" a="1"/>
  <c r="AV47" i="19" s="1"/>
  <c r="AU41" i="19" a="1"/>
  <c r="AU41" i="19" s="1"/>
  <c r="AW43" i="19" a="1"/>
  <c r="AW43" i="19" s="1"/>
  <c r="AR37" i="19" a="1"/>
  <c r="AR37" i="19" s="1"/>
  <c r="AQ29" i="19" a="1"/>
  <c r="AQ29" i="19" s="1"/>
  <c r="AZ29" i="19" a="1"/>
  <c r="AZ29" i="19" s="1"/>
  <c r="AY30" i="19" a="1"/>
  <c r="AY30" i="19" s="1"/>
  <c r="AV31" i="19" a="1"/>
  <c r="AV31" i="19" s="1"/>
  <c r="AS23" i="19" a="1"/>
  <c r="AS23" i="19" s="1"/>
  <c r="AQ26" i="19" a="1"/>
  <c r="AQ26" i="19" s="1"/>
  <c r="AW26" i="19" a="1"/>
  <c r="AW26" i="19" s="1"/>
  <c r="AW12" i="19" a="1"/>
  <c r="AW12" i="19" s="1"/>
  <c r="AR13" i="19" a="1"/>
  <c r="AR13" i="19" s="1"/>
  <c r="AX13" i="19" a="1"/>
  <c r="AX13" i="19" s="1"/>
  <c r="AY14" i="19" a="1"/>
  <c r="AY14" i="19" s="1"/>
  <c r="AS15" i="19" a="1"/>
  <c r="AS15" i="19" s="1"/>
  <c r="AZ15" i="19" a="1"/>
  <c r="AZ15" i="19" s="1"/>
  <c r="AT16" i="19" a="1"/>
  <c r="AT16" i="19" s="1"/>
  <c r="AU17" i="19" a="1"/>
  <c r="AU17" i="19" s="1"/>
  <c r="AO18" i="19" a="1"/>
  <c r="AO18" i="19" s="1"/>
  <c r="AV18" i="19" a="1"/>
  <c r="AV18" i="19" s="1"/>
  <c r="AP19" i="19" a="1"/>
  <c r="AP19" i="19" s="1"/>
  <c r="AQ20" i="19" a="1"/>
  <c r="AQ20" i="19" s="1"/>
  <c r="AW20" i="19" a="1"/>
  <c r="AW20" i="19" s="1"/>
  <c r="AR9" i="19" a="1"/>
  <c r="AR9" i="19" s="1"/>
  <c r="AX9" i="19" a="1"/>
  <c r="AX9" i="19" s="1"/>
  <c r="AP48" i="19" a="1"/>
  <c r="AP48" i="19" s="1"/>
  <c r="AX41" i="19" a="1"/>
  <c r="AX41" i="19" s="1"/>
  <c r="AR36" i="19" a="1"/>
  <c r="AR36" i="19" s="1"/>
  <c r="AS37" i="19" a="1"/>
  <c r="AS37" i="19" s="1"/>
  <c r="AO30" i="19" a="1"/>
  <c r="AO30" i="19" s="1"/>
  <c r="AZ30" i="19" a="1"/>
  <c r="AZ30" i="19" s="1"/>
  <c r="AW31" i="19" a="1"/>
  <c r="AW31" i="19" s="1"/>
  <c r="AS32" i="19" a="1"/>
  <c r="AS32" i="19" s="1"/>
  <c r="AZ32" i="19" a="1"/>
  <c r="AZ32" i="19" s="1"/>
  <c r="AT23" i="19" a="1"/>
  <c r="AT23" i="19" s="1"/>
  <c r="AY23" i="19" a="1"/>
  <c r="AY23" i="19" s="1"/>
  <c r="AR24" i="19" a="1"/>
  <c r="AR24" i="19" s="1"/>
  <c r="AW24" i="19" a="1"/>
  <c r="AW24" i="19" s="1"/>
  <c r="AQ25" i="19" a="1"/>
  <c r="AQ25" i="19" s="1"/>
  <c r="AX25" i="19" a="1"/>
  <c r="AX25" i="19" s="1"/>
  <c r="AR26" i="19" a="1"/>
  <c r="AR26" i="19" s="1"/>
  <c r="AX26" i="19" a="1"/>
  <c r="AX26" i="19" s="1"/>
  <c r="AR12" i="19" a="1"/>
  <c r="AR12" i="19" s="1"/>
  <c r="AX12" i="19" a="1"/>
  <c r="AX12" i="19" s="1"/>
  <c r="AY13" i="19" a="1"/>
  <c r="AY13" i="19" s="1"/>
  <c r="AS14" i="19" a="1"/>
  <c r="AS14" i="19" s="1"/>
  <c r="AZ14" i="19" a="1"/>
  <c r="AZ14" i="19" s="1"/>
  <c r="AT15" i="19" a="1"/>
  <c r="AT15" i="19" s="1"/>
  <c r="AU16" i="19" a="1"/>
  <c r="AU16" i="19" s="1"/>
  <c r="AO17" i="19" a="1"/>
  <c r="AO17" i="19" s="1"/>
  <c r="AV17" i="19" a="1"/>
  <c r="AV17" i="19" s="1"/>
  <c r="AP18" i="19" a="1"/>
  <c r="AP18" i="19" s="1"/>
  <c r="AQ19" i="19" a="1"/>
  <c r="AQ19" i="19" s="1"/>
  <c r="AW19" i="19" a="1"/>
  <c r="AW19" i="19" s="1"/>
  <c r="AR20" i="19" a="1"/>
  <c r="AR20" i="19" s="1"/>
  <c r="AX20" i="19" a="1"/>
  <c r="AX20" i="19" s="1"/>
  <c r="AY9" i="19" a="1"/>
  <c r="AY9" i="19" s="1"/>
  <c r="AO42" i="19" a="1"/>
  <c r="AO42" i="19" s="1"/>
  <c r="AQ35" i="19" a="1"/>
  <c r="AQ35" i="19" s="1"/>
  <c r="AT37" i="19" a="1"/>
  <c r="AT37" i="19" s="1"/>
  <c r="AS29" i="19" a="1"/>
  <c r="AS29" i="19" s="1"/>
  <c r="AO31" i="19" a="1"/>
  <c r="AO31" i="19" s="1"/>
  <c r="AY31" i="19" a="1"/>
  <c r="AY31" i="19" s="1"/>
  <c r="AT32" i="19" a="1"/>
  <c r="AT32" i="19" s="1"/>
  <c r="AO23" i="19" a="1"/>
  <c r="AO23" i="19" s="1"/>
  <c r="AX24" i="19" a="1"/>
  <c r="AX24" i="19" s="1"/>
  <c r="AY12" i="19" a="1"/>
  <c r="AY12" i="19" s="1"/>
  <c r="AS13" i="19" a="1"/>
  <c r="AS13" i="19" s="1"/>
  <c r="AZ13" i="19" a="1"/>
  <c r="AZ13" i="19" s="1"/>
  <c r="AT14" i="19" a="1"/>
  <c r="AT14" i="19" s="1"/>
  <c r="AU15" i="19" a="1"/>
  <c r="AU15" i="19" s="1"/>
  <c r="AO16" i="19" a="1"/>
  <c r="AO16" i="19" s="1"/>
  <c r="AV16" i="19" a="1"/>
  <c r="AV16" i="19" s="1"/>
  <c r="AP17" i="19" a="1"/>
  <c r="AP17" i="19" s="1"/>
  <c r="AQ18" i="19" a="1"/>
  <c r="AQ18" i="19" s="1"/>
  <c r="AW18" i="19" a="1"/>
  <c r="AW18" i="19" s="1"/>
  <c r="AR19" i="19" a="1"/>
  <c r="AR19" i="19" s="1"/>
  <c r="AX19" i="19" a="1"/>
  <c r="AX19" i="19" s="1"/>
  <c r="AY20" i="19" a="1"/>
  <c r="AY20" i="19" s="1"/>
  <c r="AS9" i="19" a="1"/>
  <c r="AS9" i="19" s="1"/>
  <c r="AZ9" i="19" a="1"/>
  <c r="AZ9" i="19" s="1"/>
  <c r="AQ40" i="19" a="1"/>
  <c r="AQ40" i="19" s="1"/>
  <c r="AX36" i="19" a="1"/>
  <c r="AX36" i="19" s="1"/>
  <c r="AV37" i="19" a="1"/>
  <c r="AV37" i="19" s="1"/>
  <c r="AT29" i="19" a="1"/>
  <c r="AT29" i="19" s="1"/>
  <c r="AR30" i="19" a="1"/>
  <c r="AR30" i="19" s="1"/>
  <c r="AP31" i="19" a="1"/>
  <c r="AP31" i="19" s="1"/>
  <c r="AU32" i="19" a="1"/>
  <c r="AU32" i="19" s="1"/>
  <c r="AP23" i="19" a="1"/>
  <c r="AP23" i="19" s="1"/>
  <c r="AU23" i="19" a="1"/>
  <c r="AU23" i="19" s="1"/>
  <c r="AZ23" i="19" a="1"/>
  <c r="AZ23" i="19" s="1"/>
  <c r="AS24" i="19" a="1"/>
  <c r="AS24" i="19" s="1"/>
  <c r="AY24" i="19" a="1"/>
  <c r="AY24" i="19" s="1"/>
  <c r="AS25" i="19" a="1"/>
  <c r="AS25" i="19" s="1"/>
  <c r="AY25" i="19" a="1"/>
  <c r="AY25" i="19" s="1"/>
  <c r="AS26" i="19" a="1"/>
  <c r="AS26" i="19" s="1"/>
  <c r="AY26" i="19" a="1"/>
  <c r="AY26" i="19" s="1"/>
  <c r="AS12" i="19" a="1"/>
  <c r="AS12" i="19" s="1"/>
  <c r="AZ12" i="19" a="1"/>
  <c r="AZ12" i="19" s="1"/>
  <c r="AT13" i="19" a="1"/>
  <c r="AT13" i="19" s="1"/>
  <c r="AU14" i="19" a="1"/>
  <c r="AU14" i="19" s="1"/>
  <c r="AO15" i="19" a="1"/>
  <c r="AO15" i="19" s="1"/>
  <c r="AV15" i="19" a="1"/>
  <c r="AV15" i="19" s="1"/>
  <c r="AP16" i="19" a="1"/>
  <c r="AP16" i="19" s="1"/>
  <c r="AQ17" i="19" a="1"/>
  <c r="AQ17" i="19" s="1"/>
  <c r="AW17" i="19" a="1"/>
  <c r="AW17" i="19" s="1"/>
  <c r="AR18" i="19" a="1"/>
  <c r="AR18" i="19" s="1"/>
  <c r="AX18" i="19" a="1"/>
  <c r="AX18" i="19" s="1"/>
  <c r="AY19" i="19" a="1"/>
  <c r="AY19" i="19" s="1"/>
  <c r="AS20" i="19" a="1"/>
  <c r="AS20" i="19" s="1"/>
  <c r="AZ20" i="19" a="1"/>
  <c r="AZ20" i="19" s="1"/>
  <c r="AT9" i="19" a="1"/>
  <c r="AT9" i="19" s="1"/>
  <c r="BL38" i="24"/>
  <c r="BH38" i="24"/>
  <c r="BH39" i="24" s="1"/>
  <c r="BH123" i="24" s="1"/>
  <c r="BL64" i="24"/>
  <c r="BH64" i="24"/>
  <c r="BL71" i="24"/>
  <c r="BH71" i="24"/>
  <c r="BH19" i="24"/>
  <c r="BL19" i="24"/>
  <c r="BL47" i="24"/>
  <c r="BH47" i="24"/>
  <c r="BM71" i="24"/>
  <c r="BM15" i="24"/>
  <c r="BH66" i="24"/>
  <c r="BH67" i="24" s="1"/>
  <c r="BH124" i="24" s="1"/>
  <c r="BL66" i="24"/>
  <c r="BM38" i="24"/>
  <c r="BH44" i="24"/>
  <c r="BL44" i="24"/>
  <c r="BL112" i="24"/>
  <c r="BH112" i="24"/>
  <c r="BH75" i="24"/>
  <c r="BL75" i="24"/>
  <c r="BM44" i="24"/>
  <c r="AH124" i="24"/>
  <c r="AH123" i="24"/>
  <c r="BM75" i="24"/>
  <c r="BM47" i="24"/>
  <c r="BM93" i="24"/>
  <c r="BM112" i="24"/>
  <c r="BM122" i="24"/>
  <c r="BM19" i="24"/>
  <c r="BM66" i="24"/>
  <c r="BM129" i="24"/>
  <c r="AR67" i="24"/>
  <c r="AU24" i="24"/>
  <c r="BI24" i="24" s="1"/>
  <c r="AR123" i="24"/>
  <c r="AO36" i="9" s="1" a="1"/>
  <c r="AO36" i="9" s="1"/>
  <c r="AX128" i="24"/>
  <c r="AU43" i="9" s="1" a="1"/>
  <c r="AU43" i="9" s="1"/>
  <c r="BA24" i="24"/>
  <c r="BK24" i="24" s="1"/>
  <c r="AG67" i="24"/>
  <c r="AG124" i="24" s="1"/>
  <c r="AG21" i="24"/>
  <c r="BM21" i="24" s="1"/>
  <c r="AG39" i="24"/>
  <c r="AG123" i="24" s="1"/>
  <c r="AG121" i="24"/>
  <c r="AR73" i="24"/>
  <c r="AR92" i="24"/>
  <c r="AR20" i="24"/>
  <c r="AO14" i="7" s="1" a="1"/>
  <c r="AO14" i="7" s="1"/>
  <c r="AR18" i="24"/>
  <c r="AO10" i="7" s="1" a="1"/>
  <c r="AO10" i="7" s="1"/>
  <c r="BD74" i="24"/>
  <c r="BD92" i="24"/>
  <c r="BD94" i="24" s="1"/>
  <c r="BD125" i="24" s="1"/>
  <c r="BD130" i="24"/>
  <c r="BD135" i="24"/>
  <c r="BD20" i="24"/>
  <c r="BD22" i="24" s="1"/>
  <c r="BD18" i="24"/>
  <c r="AR135" i="24"/>
  <c r="AR130" i="24"/>
  <c r="AO45" i="9" s="1" a="1"/>
  <c r="AO45" i="9" s="1"/>
  <c r="BC13" i="9"/>
  <c r="BG27" i="24"/>
  <c r="BC14" i="9"/>
  <c r="BK10" i="9"/>
  <c r="BK12" i="9"/>
  <c r="BG9" i="9"/>
  <c r="BG18" i="9"/>
  <c r="AD6" i="9"/>
  <c r="AI135" i="24"/>
  <c r="AH130" i="24"/>
  <c r="AH135" i="24"/>
  <c r="AK130" i="24"/>
  <c r="AK135" i="24"/>
  <c r="AM130" i="24"/>
  <c r="AM135" i="24"/>
  <c r="AO135" i="24"/>
  <c r="AN130" i="24"/>
  <c r="AN135" i="24"/>
  <c r="AG130" i="24"/>
  <c r="AG135" i="24"/>
  <c r="AL135" i="24"/>
  <c r="AF130" i="24"/>
  <c r="AF135" i="24"/>
  <c r="AJ130" i="24"/>
  <c r="AJ135" i="24"/>
  <c r="AQ135" i="24"/>
  <c r="AP130" i="24"/>
  <c r="AP135" i="24"/>
  <c r="BC30" i="19"/>
  <c r="AF92" i="24"/>
  <c r="AF94" i="24" s="1"/>
  <c r="AF125" i="24" s="1"/>
  <c r="O38" i="9" s="1"/>
  <c r="AF74" i="24"/>
  <c r="AQ92" i="24"/>
  <c r="AQ94" i="24" s="1"/>
  <c r="AQ125" i="24" s="1"/>
  <c r="AQ74" i="24"/>
  <c r="AP73" i="24"/>
  <c r="AP76" i="24" s="1"/>
  <c r="AP128" i="24" s="1"/>
  <c r="AP92" i="24"/>
  <c r="AP94" i="24" s="1"/>
  <c r="AP125" i="24" s="1"/>
  <c r="AP74" i="24"/>
  <c r="AK92" i="24"/>
  <c r="AK94" i="24" s="1"/>
  <c r="AK74" i="24"/>
  <c r="AO92" i="24"/>
  <c r="AO74" i="24"/>
  <c r="BC35" i="19"/>
  <c r="AJ73" i="24"/>
  <c r="AJ76" i="24" s="1"/>
  <c r="AJ128" i="24" s="1"/>
  <c r="AJ74" i="24"/>
  <c r="AG73" i="24"/>
  <c r="AG74" i="24"/>
  <c r="AH73" i="24"/>
  <c r="AH76" i="24" s="1"/>
  <c r="AH128" i="24" s="1"/>
  <c r="AH74" i="24"/>
  <c r="AQ130" i="24"/>
  <c r="AQ73" i="24"/>
  <c r="AJ20" i="26"/>
  <c r="BK14" i="7" s="1"/>
  <c r="AM121" i="26"/>
  <c r="AH22" i="24"/>
  <c r="AK73" i="24"/>
  <c r="AK76" i="24" s="1"/>
  <c r="AK128" i="24" s="1"/>
  <c r="N76" i="26"/>
  <c r="I44" i="26"/>
  <c r="J129" i="26"/>
  <c r="N44" i="24"/>
  <c r="M112" i="24"/>
  <c r="M130" i="24" s="1"/>
  <c r="J45" i="9" s="1"/>
  <c r="L74" i="26"/>
  <c r="L77" i="26" s="1"/>
  <c r="J76" i="26"/>
  <c r="H135" i="26"/>
  <c r="M134" i="24"/>
  <c r="J51" i="9" s="1"/>
  <c r="L113" i="26"/>
  <c r="L131" i="26" s="1"/>
  <c r="AO73" i="24"/>
  <c r="AO76" i="24" s="1"/>
  <c r="AO128" i="24" s="1"/>
  <c r="P129" i="26"/>
  <c r="P74" i="26"/>
  <c r="P77" i="26" s="1"/>
  <c r="H129" i="26"/>
  <c r="M129" i="26"/>
  <c r="R129" i="26"/>
  <c r="E39" i="5" a="1"/>
  <c r="E39" i="5" s="1"/>
  <c r="E31" i="5" a="1"/>
  <c r="E31" i="5" s="1"/>
  <c r="E42" i="5" a="1"/>
  <c r="E42" i="5" s="1"/>
  <c r="E37" i="5" a="1"/>
  <c r="E37" i="5" s="1"/>
  <c r="E44" i="5" a="1"/>
  <c r="E44" i="5" s="1"/>
  <c r="E35" i="5" a="1"/>
  <c r="E35" i="5" s="1"/>
  <c r="E22" i="5" a="1"/>
  <c r="E22" i="5" s="1"/>
  <c r="E36" i="5" a="1"/>
  <c r="E36" i="5" s="1"/>
  <c r="E29" i="5" a="1"/>
  <c r="E29" i="5" s="1"/>
  <c r="E34" i="5" a="1"/>
  <c r="E34" i="5" s="1"/>
  <c r="E28" i="5" a="1"/>
  <c r="E28" i="5" s="1"/>
  <c r="E24" i="5" a="1"/>
  <c r="E24" i="5" s="1"/>
  <c r="E17" i="5" a="1"/>
  <c r="E17" i="5" s="1"/>
  <c r="E13" i="5" a="1"/>
  <c r="E13" i="5" s="1"/>
  <c r="E42" i="7" a="1"/>
  <c r="E42" i="7" s="1"/>
  <c r="E30" i="5" a="1"/>
  <c r="E30" i="5" s="1"/>
  <c r="E25" i="5" a="1"/>
  <c r="E25" i="5" s="1"/>
  <c r="E43" i="7" a="1"/>
  <c r="E43" i="7" s="1"/>
  <c r="E32" i="7" a="1"/>
  <c r="E32" i="7" s="1"/>
  <c r="E11" i="5" a="1"/>
  <c r="E11" i="5" s="1"/>
  <c r="E10" i="5" a="1"/>
  <c r="E10" i="5" s="1"/>
  <c r="E39" i="7" a="1"/>
  <c r="E39" i="7" s="1"/>
  <c r="E35" i="7" a="1"/>
  <c r="E35" i="7" s="1"/>
  <c r="E21" i="5" a="1"/>
  <c r="E21" i="5" s="1"/>
  <c r="E12" i="5" a="1"/>
  <c r="E12" i="5" s="1"/>
  <c r="E44" i="7" a="1"/>
  <c r="E44" i="7" s="1"/>
  <c r="E30" i="7" a="1"/>
  <c r="E30" i="7" s="1"/>
  <c r="E9" i="7" a="1"/>
  <c r="E9" i="7" s="1"/>
  <c r="E27" i="6" a="1"/>
  <c r="E27" i="6" s="1"/>
  <c r="E26" i="6" a="1"/>
  <c r="E26" i="6" s="1"/>
  <c r="E25" i="6" a="1"/>
  <c r="E25" i="6" s="1"/>
  <c r="E24" i="6" a="1"/>
  <c r="E24" i="6" s="1"/>
  <c r="E23" i="6" a="1"/>
  <c r="E23" i="6" s="1"/>
  <c r="E22" i="6" a="1"/>
  <c r="E22" i="6" s="1"/>
  <c r="E19" i="6" a="1"/>
  <c r="E19" i="6" s="1"/>
  <c r="E23" i="5" a="1"/>
  <c r="E23" i="5" s="1"/>
  <c r="E16" i="5" a="1"/>
  <c r="E16" i="5" s="1"/>
  <c r="E38" i="7" a="1"/>
  <c r="E38" i="7" s="1"/>
  <c r="E18" i="7" a="1"/>
  <c r="E18" i="7" s="1"/>
  <c r="E33" i="7" a="1"/>
  <c r="E33" i="7" s="1"/>
  <c r="E31" i="7" a="1"/>
  <c r="E31" i="7" s="1"/>
  <c r="E29" i="7" a="1"/>
  <c r="E29" i="7" s="1"/>
  <c r="E10" i="7" a="1"/>
  <c r="E10" i="7" s="1"/>
  <c r="E34" i="7" a="1"/>
  <c r="E34" i="7" s="1"/>
  <c r="E21" i="7" a="1"/>
  <c r="E21" i="7" s="1"/>
  <c r="E22" i="7" a="1"/>
  <c r="E22" i="7" s="1"/>
  <c r="E11" i="7" a="1"/>
  <c r="E11" i="7" s="1"/>
  <c r="E10" i="6" a="1"/>
  <c r="E10" i="6" s="1"/>
  <c r="E31" i="19" a="1"/>
  <c r="E31" i="19" s="1"/>
  <c r="E36" i="7" a="1"/>
  <c r="E36" i="7" s="1"/>
  <c r="E9" i="5" a="1"/>
  <c r="E9" i="5" s="1"/>
  <c r="E17" i="7" a="1"/>
  <c r="E17" i="7" s="1"/>
  <c r="E32" i="19" a="1"/>
  <c r="E32" i="19" s="1"/>
  <c r="E26" i="19" a="1"/>
  <c r="E26" i="19" s="1"/>
  <c r="E24" i="19" a="1"/>
  <c r="E24" i="19" s="1"/>
  <c r="E20" i="19" a="1"/>
  <c r="E20" i="19" s="1"/>
  <c r="E18" i="19" a="1"/>
  <c r="E18" i="19" s="1"/>
  <c r="E14" i="19" a="1"/>
  <c r="E14" i="19" s="1"/>
  <c r="E37" i="7" a="1"/>
  <c r="E37" i="7" s="1"/>
  <c r="E28" i="7" a="1"/>
  <c r="E28" i="7" s="1"/>
  <c r="E15" i="6" a="1"/>
  <c r="E15" i="6" s="1"/>
  <c r="E13" i="6" a="1"/>
  <c r="E13" i="6" s="1"/>
  <c r="E37" i="19" a="1"/>
  <c r="E37" i="19" s="1"/>
  <c r="E26" i="7" a="1"/>
  <c r="E26" i="7" s="1"/>
  <c r="E12" i="19" a="1"/>
  <c r="E12" i="19" s="1"/>
  <c r="E35" i="19" a="1"/>
  <c r="E35" i="19" s="1"/>
  <c r="E30" i="19" a="1"/>
  <c r="E30" i="19" s="1"/>
  <c r="E27" i="7" a="1"/>
  <c r="E27" i="7" s="1"/>
  <c r="E25" i="7" a="1"/>
  <c r="E25" i="7" s="1"/>
  <c r="E25" i="19" a="1"/>
  <c r="E25" i="19" s="1"/>
  <c r="E19" i="19" a="1"/>
  <c r="E19" i="19" s="1"/>
  <c r="E17" i="19" a="1"/>
  <c r="E17" i="19" s="1"/>
  <c r="E18" i="6" a="1"/>
  <c r="E18" i="6" s="1"/>
  <c r="E16" i="19" a="1"/>
  <c r="E16" i="19" s="1"/>
  <c r="E16" i="7" a="1"/>
  <c r="E16" i="7" s="1"/>
  <c r="E14" i="6" a="1"/>
  <c r="E14" i="6" s="1"/>
  <c r="E36" i="19" a="1"/>
  <c r="E36" i="19" s="1"/>
  <c r="E13" i="19" a="1"/>
  <c r="E13" i="19" s="1"/>
  <c r="E9" i="6" a="1"/>
  <c r="E9" i="6" s="1"/>
  <c r="E29" i="19" a="1"/>
  <c r="E29" i="19" s="1"/>
  <c r="E23" i="19" a="1"/>
  <c r="E23" i="19" s="1"/>
  <c r="E15" i="19" a="1"/>
  <c r="E15" i="19" s="1"/>
  <c r="AO22" i="24"/>
  <c r="AO24" i="24" s="1"/>
  <c r="AN22" i="24"/>
  <c r="AN24" i="24" s="1"/>
  <c r="AJ100" i="26"/>
  <c r="R14" i="21" s="1"/>
  <c r="O135" i="26"/>
  <c r="AH114" i="26"/>
  <c r="BC20" i="9" s="1"/>
  <c r="Q112" i="24"/>
  <c r="Q130" i="24" s="1"/>
  <c r="N45" i="9" s="1"/>
  <c r="J3" i="24"/>
  <c r="G44" i="7" s="1" a="1"/>
  <c r="G44" i="7" s="1"/>
  <c r="F39" i="5" a="1"/>
  <c r="F39" i="5" s="1"/>
  <c r="F34" i="5" a="1"/>
  <c r="F34" i="5" s="1"/>
  <c r="F29" i="5" a="1"/>
  <c r="F29" i="5" s="1"/>
  <c r="F28" i="5" a="1"/>
  <c r="F28" i="5" s="1"/>
  <c r="G42" i="5" a="1"/>
  <c r="G42" i="5" s="1"/>
  <c r="F42" i="5" a="1"/>
  <c r="F42" i="5" s="1"/>
  <c r="F35" i="5" a="1"/>
  <c r="F35" i="5" s="1"/>
  <c r="G44" i="5" a="1"/>
  <c r="G44" i="5" s="1"/>
  <c r="F43" i="5" a="1"/>
  <c r="F43" i="5" s="1"/>
  <c r="G39" i="5" a="1"/>
  <c r="G39" i="5" s="1"/>
  <c r="F37" i="5" a="1"/>
  <c r="F37" i="5" s="1"/>
  <c r="F44" i="5" a="1"/>
  <c r="F44" i="5" s="1"/>
  <c r="G35" i="5" a="1"/>
  <c r="G35" i="5" s="1"/>
  <c r="F25" i="5" a="1"/>
  <c r="F25" i="5" s="1"/>
  <c r="F36" i="5" a="1"/>
  <c r="F36" i="5" s="1"/>
  <c r="G29" i="5" a="1"/>
  <c r="G29" i="5" s="1"/>
  <c r="G37" i="5" a="1"/>
  <c r="G37" i="5" s="1"/>
  <c r="G34" i="5" a="1"/>
  <c r="G34" i="5" s="1"/>
  <c r="F31" i="5" a="1"/>
  <c r="F31" i="5" s="1"/>
  <c r="F30" i="5" a="1"/>
  <c r="F30" i="5" s="1"/>
  <c r="G25" i="5" a="1"/>
  <c r="G25" i="5" s="1"/>
  <c r="F22" i="5" a="1"/>
  <c r="F22" i="5" s="1"/>
  <c r="F43" i="7" a="1"/>
  <c r="F43" i="7" s="1"/>
  <c r="G37" i="7" a="1"/>
  <c r="G37" i="7" s="1"/>
  <c r="G9" i="5" a="1"/>
  <c r="G9" i="5" s="1"/>
  <c r="F37" i="7" a="1"/>
  <c r="F37" i="7" s="1"/>
  <c r="F30" i="7" a="1"/>
  <c r="F30" i="7" s="1"/>
  <c r="G43" i="5" a="1"/>
  <c r="G43" i="5" s="1"/>
  <c r="G23" i="5" a="1"/>
  <c r="G23" i="5" s="1"/>
  <c r="F21" i="5" a="1"/>
  <c r="F21" i="5" s="1"/>
  <c r="F12" i="5" a="1"/>
  <c r="F12" i="5" s="1"/>
  <c r="F44" i="7" a="1"/>
  <c r="F44" i="7" s="1"/>
  <c r="G42" i="7" a="1"/>
  <c r="G42" i="7" s="1"/>
  <c r="F36" i="7" a="1"/>
  <c r="F36" i="7" s="1"/>
  <c r="F34" i="7" a="1"/>
  <c r="F34" i="7" s="1"/>
  <c r="F24" i="5" a="1"/>
  <c r="F24" i="5" s="1"/>
  <c r="F13" i="5" a="1"/>
  <c r="F13" i="5" s="1"/>
  <c r="F42" i="7" a="1"/>
  <c r="F42" i="7" s="1"/>
  <c r="F23" i="5" a="1"/>
  <c r="F23" i="5" s="1"/>
  <c r="F38" i="7" a="1"/>
  <c r="F38" i="7" s="1"/>
  <c r="G32" i="7" a="1"/>
  <c r="G32" i="7" s="1"/>
  <c r="G31" i="7" a="1"/>
  <c r="G31" i="7" s="1"/>
  <c r="G29" i="7" a="1"/>
  <c r="G29" i="7" s="1"/>
  <c r="F18" i="7" a="1"/>
  <c r="F18" i="7" s="1"/>
  <c r="F33" i="7" a="1"/>
  <c r="F33" i="7" s="1"/>
  <c r="F31" i="7" a="1"/>
  <c r="F31" i="7" s="1"/>
  <c r="F29" i="7" a="1"/>
  <c r="F29" i="7" s="1"/>
  <c r="G21" i="7" a="1"/>
  <c r="G21" i="7" s="1"/>
  <c r="F10" i="7" a="1"/>
  <c r="F10" i="7" s="1"/>
  <c r="G10" i="5" a="1"/>
  <c r="G10" i="5" s="1"/>
  <c r="G35" i="7" a="1"/>
  <c r="G35" i="7" s="1"/>
  <c r="G34" i="7" a="1"/>
  <c r="G34" i="7" s="1"/>
  <c r="F32" i="7" a="1"/>
  <c r="F32" i="7" s="1"/>
  <c r="F21" i="7" a="1"/>
  <c r="F21" i="7" s="1"/>
  <c r="G11" i="7" a="1"/>
  <c r="G11" i="7" s="1"/>
  <c r="F17" i="5" a="1"/>
  <c r="F17" i="5" s="1"/>
  <c r="F10" i="5" a="1"/>
  <c r="F10" i="5" s="1"/>
  <c r="F35" i="7" a="1"/>
  <c r="F35" i="7" s="1"/>
  <c r="F28" i="7" a="1"/>
  <c r="F28" i="7" s="1"/>
  <c r="F22" i="7" a="1"/>
  <c r="F22" i="7" s="1"/>
  <c r="G15" i="7" a="1"/>
  <c r="G15" i="7" s="1"/>
  <c r="F11" i="7" a="1"/>
  <c r="F11" i="7" s="1"/>
  <c r="F10" i="6" a="1"/>
  <c r="F10" i="6" s="1"/>
  <c r="G39" i="7" a="1"/>
  <c r="G39" i="7" s="1"/>
  <c r="G17" i="7" a="1"/>
  <c r="G17" i="7" s="1"/>
  <c r="F9" i="5" a="1"/>
  <c r="F9" i="5" s="1"/>
  <c r="F39" i="7" a="1"/>
  <c r="F39" i="7" s="1"/>
  <c r="F17" i="7" a="1"/>
  <c r="F17" i="7" s="1"/>
  <c r="G27" i="6" a="1"/>
  <c r="G27" i="6" s="1"/>
  <c r="G25" i="6" a="1"/>
  <c r="G25" i="6" s="1"/>
  <c r="G23" i="6" a="1"/>
  <c r="G23" i="6" s="1"/>
  <c r="G9" i="6" a="1"/>
  <c r="G9" i="6" s="1"/>
  <c r="F27" i="6" a="1"/>
  <c r="F27" i="6" s="1"/>
  <c r="F25" i="6" a="1"/>
  <c r="F25" i="6" s="1"/>
  <c r="F23" i="6" a="1"/>
  <c r="F23" i="6" s="1"/>
  <c r="G18" i="6" a="1"/>
  <c r="G18" i="6" s="1"/>
  <c r="G15" i="6" a="1"/>
  <c r="G15" i="6" s="1"/>
  <c r="G14" i="6" a="1"/>
  <c r="G14" i="6" s="1"/>
  <c r="G37" i="19" a="1"/>
  <c r="G37" i="19" s="1"/>
  <c r="F26" i="7" a="1"/>
  <c r="F26" i="7" s="1"/>
  <c r="F15" i="6" a="1"/>
  <c r="F15" i="6" s="1"/>
  <c r="F13" i="6" a="1"/>
  <c r="F13" i="6" s="1"/>
  <c r="F37" i="19" a="1"/>
  <c r="F37" i="19" s="1"/>
  <c r="F14" i="19" a="1"/>
  <c r="F14" i="19" s="1"/>
  <c r="F12" i="19" a="1"/>
  <c r="F12" i="19" s="1"/>
  <c r="G11" i="5" a="1"/>
  <c r="G11" i="5" s="1"/>
  <c r="G19" i="6" a="1"/>
  <c r="G19" i="6" s="1"/>
  <c r="G35" i="19" a="1"/>
  <c r="G35" i="19" s="1"/>
  <c r="G30" i="19" a="1"/>
  <c r="G30" i="19" s="1"/>
  <c r="G26" i="6" a="1"/>
  <c r="G26" i="6" s="1"/>
  <c r="F19" i="6" a="1"/>
  <c r="F19" i="6" s="1"/>
  <c r="G10" i="6" a="1"/>
  <c r="G10" i="6" s="1"/>
  <c r="F35" i="19" a="1"/>
  <c r="F35" i="19" s="1"/>
  <c r="F30" i="19" a="1"/>
  <c r="F30" i="19" s="1"/>
  <c r="G29" i="19" a="1"/>
  <c r="G29" i="19" s="1"/>
  <c r="G25" i="19" a="1"/>
  <c r="G25" i="19" s="1"/>
  <c r="G23" i="19" a="1"/>
  <c r="G23" i="19" s="1"/>
  <c r="G16" i="19" a="1"/>
  <c r="G16" i="19" s="1"/>
  <c r="G27" i="7" a="1"/>
  <c r="G27" i="7" s="1"/>
  <c r="F25" i="7" a="1"/>
  <c r="F25" i="7" s="1"/>
  <c r="F14" i="6" a="1"/>
  <c r="F14" i="6" s="1"/>
  <c r="F9" i="6" a="1"/>
  <c r="F9" i="6" s="1"/>
  <c r="F11" i="5" a="1"/>
  <c r="F11" i="5" s="1"/>
  <c r="F26" i="6" a="1"/>
  <c r="F26" i="6" s="1"/>
  <c r="F22" i="6" a="1"/>
  <c r="F22" i="6" s="1"/>
  <c r="F29" i="19" a="1"/>
  <c r="F29" i="19" s="1"/>
  <c r="F25" i="19" a="1"/>
  <c r="F25" i="19" s="1"/>
  <c r="F23" i="19" a="1"/>
  <c r="F23" i="19" s="1"/>
  <c r="F19" i="19" a="1"/>
  <c r="F19" i="19" s="1"/>
  <c r="F15" i="19" a="1"/>
  <c r="F15" i="19" s="1"/>
  <c r="G13" i="19" a="1"/>
  <c r="G13" i="19" s="1"/>
  <c r="F16" i="7" a="1"/>
  <c r="F16" i="7" s="1"/>
  <c r="F18" i="6" a="1"/>
  <c r="F18" i="6" s="1"/>
  <c r="G36" i="19" a="1"/>
  <c r="G36" i="19" s="1"/>
  <c r="F16" i="19" a="1"/>
  <c r="F16" i="19" s="1"/>
  <c r="F9" i="7" a="1"/>
  <c r="F9" i="7" s="1"/>
  <c r="F20" i="19" a="1"/>
  <c r="F20" i="19" s="1"/>
  <c r="F36" i="19" a="1"/>
  <c r="F36" i="19" s="1"/>
  <c r="F13" i="19" a="1"/>
  <c r="F13" i="19" s="1"/>
  <c r="G24" i="6" a="1"/>
  <c r="G24" i="6" s="1"/>
  <c r="F24" i="6" a="1"/>
  <c r="F24" i="6" s="1"/>
  <c r="F26" i="19" a="1"/>
  <c r="F26" i="19" s="1"/>
  <c r="G18" i="19" a="1"/>
  <c r="G18" i="19" s="1"/>
  <c r="G14" i="19" a="1"/>
  <c r="G14" i="19" s="1"/>
  <c r="F31" i="19" a="1"/>
  <c r="F31" i="19" s="1"/>
  <c r="G9" i="7" a="1"/>
  <c r="G9" i="7" s="1"/>
  <c r="G32" i="19" a="1"/>
  <c r="G32" i="19" s="1"/>
  <c r="F24" i="19" a="1"/>
  <c r="F24" i="19" s="1"/>
  <c r="F18" i="19" a="1"/>
  <c r="F18" i="19" s="1"/>
  <c r="F17" i="19" a="1"/>
  <c r="F17" i="19" s="1"/>
  <c r="G20" i="19" a="1"/>
  <c r="G20" i="19" s="1"/>
  <c r="F27" i="7" a="1"/>
  <c r="F27" i="7" s="1"/>
  <c r="F32" i="19" a="1"/>
  <c r="F32" i="19" s="1"/>
  <c r="M74" i="26"/>
  <c r="M77" i="26" s="1"/>
  <c r="L134" i="24"/>
  <c r="I51" i="9" s="1"/>
  <c r="N74" i="26"/>
  <c r="N77" i="26" s="1"/>
  <c r="K112" i="24"/>
  <c r="AL58" i="26"/>
  <c r="BS35" i="19" s="1"/>
  <c r="H76" i="26"/>
  <c r="J135" i="26"/>
  <c r="M113" i="26"/>
  <c r="M131" i="26" s="1"/>
  <c r="P134" i="24"/>
  <c r="M51" i="9" s="1"/>
  <c r="O112" i="24"/>
  <c r="O130" i="24" s="1"/>
  <c r="O131" i="24" s="1"/>
  <c r="L46" i="9" s="1"/>
  <c r="O134" i="24"/>
  <c r="L51" i="9" s="1"/>
  <c r="O92" i="24"/>
  <c r="O94" i="24" s="1"/>
  <c r="L129" i="26"/>
  <c r="H130" i="26"/>
  <c r="P113" i="26"/>
  <c r="P131" i="26" s="1"/>
  <c r="AI69" i="26"/>
  <c r="BG9" i="5" s="1"/>
  <c r="AM69" i="26"/>
  <c r="AI76" i="26"/>
  <c r="BG17" i="5" s="1"/>
  <c r="AL69" i="26"/>
  <c r="BS9" i="5" s="1"/>
  <c r="AI9" i="26"/>
  <c r="BG18" i="6" s="1"/>
  <c r="AH110" i="26"/>
  <c r="BC15" i="9" s="1"/>
  <c r="AM109" i="26"/>
  <c r="AH59" i="26"/>
  <c r="BC36" i="19" s="1"/>
  <c r="AM60" i="26"/>
  <c r="AM9" i="26"/>
  <c r="AH32" i="26"/>
  <c r="BC30" i="7" s="1"/>
  <c r="G9" i="19" a="1"/>
  <c r="G9" i="19" s="1"/>
  <c r="F9" i="19" a="1"/>
  <c r="F9" i="19" s="1"/>
  <c r="E9" i="19" a="1"/>
  <c r="E9" i="19" s="1"/>
  <c r="AK60" i="26"/>
  <c r="BO37" i="19" s="1"/>
  <c r="AI60" i="26"/>
  <c r="BG37" i="19" s="1"/>
  <c r="AK71" i="26"/>
  <c r="BO11" i="5" s="1"/>
  <c r="AH9" i="26"/>
  <c r="BC18" i="6" s="1"/>
  <c r="AJ9" i="26"/>
  <c r="BK18" i="6" s="1"/>
  <c r="J39" i="26"/>
  <c r="J124" i="26" s="1"/>
  <c r="K39" i="26"/>
  <c r="K124" i="26" s="1"/>
  <c r="L75" i="26"/>
  <c r="K113" i="26"/>
  <c r="K131" i="26" s="1"/>
  <c r="AM22" i="24"/>
  <c r="AM24" i="24" s="1"/>
  <c r="AH36" i="26"/>
  <c r="BC34" i="7" s="1"/>
  <c r="L130" i="26"/>
  <c r="AH105" i="26"/>
  <c r="BC10" i="9" s="1"/>
  <c r="AK27" i="26"/>
  <c r="BO25" i="7" s="1"/>
  <c r="G135" i="26"/>
  <c r="L135" i="26"/>
  <c r="P135" i="26"/>
  <c r="M135" i="26"/>
  <c r="Q113" i="26"/>
  <c r="Q131" i="26" s="1"/>
  <c r="N129" i="24"/>
  <c r="K44" i="9" s="1"/>
  <c r="P74" i="24"/>
  <c r="AJ56" i="26"/>
  <c r="BK31" i="19" s="1"/>
  <c r="AK67" i="26"/>
  <c r="BO47" i="19" s="1"/>
  <c r="AL73" i="24"/>
  <c r="AL76" i="24" s="1"/>
  <c r="AL128" i="24" s="1"/>
  <c r="G113" i="26"/>
  <c r="G131" i="26" s="1"/>
  <c r="G74" i="26"/>
  <c r="H134" i="26" s="1"/>
  <c r="AL62" i="26"/>
  <c r="BS40" i="19" s="1"/>
  <c r="O44" i="24"/>
  <c r="AJ36" i="26"/>
  <c r="BK34" i="7" s="1"/>
  <c r="AM27" i="26"/>
  <c r="R74" i="26"/>
  <c r="R77" i="26" s="1"/>
  <c r="K134" i="24"/>
  <c r="H51" i="9" s="1"/>
  <c r="I135" i="26"/>
  <c r="N112" i="24"/>
  <c r="N130" i="24" s="1"/>
  <c r="K45" i="9" s="1"/>
  <c r="AL112" i="26"/>
  <c r="P18" i="24"/>
  <c r="AH104" i="26"/>
  <c r="BC9" i="9" s="1"/>
  <c r="AK11" i="26"/>
  <c r="BO22" i="6" s="1"/>
  <c r="AK56" i="26"/>
  <c r="BO31" i="19" s="1"/>
  <c r="AL67" i="26"/>
  <c r="BS47" i="19" s="1"/>
  <c r="I20" i="24"/>
  <c r="AI108" i="26"/>
  <c r="BG13" i="9" s="1"/>
  <c r="K129" i="26"/>
  <c r="K76" i="26"/>
  <c r="AK22" i="24"/>
  <c r="AK24" i="24" s="1"/>
  <c r="AI6" i="26"/>
  <c r="AJ6" i="26"/>
  <c r="BK13" i="6" s="1"/>
  <c r="AH74" i="26"/>
  <c r="BC14" i="5" s="1"/>
  <c r="AP22" i="24"/>
  <c r="AP24" i="24" s="1"/>
  <c r="AM82" i="26"/>
  <c r="AK82" i="26"/>
  <c r="BO25" i="5" s="1"/>
  <c r="AI14" i="26"/>
  <c r="BG25" i="6" s="1"/>
  <c r="AL14" i="26"/>
  <c r="BS25" i="6" s="1"/>
  <c r="G129" i="26"/>
  <c r="G76" i="26"/>
  <c r="O74" i="26"/>
  <c r="O77" i="26" s="1"/>
  <c r="O129" i="26"/>
  <c r="O75" i="26"/>
  <c r="Q74" i="26"/>
  <c r="Q77" i="26" s="1"/>
  <c r="Q129" i="26"/>
  <c r="O39" i="26"/>
  <c r="O124" i="26" s="1"/>
  <c r="Q39" i="26"/>
  <c r="Q124" i="26" s="1"/>
  <c r="M39" i="26"/>
  <c r="M124" i="26" s="1"/>
  <c r="J112" i="24"/>
  <c r="J130" i="24" s="1"/>
  <c r="G45" i="9" s="1"/>
  <c r="Q76" i="26"/>
  <c r="L39" i="26"/>
  <c r="L124" i="26" s="1"/>
  <c r="H113" i="26"/>
  <c r="R135" i="26"/>
  <c r="Q135" i="26"/>
  <c r="K135" i="26"/>
  <c r="N113" i="26"/>
  <c r="N135" i="26"/>
  <c r="L112" i="24"/>
  <c r="L130" i="24" s="1"/>
  <c r="I45" i="9" s="1"/>
  <c r="AL83" i="24"/>
  <c r="AL22" i="24"/>
  <c r="I129" i="26"/>
  <c r="I74" i="26"/>
  <c r="I75" i="26"/>
  <c r="Q51" i="9"/>
  <c r="R113" i="26"/>
  <c r="AI103" i="26"/>
  <c r="N19" i="21" s="1"/>
  <c r="AI127" i="26"/>
  <c r="BG39" i="9" s="1"/>
  <c r="P39" i="26"/>
  <c r="P124" i="26" s="1"/>
  <c r="R39" i="26"/>
  <c r="R124" i="26" s="1"/>
  <c r="I39" i="26"/>
  <c r="I124" i="26" s="1"/>
  <c r="N39" i="26"/>
  <c r="N124" i="26" s="1"/>
  <c r="P112" i="24"/>
  <c r="P130" i="24" s="1"/>
  <c r="M45" i="9" s="1"/>
  <c r="O113" i="26"/>
  <c r="I113" i="26"/>
  <c r="AM54" i="26"/>
  <c r="AI54" i="26"/>
  <c r="BG29" i="19" s="1"/>
  <c r="Q134" i="24"/>
  <c r="N51" i="9" s="1"/>
  <c r="J113" i="26"/>
  <c r="G75" i="26"/>
  <c r="AI83" i="24"/>
  <c r="AI22" i="24"/>
  <c r="AI24" i="24" s="1"/>
  <c r="AQ22" i="24"/>
  <c r="AQ24" i="24" s="1"/>
  <c r="AM105" i="26"/>
  <c r="AH46" i="26"/>
  <c r="BC17" i="19" s="1"/>
  <c r="AK36" i="26"/>
  <c r="BO34" i="7" s="1"/>
  <c r="AK123" i="26"/>
  <c r="BO35" i="9" s="1"/>
  <c r="AI50" i="26"/>
  <c r="BG23" i="19" s="1"/>
  <c r="AH20" i="26"/>
  <c r="BC14" i="7" s="1"/>
  <c r="AK30" i="26"/>
  <c r="BO28" i="7" s="1"/>
  <c r="AL36" i="26"/>
  <c r="BS34" i="7" s="1"/>
  <c r="AL76" i="26"/>
  <c r="BS17" i="5" s="1"/>
  <c r="AI38" i="26"/>
  <c r="BG43" i="7" s="1"/>
  <c r="AH129" i="26"/>
  <c r="BC43" i="9" s="1"/>
  <c r="AL125" i="26"/>
  <c r="AM107" i="26"/>
  <c r="AI20" i="26"/>
  <c r="BG14" i="7" s="1"/>
  <c r="AI30" i="26"/>
  <c r="BG28" i="7" s="1"/>
  <c r="AK64" i="26"/>
  <c r="BO42" i="19" s="1"/>
  <c r="AK113" i="26"/>
  <c r="BO18" i="9" s="1"/>
  <c r="AH30" i="26"/>
  <c r="BC28" i="7" s="1"/>
  <c r="AH31" i="26"/>
  <c r="BC29" i="7" s="1"/>
  <c r="AM14" i="26"/>
  <c r="AM38" i="26"/>
  <c r="AJ129" i="26"/>
  <c r="BK43" i="9" s="1"/>
  <c r="AI91" i="26"/>
  <c r="BG39" i="5" s="1"/>
  <c r="AJ22" i="24"/>
  <c r="AJ24" i="24" s="1"/>
  <c r="AH64" i="26"/>
  <c r="BC42" i="19" s="1"/>
  <c r="AL105" i="26"/>
  <c r="AM30" i="26"/>
  <c r="AL6" i="26"/>
  <c r="BS13" i="6" s="1"/>
  <c r="AH47" i="26"/>
  <c r="BC18" i="19" s="1"/>
  <c r="AL115" i="26"/>
  <c r="O74" i="24"/>
  <c r="AM46" i="26"/>
  <c r="AH100" i="26"/>
  <c r="J14" i="21" s="1"/>
  <c r="AI36" i="26"/>
  <c r="BG34" i="7" s="1"/>
  <c r="AL92" i="24"/>
  <c r="AL94" i="24" s="1"/>
  <c r="AM7" i="26"/>
  <c r="AL59" i="26"/>
  <c r="BS36" i="19" s="1"/>
  <c r="AM129" i="26"/>
  <c r="AK91" i="26"/>
  <c r="BO39" i="5" s="1"/>
  <c r="AK35" i="26"/>
  <c r="BO33" i="7" s="1"/>
  <c r="J73" i="24"/>
  <c r="AI96" i="26"/>
  <c r="N9" i="21" s="1"/>
  <c r="AL26" i="26"/>
  <c r="BS22" i="7" s="1"/>
  <c r="K73" i="24"/>
  <c r="K76" i="24" s="1"/>
  <c r="K128" i="24" s="1"/>
  <c r="Q18" i="24"/>
  <c r="AL38" i="26"/>
  <c r="BS43" i="7" s="1"/>
  <c r="AL19" i="26"/>
  <c r="BS11" i="7" s="1"/>
  <c r="AL72" i="26"/>
  <c r="BS12" i="5" s="1"/>
  <c r="AH113" i="26"/>
  <c r="BC18" i="9" s="1"/>
  <c r="AM123" i="26"/>
  <c r="AJ54" i="26"/>
  <c r="BK29" i="19" s="1"/>
  <c r="AR74" i="24"/>
  <c r="AL40" i="26"/>
  <c r="AL64" i="26"/>
  <c r="BS42" i="19" s="1"/>
  <c r="AK80" i="26"/>
  <c r="BO23" i="5" s="1"/>
  <c r="AJ40" i="26"/>
  <c r="AK96" i="26"/>
  <c r="V9" i="21" s="1"/>
  <c r="AM55" i="26"/>
  <c r="AL80" i="26"/>
  <c r="BS23" i="5" s="1"/>
  <c r="AH5" i="26"/>
  <c r="BC10" i="6" s="1"/>
  <c r="AK128" i="26"/>
  <c r="BO42" i="9" s="1"/>
  <c r="AI18" i="26"/>
  <c r="BG10" i="7" s="1"/>
  <c r="AJ96" i="26"/>
  <c r="R9" i="21" s="1"/>
  <c r="AI71" i="26"/>
  <c r="BG11" i="5" s="1"/>
  <c r="AI46" i="26"/>
  <c r="BG17" i="19" s="1"/>
  <c r="AM6" i="26"/>
  <c r="AM127" i="26"/>
  <c r="AL11" i="26"/>
  <c r="BS22" i="6" s="1"/>
  <c r="AM72" i="26"/>
  <c r="AL113" i="26"/>
  <c r="AL107" i="26"/>
  <c r="AI97" i="26"/>
  <c r="N10" i="21" s="1"/>
  <c r="AI70" i="26"/>
  <c r="BG10" i="5" s="1"/>
  <c r="Q94" i="24"/>
  <c r="Q125" i="24" s="1"/>
  <c r="N38" i="9" s="1"/>
  <c r="AK103" i="26"/>
  <c r="V19" i="21" s="1"/>
  <c r="J74" i="24"/>
  <c r="G16" i="5" s="1" a="1"/>
  <c r="G16" i="5" s="1"/>
  <c r="AM104" i="26"/>
  <c r="AH38" i="26"/>
  <c r="BC43" i="7" s="1"/>
  <c r="AL70" i="26"/>
  <c r="BS10" i="5" s="1"/>
  <c r="K74" i="24"/>
  <c r="AJ92" i="24"/>
  <c r="AJ94" i="24" s="1"/>
  <c r="AJ30" i="26"/>
  <c r="BK28" i="7" s="1"/>
  <c r="AJ128" i="26"/>
  <c r="BK42" i="9" s="1"/>
  <c r="AL71" i="26"/>
  <c r="BS11" i="5" s="1"/>
  <c r="AM80" i="26"/>
  <c r="AI11" i="26"/>
  <c r="BG22" i="6" s="1"/>
  <c r="AK129" i="26"/>
  <c r="BO43" i="9" s="1"/>
  <c r="AH72" i="26"/>
  <c r="BC12" i="5" s="1"/>
  <c r="AJ12" i="26"/>
  <c r="BK23" i="6" s="1"/>
  <c r="AH97" i="26"/>
  <c r="J10" i="21" s="1"/>
  <c r="AK107" i="26"/>
  <c r="BO12" i="9" s="1"/>
  <c r="AK73" i="26"/>
  <c r="BO13" i="5" s="1"/>
  <c r="Q73" i="24"/>
  <c r="Q76" i="24" s="1"/>
  <c r="Q128" i="24" s="1"/>
  <c r="AF121" i="24"/>
  <c r="AM26" i="26"/>
  <c r="AK26" i="26"/>
  <c r="BO22" i="7" s="1"/>
  <c r="AJ26" i="26"/>
  <c r="BK22" i="7" s="1"/>
  <c r="AH26" i="26"/>
  <c r="BC22" i="7" s="1"/>
  <c r="AL130" i="24"/>
  <c r="AL67" i="24"/>
  <c r="U48" i="19" s="1"/>
  <c r="AF20" i="24"/>
  <c r="AJ33" i="26"/>
  <c r="BK31" i="7" s="1"/>
  <c r="AM33" i="26"/>
  <c r="AL33" i="26"/>
  <c r="BS31" i="7" s="1"/>
  <c r="AK33" i="26"/>
  <c r="BO31" i="7" s="1"/>
  <c r="AI92" i="24"/>
  <c r="AI33" i="26"/>
  <c r="BG31" i="7" s="1"/>
  <c r="AM32" i="26"/>
  <c r="AI32" i="26"/>
  <c r="BG30" i="7" s="1"/>
  <c r="AL124" i="26"/>
  <c r="BG11" i="24"/>
  <c r="M18" i="24"/>
  <c r="P92" i="24"/>
  <c r="P94" i="24" s="1"/>
  <c r="P125" i="24" s="1"/>
  <c r="M38" i="9" s="1"/>
  <c r="AH16" i="26"/>
  <c r="BC27" i="6" s="1"/>
  <c r="AJ16" i="26"/>
  <c r="BK27" i="6" s="1"/>
  <c r="AL42" i="26"/>
  <c r="BS13" i="19" s="1"/>
  <c r="AH42" i="26"/>
  <c r="BC13" i="19" s="1"/>
  <c r="AK51" i="26"/>
  <c r="BO24" i="19" s="1"/>
  <c r="AH51" i="26"/>
  <c r="BC24" i="19" s="1"/>
  <c r="AJ51" i="26"/>
  <c r="BK24" i="19" s="1"/>
  <c r="AJ59" i="26"/>
  <c r="BK36" i="19" s="1"/>
  <c r="AI59" i="26"/>
  <c r="BG36" i="19" s="1"/>
  <c r="AM59" i="26"/>
  <c r="AH101" i="26"/>
  <c r="J15" i="21" s="1"/>
  <c r="AI101" i="26"/>
  <c r="N15" i="21" s="1"/>
  <c r="AM101" i="26"/>
  <c r="AL117" i="26"/>
  <c r="AM117" i="26"/>
  <c r="AH82" i="26"/>
  <c r="BC25" i="5" s="1"/>
  <c r="AJ82" i="26"/>
  <c r="BK25" i="5" s="1"/>
  <c r="AF39" i="24"/>
  <c r="AF123" i="24" s="1"/>
  <c r="O36" i="9" s="1"/>
  <c r="AK31" i="26"/>
  <c r="BO29" i="7" s="1"/>
  <c r="AI31" i="26"/>
  <c r="BG29" i="7" s="1"/>
  <c r="AM31" i="26"/>
  <c r="AL31" i="26"/>
  <c r="BS29" i="7" s="1"/>
  <c r="AN73" i="24"/>
  <c r="AN92" i="24"/>
  <c r="AK34" i="26"/>
  <c r="BO32" i="7" s="1"/>
  <c r="AM34" i="26"/>
  <c r="AL34" i="26"/>
  <c r="BS32" i="7" s="1"/>
  <c r="AM92" i="24"/>
  <c r="AM94" i="24" s="1"/>
  <c r="AM73" i="24"/>
  <c r="AM76" i="24" s="1"/>
  <c r="AM128" i="24" s="1"/>
  <c r="AK41" i="26"/>
  <c r="BO12" i="19" s="1"/>
  <c r="AI41" i="26"/>
  <c r="BG12" i="19" s="1"/>
  <c r="AL41" i="26"/>
  <c r="BS12" i="19" s="1"/>
  <c r="AM41" i="26"/>
  <c r="AM108" i="26"/>
  <c r="AL108" i="26"/>
  <c r="AM116" i="26"/>
  <c r="AK116" i="26"/>
  <c r="BO24" i="9" s="1"/>
  <c r="AI116" i="26"/>
  <c r="BG24" i="9" s="1"/>
  <c r="AH116" i="26"/>
  <c r="BC24" i="9" s="1"/>
  <c r="AJ24" i="26"/>
  <c r="BK18" i="7" s="1"/>
  <c r="AK24" i="26"/>
  <c r="BO18" i="7" s="1"/>
  <c r="D28" i="7"/>
  <c r="AJ108" i="26"/>
  <c r="BK13" i="9" s="1"/>
  <c r="AI73" i="24"/>
  <c r="AI76" i="24" s="1"/>
  <c r="AI128" i="24" s="1"/>
  <c r="AM17" i="26"/>
  <c r="AJ17" i="26"/>
  <c r="BK9" i="7" s="1"/>
  <c r="AL17" i="26"/>
  <c r="BS9" i="7" s="1"/>
  <c r="AI17" i="26"/>
  <c r="BG9" i="7" s="1"/>
  <c r="AK17" i="26"/>
  <c r="BO9" i="7" s="1"/>
  <c r="AH43" i="26"/>
  <c r="BC14" i="19" s="1"/>
  <c r="AJ43" i="26"/>
  <c r="BK14" i="19" s="1"/>
  <c r="AI43" i="26"/>
  <c r="BG14" i="19" s="1"/>
  <c r="AL52" i="26"/>
  <c r="BS25" i="19" s="1"/>
  <c r="AK52" i="26"/>
  <c r="BO25" i="19" s="1"/>
  <c r="AH77" i="26"/>
  <c r="BC18" i="5" s="1"/>
  <c r="AM94" i="26"/>
  <c r="AJ94" i="26"/>
  <c r="AM102" i="26"/>
  <c r="AK102" i="26"/>
  <c r="V18" i="21" s="1"/>
  <c r="AI118" i="26"/>
  <c r="AL118" i="26"/>
  <c r="AM118" i="26"/>
  <c r="L73" i="24"/>
  <c r="L92" i="24"/>
  <c r="N74" i="24"/>
  <c r="N73" i="24"/>
  <c r="N76" i="24" s="1"/>
  <c r="N128" i="24" s="1"/>
  <c r="AF18" i="24"/>
  <c r="AJ34" i="26"/>
  <c r="BK32" i="7" s="1"/>
  <c r="AI34" i="26"/>
  <c r="BG32" i="7" s="1"/>
  <c r="AL25" i="26"/>
  <c r="BS21" i="7" s="1"/>
  <c r="AJ25" i="26"/>
  <c r="BK21" i="7" s="1"/>
  <c r="AI130" i="24"/>
  <c r="AO67" i="24"/>
  <c r="AO124" i="24" s="1"/>
  <c r="AI92" i="26"/>
  <c r="BG42" i="5" s="1"/>
  <c r="AL92" i="26"/>
  <c r="BS42" i="5" s="1"/>
  <c r="AH92" i="26"/>
  <c r="BC42" i="5" s="1"/>
  <c r="AJ92" i="26"/>
  <c r="BK42" i="5" s="1"/>
  <c r="AM92" i="26"/>
  <c r="AK100" i="26"/>
  <c r="V14" i="21" s="1"/>
  <c r="AM24" i="26"/>
  <c r="AL24" i="26"/>
  <c r="BS18" i="7" s="1"/>
  <c r="AK10" i="26"/>
  <c r="BO19" i="6" s="1"/>
  <c r="AM10" i="26"/>
  <c r="AJ18" i="26"/>
  <c r="BK10" i="7" s="1"/>
  <c r="AM18" i="26"/>
  <c r="AJ44" i="26"/>
  <c r="BK15" i="19" s="1"/>
  <c r="AI44" i="26"/>
  <c r="BG15" i="19" s="1"/>
  <c r="AM44" i="26"/>
  <c r="AH44" i="26"/>
  <c r="BC15" i="19" s="1"/>
  <c r="AH53" i="26"/>
  <c r="BC26" i="19" s="1"/>
  <c r="AJ53" i="26"/>
  <c r="BK26" i="19" s="1"/>
  <c r="AK53" i="26"/>
  <c r="BO26" i="19" s="1"/>
  <c r="AM53" i="26"/>
  <c r="AK62" i="26"/>
  <c r="BO40" i="19" s="1"/>
  <c r="AH62" i="26"/>
  <c r="BC40" i="19" s="1"/>
  <c r="AI62" i="26"/>
  <c r="BG40" i="19" s="1"/>
  <c r="AK78" i="26"/>
  <c r="BO21" i="5" s="1"/>
  <c r="AH78" i="26"/>
  <c r="BC21" i="5" s="1"/>
  <c r="AM78" i="26"/>
  <c r="AH103" i="26"/>
  <c r="J19" i="21" s="1"/>
  <c r="AL103" i="26"/>
  <c r="Z19" i="21" s="1"/>
  <c r="AJ103" i="26"/>
  <c r="R19" i="21" s="1"/>
  <c r="AK119" i="26"/>
  <c r="BO29" i="9" s="1"/>
  <c r="AJ119" i="26"/>
  <c r="BK29" i="9" s="1"/>
  <c r="AI119" i="26"/>
  <c r="BG29" i="9" s="1"/>
  <c r="AM119" i="26"/>
  <c r="AH119" i="26"/>
  <c r="BC29" i="9" s="1"/>
  <c r="AL127" i="26"/>
  <c r="AJ127" i="26"/>
  <c r="BK39" i="9" s="1"/>
  <c r="AK40" i="26"/>
  <c r="AM40" i="26"/>
  <c r="AI40" i="26"/>
  <c r="BG9" i="19" s="1"/>
  <c r="I73" i="24"/>
  <c r="I74" i="24"/>
  <c r="F16" i="5" s="1" a="1"/>
  <c r="F16" i="5" s="1"/>
  <c r="AO121" i="24"/>
  <c r="AH112" i="26"/>
  <c r="BC17" i="9" s="1"/>
  <c r="AH79" i="26"/>
  <c r="BC22" i="5" s="1"/>
  <c r="D31" i="7"/>
  <c r="AM11" i="26"/>
  <c r="AJ22" i="26"/>
  <c r="BK16" i="7" s="1"/>
  <c r="AM45" i="26"/>
  <c r="AO130" i="24"/>
  <c r="L43" i="9"/>
  <c r="AL128" i="26"/>
  <c r="AL22" i="26"/>
  <c r="BS16" i="7" s="1"/>
  <c r="AI112" i="26"/>
  <c r="BG17" i="9" s="1"/>
  <c r="AM79" i="26"/>
  <c r="AI22" i="26"/>
  <c r="BG16" i="7" s="1"/>
  <c r="AM128" i="26"/>
  <c r="AM22" i="26"/>
  <c r="AJ112" i="26"/>
  <c r="BK17" i="9" s="1"/>
  <c r="AL79" i="26"/>
  <c r="BS22" i="5" s="1"/>
  <c r="N6" i="6"/>
  <c r="P6" i="6" s="1"/>
  <c r="U47" i="19"/>
  <c r="T12" i="9"/>
  <c r="S14" i="9"/>
  <c r="P37" i="9"/>
  <c r="Q45" i="9"/>
  <c r="T42" i="9"/>
  <c r="U12" i="9"/>
  <c r="V16" i="9"/>
  <c r="D33" i="7"/>
  <c r="AK38" i="26"/>
  <c r="BO43" i="7" s="1"/>
  <c r="V51" i="9"/>
  <c r="V13" i="9"/>
  <c r="AL56" i="26"/>
  <c r="BS31" i="19" s="1"/>
  <c r="AH98" i="26"/>
  <c r="J11" i="21" s="1"/>
  <c r="AL65" i="26"/>
  <c r="BS43" i="19" s="1"/>
  <c r="AH67" i="26"/>
  <c r="AH41" i="26"/>
  <c r="BC12" i="19" s="1"/>
  <c r="AK109" i="26"/>
  <c r="BO14" i="9" s="1"/>
  <c r="AL73" i="26"/>
  <c r="BS13" i="5" s="1"/>
  <c r="P48" i="19"/>
  <c r="S15" i="9"/>
  <c r="AK58" i="26"/>
  <c r="BO35" i="19" s="1"/>
  <c r="AK16" i="26"/>
  <c r="BO27" i="6" s="1"/>
  <c r="AK122" i="26"/>
  <c r="BO34" i="9" s="1"/>
  <c r="AH54" i="26"/>
  <c r="BC29" i="19" s="1"/>
  <c r="AI130" i="26"/>
  <c r="BG44" i="9" s="1"/>
  <c r="N43" i="19"/>
  <c r="AK47" i="26"/>
  <c r="BO18" i="19" s="1"/>
  <c r="K40" i="19"/>
  <c r="AM50" i="26"/>
  <c r="AL13" i="26"/>
  <c r="BS24" i="6" s="1"/>
  <c r="AK108" i="26"/>
  <c r="BO13" i="9" s="1"/>
  <c r="AI51" i="26"/>
  <c r="BG24" i="19" s="1"/>
  <c r="AJ50" i="26"/>
  <c r="BK23" i="19" s="1"/>
  <c r="AK5" i="26"/>
  <c r="BO10" i="6" s="1"/>
  <c r="AK104" i="26"/>
  <c r="BO9" i="9" s="1"/>
  <c r="AH73" i="26"/>
  <c r="BC13" i="5" s="1"/>
  <c r="J94" i="24"/>
  <c r="J125" i="24" s="1"/>
  <c r="G38" i="9" s="1"/>
  <c r="D29" i="7"/>
  <c r="V11" i="9"/>
  <c r="AL51" i="26"/>
  <c r="BS24" i="19" s="1"/>
  <c r="V44" i="9"/>
  <c r="P24" i="9"/>
  <c r="AK115" i="26"/>
  <c r="BO23" i="9" s="1"/>
  <c r="AL99" i="26"/>
  <c r="Z12" i="21" s="1"/>
  <c r="AL50" i="26"/>
  <c r="BS23" i="19" s="1"/>
  <c r="AI16" i="26"/>
  <c r="BG27" i="6" s="1"/>
  <c r="AJ116" i="26"/>
  <c r="BK24" i="9" s="1"/>
  <c r="AJ102" i="26"/>
  <c r="R18" i="21" s="1"/>
  <c r="AH93" i="26"/>
  <c r="BC43" i="5" s="1"/>
  <c r="AJ101" i="26"/>
  <c r="R15" i="21" s="1"/>
  <c r="AI67" i="26"/>
  <c r="BG47" i="19" s="1"/>
  <c r="AH25" i="26"/>
  <c r="BC21" i="7" s="1"/>
  <c r="O42" i="19"/>
  <c r="AH115" i="26"/>
  <c r="BC23" i="9" s="1"/>
  <c r="AM99" i="26"/>
  <c r="AM16" i="26"/>
  <c r="AJ118" i="26"/>
  <c r="AH117" i="26"/>
  <c r="BC25" i="9" s="1"/>
  <c r="AJ15" i="26"/>
  <c r="BK26" i="6" s="1"/>
  <c r="K20" i="24"/>
  <c r="K21" i="24" s="1"/>
  <c r="V12" i="9"/>
  <c r="AJ76" i="26"/>
  <c r="BK17" i="5" s="1"/>
  <c r="AM51" i="26"/>
  <c r="AJ42" i="26"/>
  <c r="BK13" i="19" s="1"/>
  <c r="AK49" i="26"/>
  <c r="BO20" i="19" s="1"/>
  <c r="AH6" i="26"/>
  <c r="BC13" i="6" s="1"/>
  <c r="N20" i="9"/>
  <c r="AJ115" i="26"/>
  <c r="BK23" i="9" s="1"/>
  <c r="AJ91" i="26"/>
  <c r="BK39" i="5" s="1"/>
  <c r="O13" i="9"/>
  <c r="AL9" i="26"/>
  <c r="BS18" i="6" s="1"/>
  <c r="AI42" i="26"/>
  <c r="BG13" i="19" s="1"/>
  <c r="AK69" i="26"/>
  <c r="BO9" i="5" s="1"/>
  <c r="AH76" i="26"/>
  <c r="BC17" i="5" s="1"/>
  <c r="AL15" i="26"/>
  <c r="BS26" i="6" s="1"/>
  <c r="AM42" i="26"/>
  <c r="D30" i="7"/>
  <c r="AK66" i="26"/>
  <c r="BO46" i="19" s="1"/>
  <c r="AH107" i="26"/>
  <c r="BC12" i="9" s="1"/>
  <c r="AL91" i="26"/>
  <c r="BS39" i="5" s="1"/>
  <c r="T47" i="19"/>
  <c r="AL126" i="26"/>
  <c r="J18" i="24"/>
  <c r="AH60" i="26"/>
  <c r="BC37" i="19" s="1"/>
  <c r="AI25" i="26"/>
  <c r="BG21" i="7" s="1"/>
  <c r="AL101" i="26"/>
  <c r="Z15" i="21" s="1"/>
  <c r="AM76" i="26"/>
  <c r="AI123" i="26"/>
  <c r="BG35" i="9" s="1"/>
  <c r="AJ99" i="26"/>
  <c r="R12" i="21" s="1"/>
  <c r="AL16" i="26"/>
  <c r="BS27" i="6" s="1"/>
  <c r="AJ117" i="26"/>
  <c r="BK25" i="9" s="1"/>
  <c r="AL109" i="26"/>
  <c r="AK99" i="26"/>
  <c r="V12" i="21" s="1"/>
  <c r="Q13" i="9"/>
  <c r="U24" i="9"/>
  <c r="AH19" i="26"/>
  <c r="BC11" i="7" s="1"/>
  <c r="AM19" i="26"/>
  <c r="AI19" i="26"/>
  <c r="BG11" i="7" s="1"/>
  <c r="AJ19" i="26"/>
  <c r="BK11" i="7" s="1"/>
  <c r="AL63" i="26"/>
  <c r="BS41" i="19" s="1"/>
  <c r="AH63" i="26"/>
  <c r="BC41" i="19" s="1"/>
  <c r="AL120" i="26"/>
  <c r="AM120" i="26"/>
  <c r="S17" i="9"/>
  <c r="S44" i="9"/>
  <c r="BG6" i="24"/>
  <c r="AH71" i="26"/>
  <c r="BC11" i="5" s="1"/>
  <c r="AJ11" i="26"/>
  <c r="BK22" i="6" s="1"/>
  <c r="AM73" i="26"/>
  <c r="AH37" i="26"/>
  <c r="BC42" i="7" s="1"/>
  <c r="AI65" i="26"/>
  <c r="BG43" i="19" s="1"/>
  <c r="AL5" i="26"/>
  <c r="BS10" i="6" s="1"/>
  <c r="D38" i="7"/>
  <c r="AI64" i="26"/>
  <c r="BG42" i="19" s="1"/>
  <c r="AK65" i="26"/>
  <c r="BO43" i="19" s="1"/>
  <c r="AH27" i="26"/>
  <c r="BC25" i="7" s="1"/>
  <c r="AJ27" i="26"/>
  <c r="BK25" i="7" s="1"/>
  <c r="Q16" i="9"/>
  <c r="AH7" i="26"/>
  <c r="M74" i="24"/>
  <c r="AH12" i="26"/>
  <c r="BC23" i="6" s="1"/>
  <c r="AL100" i="26"/>
  <c r="Z14" i="21" s="1"/>
  <c r="AJ122" i="26"/>
  <c r="BK34" i="9" s="1"/>
  <c r="AL131" i="26"/>
  <c r="AI107" i="26"/>
  <c r="BG12" i="9" s="1"/>
  <c r="D34" i="7"/>
  <c r="V29" i="9"/>
  <c r="AM100" i="26"/>
  <c r="AI72" i="26"/>
  <c r="BG12" i="5" s="1"/>
  <c r="AK6" i="26"/>
  <c r="BO13" i="6" s="1"/>
  <c r="AL98" i="26"/>
  <c r="Z11" i="21" s="1"/>
  <c r="AJ47" i="26"/>
  <c r="BK18" i="19" s="1"/>
  <c r="L18" i="24"/>
  <c r="AI99" i="26"/>
  <c r="N12" i="21" s="1"/>
  <c r="AM91" i="26"/>
  <c r="AJ41" i="26"/>
  <c r="BK12" i="19" s="1"/>
  <c r="U25" i="9"/>
  <c r="AM15" i="26"/>
  <c r="AJ73" i="26"/>
  <c r="BK13" i="5" s="1"/>
  <c r="AI15" i="26"/>
  <c r="BG26" i="6" s="1"/>
  <c r="AH75" i="26"/>
  <c r="BC16" i="5" s="1"/>
  <c r="AL37" i="26"/>
  <c r="BS42" i="7" s="1"/>
  <c r="AL35" i="26"/>
  <c r="BS33" i="7" s="1"/>
  <c r="AI131" i="26"/>
  <c r="BG45" i="9" s="1"/>
  <c r="AK20" i="26"/>
  <c r="BO14" i="7" s="1"/>
  <c r="AK21" i="26"/>
  <c r="BO15" i="7" s="1"/>
  <c r="V30" i="9"/>
  <c r="V14" i="9"/>
  <c r="R42" i="9"/>
  <c r="N42" i="9"/>
  <c r="N29" i="9"/>
  <c r="T51" i="9"/>
  <c r="V9" i="9"/>
  <c r="T42" i="19"/>
  <c r="R46" i="19"/>
  <c r="V18" i="9"/>
  <c r="H20" i="24"/>
  <c r="U18" i="9"/>
  <c r="U44" i="9"/>
  <c r="P46" i="19"/>
  <c r="P10" i="9"/>
  <c r="D31" i="5"/>
  <c r="N42" i="19"/>
  <c r="T18" i="9"/>
  <c r="V25" i="9"/>
  <c r="U20" i="9"/>
  <c r="AF73" i="24"/>
  <c r="I134" i="24"/>
  <c r="F51" i="9" s="1"/>
  <c r="P18" i="9"/>
  <c r="R15" i="9"/>
  <c r="T24" i="9"/>
  <c r="S43" i="19"/>
  <c r="T15" i="9"/>
  <c r="Q40" i="19"/>
  <c r="R11" i="9"/>
  <c r="U29" i="9"/>
  <c r="AG92" i="24"/>
  <c r="U23" i="9"/>
  <c r="Q24" i="9"/>
  <c r="K43" i="19"/>
  <c r="U17" i="9"/>
  <c r="S20" i="9"/>
  <c r="T41" i="19"/>
  <c r="R14" i="9"/>
  <c r="U30" i="9"/>
  <c r="N17" i="9"/>
  <c r="U16" i="9"/>
  <c r="R44" i="9"/>
  <c r="H73" i="24"/>
  <c r="H44" i="9"/>
  <c r="AH92" i="24"/>
  <c r="U14" i="9"/>
  <c r="V15" i="9"/>
  <c r="T13" i="9"/>
  <c r="T10" i="9"/>
  <c r="O24" i="9"/>
  <c r="T17" i="9"/>
  <c r="R30" i="9"/>
  <c r="U15" i="9"/>
  <c r="T9" i="9"/>
  <c r="U31" i="9"/>
  <c r="R23" i="9"/>
  <c r="T20" i="9"/>
  <c r="R48" i="19"/>
  <c r="U40" i="19"/>
  <c r="P13" i="9"/>
  <c r="R18" i="9"/>
  <c r="N10" i="9"/>
  <c r="T43" i="19"/>
  <c r="Q23" i="9"/>
  <c r="Q30" i="9"/>
  <c r="J46" i="19"/>
  <c r="R10" i="9"/>
  <c r="Q41" i="19"/>
  <c r="O9" i="9"/>
  <c r="K48" i="19"/>
  <c r="T11" i="9"/>
  <c r="Q29" i="9"/>
  <c r="D39" i="7"/>
  <c r="R9" i="9"/>
  <c r="U10" i="9"/>
  <c r="R29" i="9"/>
  <c r="S18" i="9"/>
  <c r="D32" i="7"/>
  <c r="V24" i="9"/>
  <c r="R31" i="9"/>
  <c r="O10" i="9"/>
  <c r="Q12" i="9"/>
  <c r="AJ98" i="26"/>
  <c r="R11" i="21" s="1"/>
  <c r="AK106" i="26"/>
  <c r="BO11" i="9" s="1"/>
  <c r="AL57" i="26"/>
  <c r="BS32" i="19" s="1"/>
  <c r="V20" i="9"/>
  <c r="T40" i="19"/>
  <c r="J42" i="9"/>
  <c r="H9" i="9"/>
  <c r="AI114" i="26"/>
  <c r="BG20" i="9" s="1"/>
  <c r="AM112" i="26"/>
  <c r="AJ71" i="26"/>
  <c r="BK11" i="5" s="1"/>
  <c r="V31" i="9"/>
  <c r="U11" i="9"/>
  <c r="S12" i="9"/>
  <c r="AH122" i="26"/>
  <c r="BC34" i="9" s="1"/>
  <c r="AH106" i="26"/>
  <c r="BC11" i="9" s="1"/>
  <c r="AK81" i="26"/>
  <c r="BO24" i="5" s="1"/>
  <c r="T30" i="9"/>
  <c r="D22" i="5"/>
  <c r="I10" i="9"/>
  <c r="AM65" i="26"/>
  <c r="AJ63" i="26"/>
  <c r="BK41" i="19" s="1"/>
  <c r="AH127" i="26"/>
  <c r="BC39" i="9" s="1"/>
  <c r="AH66" i="26"/>
  <c r="BC46" i="19" s="1"/>
  <c r="S25" i="9"/>
  <c r="U41" i="19"/>
  <c r="AH130" i="26"/>
  <c r="BC44" i="9" s="1"/>
  <c r="AJ114" i="26"/>
  <c r="BK20" i="9" s="1"/>
  <c r="T46" i="19"/>
  <c r="G20" i="9"/>
  <c r="I47" i="19"/>
  <c r="AL54" i="26"/>
  <c r="BS29" i="19" s="1"/>
  <c r="U13" i="9"/>
  <c r="R43" i="19"/>
  <c r="Q47" i="19"/>
  <c r="S24" i="9"/>
  <c r="O14" i="9"/>
  <c r="AH14" i="26"/>
  <c r="BC25" i="6" s="1"/>
  <c r="AI106" i="26"/>
  <c r="BG11" i="9" s="1"/>
  <c r="AJ106" i="26"/>
  <c r="BK11" i="9" s="1"/>
  <c r="AM122" i="26"/>
  <c r="AL122" i="26"/>
  <c r="AH57" i="26"/>
  <c r="BC32" i="19" s="1"/>
  <c r="D37" i="5"/>
  <c r="S41" i="19"/>
  <c r="AM130" i="26"/>
  <c r="Q46" i="19"/>
  <c r="I14" i="9"/>
  <c r="AK130" i="26"/>
  <c r="BO44" i="9" s="1"/>
  <c r="M92" i="24"/>
  <c r="M94" i="24" s="1"/>
  <c r="AL130" i="26"/>
  <c r="F11" i="21"/>
  <c r="AL106" i="26"/>
  <c r="AH28" i="26"/>
  <c r="BC26" i="7" s="1"/>
  <c r="AJ28" i="26"/>
  <c r="BK26" i="7" s="1"/>
  <c r="AM28" i="26"/>
  <c r="S45" i="9"/>
  <c r="V42" i="9"/>
  <c r="J23" i="9"/>
  <c r="D35" i="5"/>
  <c r="N31" i="9"/>
  <c r="H41" i="19"/>
  <c r="I16" i="9"/>
  <c r="J25" i="9"/>
  <c r="I17" i="9"/>
  <c r="M14" i="9"/>
  <c r="BG5" i="24"/>
  <c r="M47" i="19"/>
  <c r="H17" i="9"/>
  <c r="H25" i="9"/>
  <c r="K12" i="9"/>
  <c r="Q43" i="19"/>
  <c r="S16" i="9"/>
  <c r="T16" i="9"/>
  <c r="V23" i="9"/>
  <c r="P16" i="9"/>
  <c r="R17" i="9"/>
  <c r="S42" i="19"/>
  <c r="U43" i="19"/>
  <c r="S9" i="9"/>
  <c r="R12" i="9"/>
  <c r="Q10" i="9"/>
  <c r="T29" i="9"/>
  <c r="S40" i="19"/>
  <c r="L42" i="9"/>
  <c r="M41" i="19"/>
  <c r="R16" i="9"/>
  <c r="V10" i="9"/>
  <c r="E51" i="9"/>
  <c r="L40" i="19"/>
  <c r="E25" i="9"/>
  <c r="M31" i="9"/>
  <c r="P47" i="19"/>
  <c r="O41" i="19"/>
  <c r="AJ10" i="26"/>
  <c r="BK19" i="6" s="1"/>
  <c r="AI10" i="26"/>
  <c r="BG19" i="6" s="1"/>
  <c r="AH94" i="26"/>
  <c r="BC44" i="5" s="1"/>
  <c r="AL94" i="26"/>
  <c r="BS44" i="5" s="1"/>
  <c r="AM110" i="26"/>
  <c r="AJ110" i="26"/>
  <c r="BK15" i="9" s="1"/>
  <c r="AK118" i="26"/>
  <c r="AH118" i="26"/>
  <c r="I40" i="19"/>
  <c r="AK28" i="26"/>
  <c r="BO26" i="7" s="1"/>
  <c r="AL78" i="26"/>
  <c r="BS21" i="5" s="1"/>
  <c r="AI78" i="26"/>
  <c r="BG21" i="5" s="1"/>
  <c r="AM111" i="26"/>
  <c r="AK111" i="26"/>
  <c r="BO16" i="9" s="1"/>
  <c r="AL55" i="26"/>
  <c r="BS30" i="19" s="1"/>
  <c r="AI55" i="26"/>
  <c r="BG30" i="19" s="1"/>
  <c r="D36" i="5"/>
  <c r="K31" i="9"/>
  <c r="I23" i="9"/>
  <c r="O12" i="9"/>
  <c r="H42" i="9"/>
  <c r="J15" i="9"/>
  <c r="K13" i="9"/>
  <c r="AI28" i="26"/>
  <c r="BG26" i="7" s="1"/>
  <c r="Q20" i="9"/>
  <c r="S30" i="9"/>
  <c r="U42" i="9"/>
  <c r="D35" i="7"/>
  <c r="R24" i="9"/>
  <c r="S42" i="9"/>
  <c r="T44" i="9"/>
  <c r="S10" i="9"/>
  <c r="U9" i="9"/>
  <c r="V17" i="9"/>
  <c r="Q9" i="9"/>
  <c r="AL110" i="26"/>
  <c r="J43" i="9"/>
  <c r="D43" i="5"/>
  <c r="G30" i="9"/>
  <c r="H11" i="9"/>
  <c r="Q42" i="19"/>
  <c r="AK94" i="26"/>
  <c r="AM49" i="26"/>
  <c r="AI49" i="26"/>
  <c r="BG20" i="19" s="1"/>
  <c r="AJ49" i="26"/>
  <c r="BK20" i="19" s="1"/>
  <c r="AM57" i="26"/>
  <c r="AJ57" i="26"/>
  <c r="BK32" i="19" s="1"/>
  <c r="AJ81" i="26"/>
  <c r="BK24" i="5" s="1"/>
  <c r="AH81" i="26"/>
  <c r="BC24" i="5" s="1"/>
  <c r="AI81" i="26"/>
  <c r="BG24" i="5" s="1"/>
  <c r="AL114" i="26"/>
  <c r="AM114" i="26"/>
  <c r="AL121" i="24"/>
  <c r="V34" i="9" s="1"/>
  <c r="AH35" i="26"/>
  <c r="BC33" i="7" s="1"/>
  <c r="AI27" i="26"/>
  <c r="BG25" i="7" s="1"/>
  <c r="AM29" i="26"/>
  <c r="AM21" i="26"/>
  <c r="AK25" i="26"/>
  <c r="BO21" i="7" s="1"/>
  <c r="AI21" i="26"/>
  <c r="BG15" i="7" s="1"/>
  <c r="AJ29" i="26"/>
  <c r="BK27" i="7" s="1"/>
  <c r="AM25" i="26"/>
  <c r="AI115" i="26"/>
  <c r="BG23" i="9" s="1"/>
  <c r="AL20" i="26"/>
  <c r="BS14" i="7" s="1"/>
  <c r="AK29" i="26"/>
  <c r="BO27" i="7" s="1"/>
  <c r="T48" i="19"/>
  <c r="L20" i="9"/>
  <c r="J41" i="19"/>
  <c r="I12" i="9"/>
  <c r="D11" i="5"/>
  <c r="F40" i="19"/>
  <c r="O45" i="9"/>
  <c r="L46" i="19"/>
  <c r="J9" i="9"/>
  <c r="I9" i="9"/>
  <c r="D13" i="5"/>
  <c r="K42" i="19"/>
  <c r="S23" i="9"/>
  <c r="L9" i="9"/>
  <c r="K25" i="9"/>
  <c r="P30" i="9"/>
  <c r="R13" i="9"/>
  <c r="U42" i="19"/>
  <c r="T14" i="9"/>
  <c r="S46" i="19"/>
  <c r="O42" i="9"/>
  <c r="H14" i="9"/>
  <c r="M30" i="9"/>
  <c r="H13" i="9"/>
  <c r="D24" i="5"/>
  <c r="N44" i="9"/>
  <c r="M9" i="9"/>
  <c r="H15" i="9"/>
  <c r="F14" i="9"/>
  <c r="I44" i="9"/>
  <c r="P17" i="9"/>
  <c r="P29" i="9"/>
  <c r="L13" i="9"/>
  <c r="H16" i="9"/>
  <c r="M44" i="9"/>
  <c r="E17" i="9"/>
  <c r="I43" i="19"/>
  <c r="L31" i="9"/>
  <c r="M43" i="19"/>
  <c r="N16" i="9"/>
  <c r="P20" i="9"/>
  <c r="K16" i="9"/>
  <c r="N13" i="9"/>
  <c r="N46" i="19"/>
  <c r="M10" i="9"/>
  <c r="K47" i="19"/>
  <c r="R40" i="19"/>
  <c r="L10" i="9"/>
  <c r="L12" i="9"/>
  <c r="D36" i="7"/>
  <c r="P14" i="9"/>
  <c r="N25" i="9"/>
  <c r="AJ124" i="24"/>
  <c r="S48" i="19"/>
  <c r="AN123" i="24"/>
  <c r="P21" i="24"/>
  <c r="O123" i="24"/>
  <c r="L36" i="9" s="1"/>
  <c r="D49" i="9"/>
  <c r="M48" i="19"/>
  <c r="O30" i="9"/>
  <c r="P25" i="9"/>
  <c r="M11" i="9"/>
  <c r="O17" i="9"/>
  <c r="Q44" i="9"/>
  <c r="S13" i="9"/>
  <c r="L17" i="9"/>
  <c r="D25" i="5"/>
  <c r="AL10" i="26"/>
  <c r="BS19" i="6" s="1"/>
  <c r="AK54" i="26"/>
  <c r="BO29" i="19" s="1"/>
  <c r="AI117" i="26"/>
  <c r="BG25" i="9" s="1"/>
  <c r="AH49" i="26"/>
  <c r="BC20" i="19" s="1"/>
  <c r="AM63" i="26"/>
  <c r="AJ21" i="26"/>
  <c r="BK15" i="7" s="1"/>
  <c r="AL53" i="26"/>
  <c r="BS26" i="19" s="1"/>
  <c r="N14" i="9"/>
  <c r="Q17" i="9"/>
  <c r="N23" i="9"/>
  <c r="F47" i="19"/>
  <c r="K17" i="9"/>
  <c r="N30" i="9"/>
  <c r="L23" i="9"/>
  <c r="Q42" i="9"/>
  <c r="K29" i="9"/>
  <c r="N12" i="9"/>
  <c r="T31" i="9"/>
  <c r="D50" i="9"/>
  <c r="T23" i="9"/>
  <c r="AK117" i="26"/>
  <c r="BO25" i="9" s="1"/>
  <c r="AM62" i="26"/>
  <c r="AJ121" i="26"/>
  <c r="BK31" i="9" s="1"/>
  <c r="AK44" i="26"/>
  <c r="BO15" i="19" s="1"/>
  <c r="AI111" i="26"/>
  <c r="BG16" i="9" s="1"/>
  <c r="AK101" i="26"/>
  <c r="V15" i="21" s="1"/>
  <c r="AJ45" i="26"/>
  <c r="BK16" i="19" s="1"/>
  <c r="AI120" i="26"/>
  <c r="BG30" i="9" s="1"/>
  <c r="AK120" i="26"/>
  <c r="BO30" i="9" s="1"/>
  <c r="D21" i="5"/>
  <c r="I20" i="9"/>
  <c r="M24" i="9"/>
  <c r="L47" i="19"/>
  <c r="Q15" i="9"/>
  <c r="P42" i="9"/>
  <c r="I42" i="9"/>
  <c r="AI82" i="26"/>
  <c r="BG25" i="5" s="1"/>
  <c r="AI110" i="26"/>
  <c r="BG15" i="9" s="1"/>
  <c r="AI79" i="26"/>
  <c r="BG22" i="5" s="1"/>
  <c r="AH111" i="26"/>
  <c r="BC16" i="9" s="1"/>
  <c r="AH65" i="26"/>
  <c r="BC43" i="19" s="1"/>
  <c r="M21" i="24"/>
  <c r="M15" i="9"/>
  <c r="P42" i="19"/>
  <c r="AH17" i="26"/>
  <c r="BC9" i="7" s="1"/>
  <c r="F10" i="21"/>
  <c r="AL66" i="26"/>
  <c r="BS46" i="19" s="1"/>
  <c r="AH24" i="26"/>
  <c r="BC18" i="7" s="1"/>
  <c r="V45" i="9"/>
  <c r="T25" i="9"/>
  <c r="L25" i="9"/>
  <c r="M29" i="9"/>
  <c r="N47" i="19"/>
  <c r="J29" i="9"/>
  <c r="AL121" i="26"/>
  <c r="N48" i="19"/>
  <c r="M12" i="9"/>
  <c r="S31" i="9"/>
  <c r="D34" i="5"/>
  <c r="D43" i="7"/>
  <c r="AM81" i="26"/>
  <c r="E20" i="9"/>
  <c r="AI121" i="26"/>
  <c r="BG31" i="9" s="1"/>
  <c r="AM67" i="26"/>
  <c r="BG10" i="24"/>
  <c r="AJ97" i="26"/>
  <c r="R10" i="21" s="1"/>
  <c r="AI124" i="24"/>
  <c r="R37" i="9" s="1"/>
  <c r="M46" i="19"/>
  <c r="I13" i="9"/>
  <c r="L43" i="19"/>
  <c r="AI123" i="24"/>
  <c r="K41" i="19"/>
  <c r="J20" i="9"/>
  <c r="AK105" i="26"/>
  <c r="BO10" i="9" s="1"/>
  <c r="AH128" i="26"/>
  <c r="AH132" i="26" s="1"/>
  <c r="BC46" i="9" s="1"/>
  <c r="AK97" i="26"/>
  <c r="V10" i="21" s="1"/>
  <c r="AI24" i="26"/>
  <c r="BG18" i="7" s="1"/>
  <c r="L14" i="9"/>
  <c r="M23" i="9"/>
  <c r="I42" i="19"/>
  <c r="AL97" i="26"/>
  <c r="Z10" i="21" s="1"/>
  <c r="BO28" i="5"/>
  <c r="BO31" i="5"/>
  <c r="BK29" i="5"/>
  <c r="BC32" i="7"/>
  <c r="BG49" i="9"/>
  <c r="BK33" i="7"/>
  <c r="BK51" i="9"/>
  <c r="BK28" i="5"/>
  <c r="BG50" i="9"/>
  <c r="BS28" i="5"/>
  <c r="BK44" i="9"/>
  <c r="BG42" i="9"/>
  <c r="BK50" i="9"/>
  <c r="BG28" i="5"/>
  <c r="BC30" i="5"/>
  <c r="BG44" i="5"/>
  <c r="BO30" i="7"/>
  <c r="BG31" i="5"/>
  <c r="BC51" i="9"/>
  <c r="K94" i="24"/>
  <c r="BS10" i="7"/>
  <c r="N94" i="24"/>
  <c r="BG22" i="7"/>
  <c r="Q11" i="9"/>
  <c r="D28" i="5"/>
  <c r="L11" i="9"/>
  <c r="O48" i="19"/>
  <c r="L15" i="9"/>
  <c r="N9" i="9"/>
  <c r="Q25" i="9"/>
  <c r="D30" i="5"/>
  <c r="L48" i="19"/>
  <c r="P31" i="9"/>
  <c r="S29" i="9"/>
  <c r="E42" i="9"/>
  <c r="BS49" i="9"/>
  <c r="I94" i="24"/>
  <c r="F45" i="5" s="1" a="1"/>
  <c r="F45" i="5" s="1"/>
  <c r="BO36" i="19"/>
  <c r="G24" i="9"/>
  <c r="BG31" i="19"/>
  <c r="BS15" i="19"/>
  <c r="BS25" i="5"/>
  <c r="BC31" i="7"/>
  <c r="BO17" i="19"/>
  <c r="BS28" i="7"/>
  <c r="BK29" i="7"/>
  <c r="BC9" i="19"/>
  <c r="H92" i="24"/>
  <c r="H112" i="24"/>
  <c r="E18" i="9" s="1"/>
  <c r="BG26" i="19"/>
  <c r="BS24" i="9"/>
  <c r="L16" i="9"/>
  <c r="O31" i="9"/>
  <c r="D37" i="7"/>
  <c r="I24" i="9"/>
  <c r="J30" i="9"/>
  <c r="J17" i="9"/>
  <c r="J42" i="19"/>
  <c r="D42" i="5"/>
  <c r="D10" i="21"/>
  <c r="D23" i="5"/>
  <c r="K10" i="9"/>
  <c r="AJ66" i="26"/>
  <c r="BK46" i="19" s="1"/>
  <c r="BG4" i="24"/>
  <c r="D27" i="6"/>
  <c r="AK23" i="26"/>
  <c r="BO17" i="7" s="1"/>
  <c r="AJ5" i="26"/>
  <c r="BK10" i="6" s="1"/>
  <c r="AM5" i="26"/>
  <c r="O40" i="19"/>
  <c r="H30" i="9"/>
  <c r="H23" i="9"/>
  <c r="K14" i="9"/>
  <c r="U46" i="19"/>
  <c r="D52" i="9"/>
  <c r="K11" i="9"/>
  <c r="O16" i="9"/>
  <c r="S11" i="9"/>
  <c r="P43" i="19"/>
  <c r="N15" i="9"/>
  <c r="M13" i="9"/>
  <c r="H46" i="19"/>
  <c r="J24" i="9"/>
  <c r="K42" i="9"/>
  <c r="H29" i="9"/>
  <c r="G12" i="9"/>
  <c r="D11" i="21"/>
  <c r="G9" i="21"/>
  <c r="D10" i="7"/>
  <c r="AK14" i="26"/>
  <c r="BO25" i="6" s="1"/>
  <c r="AJ14" i="26"/>
  <c r="BK25" i="6" s="1"/>
  <c r="AI102" i="26"/>
  <c r="N18" i="21" s="1"/>
  <c r="AL102" i="26"/>
  <c r="Z18" i="21" s="1"/>
  <c r="AH102" i="26"/>
  <c r="J18" i="21" s="1"/>
  <c r="K23" i="9"/>
  <c r="P11" i="9"/>
  <c r="Q48" i="19"/>
  <c r="K24" i="9"/>
  <c r="O43" i="19"/>
  <c r="O15" i="9"/>
  <c r="H12" i="9"/>
  <c r="M16" i="9"/>
  <c r="L24" i="9"/>
  <c r="K20" i="9"/>
  <c r="O20" i="9"/>
  <c r="N41" i="19"/>
  <c r="Q31" i="9"/>
  <c r="K30" i="9"/>
  <c r="P23" i="9"/>
  <c r="S47" i="19"/>
  <c r="H24" i="9"/>
  <c r="J12" i="9"/>
  <c r="F11" i="9"/>
  <c r="L29" i="9"/>
  <c r="H47" i="19"/>
  <c r="E14" i="9"/>
  <c r="D14" i="9"/>
  <c r="AH18" i="26"/>
  <c r="BC10" i="7" s="1"/>
  <c r="AJ7" i="26"/>
  <c r="AL7" i="26"/>
  <c r="BS14" i="6" s="1"/>
  <c r="AI7" i="26"/>
  <c r="BG14" i="6" s="1"/>
  <c r="AM56" i="26"/>
  <c r="AH56" i="26"/>
  <c r="BC31" i="19" s="1"/>
  <c r="AJ80" i="26"/>
  <c r="BK23" i="5" s="1"/>
  <c r="AH80" i="26"/>
  <c r="BC23" i="5" s="1"/>
  <c r="AJ32" i="26"/>
  <c r="BK30" i="7" s="1"/>
  <c r="AL32" i="26"/>
  <c r="BS30" i="7" s="1"/>
  <c r="E12" i="9"/>
  <c r="H31" i="9"/>
  <c r="H40" i="19"/>
  <c r="G10" i="21"/>
  <c r="G43" i="19"/>
  <c r="E9" i="21"/>
  <c r="D42" i="7"/>
  <c r="G41" i="19"/>
  <c r="I46" i="19"/>
  <c r="O29" i="9"/>
  <c r="G42" i="19"/>
  <c r="J13" i="9"/>
  <c r="D9" i="6"/>
  <c r="D18" i="19"/>
  <c r="J47" i="19"/>
  <c r="I31" i="9"/>
  <c r="G11" i="9"/>
  <c r="D17" i="5"/>
  <c r="H20" i="9"/>
  <c r="P44" i="9"/>
  <c r="F17" i="9"/>
  <c r="F13" i="9"/>
  <c r="J43" i="19"/>
  <c r="F16" i="9"/>
  <c r="D9" i="19"/>
  <c r="I29" i="9"/>
  <c r="K15" i="9"/>
  <c r="O18" i="9"/>
  <c r="R20" i="9"/>
  <c r="R47" i="19"/>
  <c r="P40" i="19"/>
  <c r="O11" i="9"/>
  <c r="M40" i="19"/>
  <c r="P12" i="9"/>
  <c r="O25" i="9"/>
  <c r="K9" i="9"/>
  <c r="AL23" i="26"/>
  <c r="BS17" i="7" s="1"/>
  <c r="AM23" i="26"/>
  <c r="AJ23" i="26"/>
  <c r="BK17" i="7" s="1"/>
  <c r="R25" i="9"/>
  <c r="AJ58" i="26"/>
  <c r="BK35" i="19" s="1"/>
  <c r="AM58" i="26"/>
  <c r="AI58" i="26"/>
  <c r="BG35" i="19" s="1"/>
  <c r="D51" i="9"/>
  <c r="M17" i="9"/>
  <c r="O47" i="19"/>
  <c r="Q14" i="9"/>
  <c r="R42" i="19"/>
  <c r="L30" i="9"/>
  <c r="N11" i="9"/>
  <c r="O23" i="9"/>
  <c r="P41" i="19"/>
  <c r="L41" i="19"/>
  <c r="G11" i="21"/>
  <c r="M42" i="9"/>
  <c r="J31" i="9"/>
  <c r="J14" i="9"/>
  <c r="G10" i="9"/>
  <c r="AK18" i="26"/>
  <c r="BO10" i="7" s="1"/>
  <c r="J16" i="9"/>
  <c r="G23" i="9"/>
  <c r="AI66" i="26"/>
  <c r="BG46" i="19" s="1"/>
  <c r="AH50" i="26"/>
  <c r="BC23" i="19" s="1"/>
  <c r="AL96" i="26"/>
  <c r="Z9" i="21" s="1"/>
  <c r="AH123" i="26"/>
  <c r="BC35" i="9" s="1"/>
  <c r="AJ123" i="26"/>
  <c r="BK35" i="9" s="1"/>
  <c r="I30" i="9"/>
  <c r="I25" i="9"/>
  <c r="N40" i="19"/>
  <c r="Q18" i="9"/>
  <c r="R41" i="19"/>
  <c r="P15" i="9"/>
  <c r="M25" i="9"/>
  <c r="P9" i="9"/>
  <c r="M20" i="9"/>
  <c r="F43" i="19"/>
  <c r="Q74" i="24"/>
  <c r="D10" i="5"/>
  <c r="L42" i="19"/>
  <c r="D18" i="5"/>
  <c r="O44" i="9"/>
  <c r="AK42" i="26"/>
  <c r="BO13" i="19" s="1"/>
  <c r="AH23" i="26"/>
  <c r="BC17" i="7" s="1"/>
  <c r="AH45" i="26"/>
  <c r="BC16" i="19" s="1"/>
  <c r="AL45" i="26"/>
  <c r="BS16" i="19" s="1"/>
  <c r="P45" i="9"/>
  <c r="AM35" i="26"/>
  <c r="AK15" i="26"/>
  <c r="BO26" i="6" s="1"/>
  <c r="AJ111" i="26"/>
  <c r="BK16" i="9" s="1"/>
  <c r="AH29" i="26"/>
  <c r="BC27" i="7" s="1"/>
  <c r="AL90" i="26"/>
  <c r="BS31" i="5" s="1"/>
  <c r="AI35" i="26"/>
  <c r="BG33" i="7" s="1"/>
  <c r="AH22" i="26"/>
  <c r="BC16" i="7" s="1"/>
  <c r="AI105" i="26"/>
  <c r="BG10" i="9" s="1"/>
  <c r="AI29" i="26"/>
  <c r="BG27" i="7" s="1"/>
  <c r="I123" i="24"/>
  <c r="F36" i="9" s="1"/>
  <c r="Q123" i="24"/>
  <c r="N36" i="9" s="1"/>
  <c r="AK123" i="24"/>
  <c r="T45" i="9"/>
  <c r="M124" i="24"/>
  <c r="J37" i="9" s="1"/>
  <c r="J48" i="19"/>
  <c r="L21" i="24"/>
  <c r="P123" i="24"/>
  <c r="M36" i="9" s="1"/>
  <c r="F18" i="21"/>
  <c r="F30" i="9"/>
  <c r="D44" i="5"/>
  <c r="D27" i="7"/>
  <c r="AK98" i="26"/>
  <c r="V11" i="21" s="1"/>
  <c r="E9" i="9"/>
  <c r="G46" i="19"/>
  <c r="D25" i="7"/>
  <c r="F46" i="19"/>
  <c r="D14" i="7"/>
  <c r="G14" i="9"/>
  <c r="D19" i="6"/>
  <c r="D17" i="9"/>
  <c r="D17" i="7"/>
  <c r="F12" i="9"/>
  <c r="G42" i="9"/>
  <c r="E15" i="21"/>
  <c r="AK57" i="26"/>
  <c r="BO32" i="19" s="1"/>
  <c r="D22" i="6"/>
  <c r="AI63" i="26"/>
  <c r="BG41" i="19" s="1"/>
  <c r="N20" i="24"/>
  <c r="AH120" i="26"/>
  <c r="BC30" i="9" s="1"/>
  <c r="D12" i="19"/>
  <c r="AJ70" i="26"/>
  <c r="BK10" i="5" s="1"/>
  <c r="AK63" i="26"/>
  <c r="BO41" i="19" s="1"/>
  <c r="AJ104" i="26"/>
  <c r="BK9" i="9" s="1"/>
  <c r="AM98" i="26"/>
  <c r="E10" i="9"/>
  <c r="G12" i="21"/>
  <c r="G31" i="9"/>
  <c r="AJ69" i="26"/>
  <c r="BK9" i="5" s="1"/>
  <c r="AI109" i="26"/>
  <c r="BG14" i="9" s="1"/>
  <c r="AK45" i="26"/>
  <c r="BO16" i="19" s="1"/>
  <c r="O20" i="24"/>
  <c r="AJ64" i="26"/>
  <c r="BK42" i="19" s="1"/>
  <c r="G40" i="19"/>
  <c r="AJ109" i="26"/>
  <c r="BK14" i="9" s="1"/>
  <c r="AH70" i="26"/>
  <c r="BC10" i="5" s="1"/>
  <c r="AL104" i="26"/>
  <c r="AJ120" i="26"/>
  <c r="BK30" i="9" s="1"/>
  <c r="Q36" i="9"/>
  <c r="AM12" i="26"/>
  <c r="AL12" i="26"/>
  <c r="BS23" i="6" s="1"/>
  <c r="AL46" i="26"/>
  <c r="BS17" i="19" s="1"/>
  <c r="AJ46" i="26"/>
  <c r="BK17" i="19" s="1"/>
  <c r="K46" i="19"/>
  <c r="F24" i="9"/>
  <c r="R35" i="9"/>
  <c r="AJ13" i="26"/>
  <c r="BK24" i="6" s="1"/>
  <c r="AK13" i="26"/>
  <c r="BO24" i="6" s="1"/>
  <c r="AH13" i="26"/>
  <c r="BC24" i="6" s="1"/>
  <c r="AM13" i="26"/>
  <c r="AI47" i="26"/>
  <c r="BG18" i="19" s="1"/>
  <c r="AL47" i="26"/>
  <c r="BS18" i="19" s="1"/>
  <c r="F41" i="19"/>
  <c r="AL43" i="26"/>
  <c r="BS14" i="19" s="1"/>
  <c r="AK43" i="26"/>
  <c r="BO14" i="19" s="1"/>
  <c r="AM43" i="26"/>
  <c r="I11" i="9"/>
  <c r="O46" i="19"/>
  <c r="H42" i="19"/>
  <c r="G48" i="19"/>
  <c r="E12" i="21"/>
  <c r="F25" i="9"/>
  <c r="F42" i="9"/>
  <c r="D20" i="9"/>
  <c r="F29" i="9"/>
  <c r="Q35" i="9"/>
  <c r="D31" i="19"/>
  <c r="D25" i="6"/>
  <c r="AI37" i="26"/>
  <c r="BG42" i="7" s="1"/>
  <c r="AJ37" i="26"/>
  <c r="BK42" i="7" s="1"/>
  <c r="AK37" i="26"/>
  <c r="BO42" i="7" s="1"/>
  <c r="AK55" i="26"/>
  <c r="BO30" i="19" s="1"/>
  <c r="AJ55" i="26"/>
  <c r="BK30" i="19" s="1"/>
  <c r="L39" i="9"/>
  <c r="F48" i="19"/>
  <c r="D15" i="19"/>
  <c r="D45" i="5"/>
  <c r="D44" i="7"/>
  <c r="D26" i="7"/>
  <c r="D15" i="7"/>
  <c r="D22" i="7"/>
  <c r="D40" i="19"/>
  <c r="J10" i="9"/>
  <c r="G29" i="9"/>
  <c r="S34" i="9"/>
  <c r="D48" i="19"/>
  <c r="U39" i="9"/>
  <c r="G44" i="9"/>
  <c r="D14" i="19"/>
  <c r="P35" i="9"/>
  <c r="G16" i="9"/>
  <c r="D39" i="9"/>
  <c r="F9" i="9"/>
  <c r="D26" i="19"/>
  <c r="D29" i="5"/>
  <c r="H10" i="9"/>
  <c r="G19" i="21"/>
  <c r="F19" i="21"/>
  <c r="J40" i="19"/>
  <c r="D18" i="7"/>
  <c r="N24" i="9"/>
  <c r="E47" i="19"/>
  <c r="E13" i="9"/>
  <c r="D16" i="19"/>
  <c r="F10" i="9"/>
  <c r="D13" i="19"/>
  <c r="AK12" i="26"/>
  <c r="BO23" i="6" s="1"/>
  <c r="F9" i="21"/>
  <c r="I41" i="19"/>
  <c r="G15" i="21"/>
  <c r="E44" i="9"/>
  <c r="F12" i="21"/>
  <c r="AM52" i="26"/>
  <c r="AI52" i="26"/>
  <c r="BG25" i="19" s="1"/>
  <c r="AH52" i="26"/>
  <c r="BC25" i="19" s="1"/>
  <c r="AK70" i="26"/>
  <c r="BO10" i="5" s="1"/>
  <c r="AK79" i="26"/>
  <c r="BO22" i="5" s="1"/>
  <c r="AM113" i="26"/>
  <c r="M34" i="9"/>
  <c r="F44" i="9"/>
  <c r="AK121" i="26"/>
  <c r="BO31" i="9" s="1"/>
  <c r="AM131" i="26"/>
  <c r="AL111" i="26"/>
  <c r="AL21" i="26"/>
  <c r="F37" i="9"/>
  <c r="L44" i="9"/>
  <c r="D11" i="7"/>
  <c r="D23" i="6"/>
  <c r="D21" i="7"/>
  <c r="D24" i="6"/>
  <c r="D16" i="7"/>
  <c r="AL60" i="26"/>
  <c r="BS37" i="19" s="1"/>
  <c r="D15" i="6"/>
  <c r="AJ131" i="26"/>
  <c r="BK45" i="9" s="1"/>
  <c r="AJ113" i="26"/>
  <c r="BK18" i="9" s="1"/>
  <c r="AK72" i="26"/>
  <c r="BO12" i="5" s="1"/>
  <c r="AM96" i="26"/>
  <c r="BD73" i="24"/>
  <c r="D10" i="6"/>
  <c r="D13" i="6"/>
  <c r="AK131" i="26"/>
  <c r="BO45" i="9" s="1"/>
  <c r="D14" i="6"/>
  <c r="D26" i="6"/>
  <c r="M35" i="9"/>
  <c r="D10" i="9"/>
  <c r="E40" i="19"/>
  <c r="D9" i="7"/>
  <c r="D18" i="6"/>
  <c r="AK92" i="26"/>
  <c r="BO42" i="5" s="1"/>
  <c r="BS29" i="9"/>
  <c r="BK40" i="19"/>
  <c r="BO15" i="9"/>
  <c r="BG23" i="5"/>
  <c r="BO11" i="7"/>
  <c r="BG32" i="19"/>
  <c r="BK25" i="19"/>
  <c r="BK21" i="5"/>
  <c r="G13" i="9"/>
  <c r="D14" i="5"/>
  <c r="G25" i="9"/>
  <c r="R39" i="9"/>
  <c r="D42" i="19"/>
  <c r="D16" i="5"/>
  <c r="I15" i="9"/>
  <c r="E14" i="21"/>
  <c r="E46" i="19"/>
  <c r="E11" i="9"/>
  <c r="T39" i="9"/>
  <c r="O37" i="9"/>
  <c r="D29" i="19"/>
  <c r="G36" i="9"/>
  <c r="D36" i="9"/>
  <c r="F31" i="9"/>
  <c r="G34" i="9"/>
  <c r="D34" i="9"/>
  <c r="H37" i="9"/>
  <c r="BG109" i="24"/>
  <c r="BG46" i="24"/>
  <c r="N134" i="24"/>
  <c r="K51" i="9" s="1"/>
  <c r="F42" i="19"/>
  <c r="D45" i="9"/>
  <c r="M42" i="19"/>
  <c r="O35" i="9"/>
  <c r="D24" i="9"/>
  <c r="L35" i="9"/>
  <c r="D12" i="21"/>
  <c r="D15" i="21"/>
  <c r="E23" i="9"/>
  <c r="E15" i="9"/>
  <c r="H48" i="19"/>
  <c r="D30" i="9"/>
  <c r="F35" i="9"/>
  <c r="E34" i="9"/>
  <c r="S39" i="9"/>
  <c r="D18" i="9"/>
  <c r="D17" i="19"/>
  <c r="I36" i="9"/>
  <c r="G18" i="21"/>
  <c r="I39" i="9"/>
  <c r="BS24" i="5"/>
  <c r="D14" i="21"/>
  <c r="J11" i="9"/>
  <c r="E30" i="9"/>
  <c r="D39" i="5"/>
  <c r="S35" i="9"/>
  <c r="D37" i="9"/>
  <c r="H34" i="9"/>
  <c r="V35" i="9"/>
  <c r="D23" i="9"/>
  <c r="E35" i="9"/>
  <c r="O39" i="9"/>
  <c r="J134" i="24"/>
  <c r="G51" i="9" s="1"/>
  <c r="BS20" i="19"/>
  <c r="F15" i="21"/>
  <c r="D43" i="9"/>
  <c r="D18" i="21"/>
  <c r="D35" i="19"/>
  <c r="E19" i="21"/>
  <c r="F15" i="9"/>
  <c r="D20" i="19"/>
  <c r="K39" i="9"/>
  <c r="I35" i="9"/>
  <c r="D37" i="19"/>
  <c r="D25" i="19"/>
  <c r="D19" i="21"/>
  <c r="J44" i="9"/>
  <c r="V39" i="9"/>
  <c r="E39" i="9"/>
  <c r="G37" i="9"/>
  <c r="D32" i="19"/>
  <c r="P39" i="9"/>
  <c r="E41" i="19"/>
  <c r="G35" i="9"/>
  <c r="K35" i="9"/>
  <c r="D35" i="9"/>
  <c r="V36" i="9"/>
  <c r="D15" i="9"/>
  <c r="R34" i="9"/>
  <c r="D42" i="9"/>
  <c r="E11" i="21"/>
  <c r="J35" i="9"/>
  <c r="J34" i="9"/>
  <c r="D24" i="19"/>
  <c r="E16" i="9"/>
  <c r="D9" i="5"/>
  <c r="E42" i="19"/>
  <c r="K34" i="9"/>
  <c r="G39" i="9"/>
  <c r="M37" i="9"/>
  <c r="I34" i="9"/>
  <c r="F23" i="9"/>
  <c r="T34" i="9"/>
  <c r="I112" i="24"/>
  <c r="E36" i="9"/>
  <c r="F20" i="9"/>
  <c r="D47" i="19"/>
  <c r="E24" i="9"/>
  <c r="E48" i="19"/>
  <c r="D16" i="9"/>
  <c r="D41" i="19"/>
  <c r="H36" i="9"/>
  <c r="D38" i="9"/>
  <c r="D13" i="9"/>
  <c r="G9" i="9"/>
  <c r="D9" i="9"/>
  <c r="D12" i="9"/>
  <c r="L37" i="9"/>
  <c r="K37" i="9"/>
  <c r="D11" i="9"/>
  <c r="H39" i="9"/>
  <c r="N34" i="9"/>
  <c r="H35" i="9"/>
  <c r="E37" i="9"/>
  <c r="M39" i="9"/>
  <c r="U51" i="9"/>
  <c r="BS35" i="9"/>
  <c r="G15" i="9"/>
  <c r="G47" i="19"/>
  <c r="D46" i="19"/>
  <c r="H43" i="19"/>
  <c r="D23" i="19"/>
  <c r="D43" i="19"/>
  <c r="E43" i="19"/>
  <c r="E29" i="9"/>
  <c r="D9" i="21"/>
  <c r="F34" i="9"/>
  <c r="D12" i="5"/>
  <c r="E10" i="21"/>
  <c r="G17" i="9"/>
  <c r="I48" i="19"/>
  <c r="D29" i="9"/>
  <c r="N35" i="9"/>
  <c r="Q37" i="9"/>
  <c r="N37" i="9"/>
  <c r="D44" i="9"/>
  <c r="J36" i="9"/>
  <c r="I37" i="9"/>
  <c r="N39" i="9"/>
  <c r="F14" i="21"/>
  <c r="P128" i="24"/>
  <c r="BG30" i="5"/>
  <c r="BS34" i="5"/>
  <c r="BC36" i="5"/>
  <c r="BC50" i="9"/>
  <c r="BK31" i="5"/>
  <c r="BC19" i="19"/>
  <c r="BG17" i="7"/>
  <c r="BS35" i="5"/>
  <c r="BK43" i="19"/>
  <c r="BS30" i="5"/>
  <c r="J12" i="21"/>
  <c r="BC45" i="9"/>
  <c r="BG51" i="9"/>
  <c r="BK52" i="9"/>
  <c r="BC37" i="5"/>
  <c r="BK49" i="9"/>
  <c r="BK36" i="5"/>
  <c r="BG36" i="5"/>
  <c r="BK37" i="19"/>
  <c r="BO17" i="9"/>
  <c r="BS51" i="9"/>
  <c r="N14" i="21"/>
  <c r="BC31" i="5"/>
  <c r="BG35" i="5"/>
  <c r="BO29" i="5"/>
  <c r="BS52" i="9"/>
  <c r="BC29" i="5"/>
  <c r="BK30" i="5"/>
  <c r="BC9" i="5"/>
  <c r="N11" i="21"/>
  <c r="BK47" i="19"/>
  <c r="BG23" i="6"/>
  <c r="BO39" i="9"/>
  <c r="BO19" i="19"/>
  <c r="BK37" i="5"/>
  <c r="BO36" i="5"/>
  <c r="BK19" i="19"/>
  <c r="BO30" i="5"/>
  <c r="BG46" i="9"/>
  <c r="BK34" i="5"/>
  <c r="BC34" i="5"/>
  <c r="BO53" i="9"/>
  <c r="BO37" i="5"/>
  <c r="BO35" i="5"/>
  <c r="BG52" i="9"/>
  <c r="BG34" i="5"/>
  <c r="BS27" i="7"/>
  <c r="BS25" i="7"/>
  <c r="BC15" i="7"/>
  <c r="BG13" i="5"/>
  <c r="BK53" i="9"/>
  <c r="BO50" i="9"/>
  <c r="BC49" i="9"/>
  <c r="BS37" i="5"/>
  <c r="BC53" i="9"/>
  <c r="BG37" i="5"/>
  <c r="BC26" i="6"/>
  <c r="BG43" i="9"/>
  <c r="BC35" i="5"/>
  <c r="BO51" i="9"/>
  <c r="BC28" i="5"/>
  <c r="BG19" i="19"/>
  <c r="BO52" i="9"/>
  <c r="BG53" i="9"/>
  <c r="BO16" i="7"/>
  <c r="BK43" i="7"/>
  <c r="BS19" i="19"/>
  <c r="BC39" i="5"/>
  <c r="BO17" i="5"/>
  <c r="BS26" i="7"/>
  <c r="BG16" i="19"/>
  <c r="BC52" i="9"/>
  <c r="BO34" i="5"/>
  <c r="BG34" i="9"/>
  <c r="BK35" i="5"/>
  <c r="BO49" i="9"/>
  <c r="BG29" i="5"/>
  <c r="J9" i="21"/>
  <c r="BC31" i="9"/>
  <c r="BS36" i="5"/>
  <c r="BO23" i="19"/>
  <c r="BK22" i="5"/>
  <c r="BO20" i="9"/>
  <c r="BG24" i="6"/>
  <c r="D31" i="9"/>
  <c r="D19" i="19"/>
  <c r="D36" i="19"/>
  <c r="D30" i="19"/>
  <c r="E18" i="21"/>
  <c r="L34" i="9"/>
  <c r="F39" i="9"/>
  <c r="T35" i="9"/>
  <c r="G14" i="21"/>
  <c r="D25" i="9"/>
  <c r="Q39" i="9"/>
  <c r="J39" i="9"/>
  <c r="U35" i="9"/>
  <c r="K36" i="9"/>
  <c r="E31" i="9"/>
  <c r="AQ52" i="9" l="1" a="1"/>
  <c r="AQ52" i="9" s="1"/>
  <c r="X93" i="26"/>
  <c r="X75" i="26"/>
  <c r="AJ72" i="26"/>
  <c r="BK12" i="5" s="1"/>
  <c r="G136" i="26"/>
  <c r="X74" i="26"/>
  <c r="AD93" i="26"/>
  <c r="AD74" i="26"/>
  <c r="AD75" i="26"/>
  <c r="M132" i="26"/>
  <c r="N18" i="9"/>
  <c r="M131" i="24"/>
  <c r="M132" i="24" s="1"/>
  <c r="J49" i="9" s="1"/>
  <c r="AJ131" i="24"/>
  <c r="AJ132" i="24" s="1"/>
  <c r="AP131" i="24"/>
  <c r="AP132" i="24" s="1"/>
  <c r="AR18" i="7" a="1"/>
  <c r="AR18" i="7" s="1"/>
  <c r="AX18" i="7" a="1"/>
  <c r="AX18" i="7" s="1"/>
  <c r="BM135" i="24"/>
  <c r="AO52" i="9" a="1"/>
  <c r="AO52" i="9" s="1"/>
  <c r="AR124" i="24"/>
  <c r="AO37" i="9" s="1" a="1"/>
  <c r="AO37" i="9" s="1"/>
  <c r="AO48" i="19" a="1"/>
  <c r="AO48" i="19" s="1"/>
  <c r="BH130" i="24"/>
  <c r="BL130" i="24"/>
  <c r="BH18" i="24"/>
  <c r="BL18" i="24"/>
  <c r="BL20" i="24"/>
  <c r="BH20" i="24"/>
  <c r="BJ128" i="24"/>
  <c r="BJ131" i="24" s="1"/>
  <c r="BL92" i="24"/>
  <c r="BH92" i="24"/>
  <c r="BH94" i="24" s="1"/>
  <c r="BH125" i="24" s="1"/>
  <c r="BL73" i="24"/>
  <c r="BH73" i="24"/>
  <c r="BL74" i="24"/>
  <c r="BH74" i="24"/>
  <c r="BM83" i="24"/>
  <c r="BM18" i="24"/>
  <c r="BL39" i="24"/>
  <c r="BL123" i="24"/>
  <c r="BL67" i="24"/>
  <c r="BM92" i="24"/>
  <c r="BM74" i="24"/>
  <c r="BM73" i="24"/>
  <c r="BM121" i="24"/>
  <c r="BM130" i="24"/>
  <c r="BM20" i="24"/>
  <c r="AX131" i="24"/>
  <c r="AR94" i="24"/>
  <c r="AR125" i="24" s="1"/>
  <c r="AO38" i="9" s="1" a="1"/>
  <c r="AO38" i="9" s="1"/>
  <c r="AR22" i="24"/>
  <c r="AR76" i="24"/>
  <c r="AH24" i="24"/>
  <c r="AG76" i="24"/>
  <c r="AU133" i="24"/>
  <c r="BC133" i="24"/>
  <c r="AZ50" i="9" s="1" a="1"/>
  <c r="AZ50" i="9" s="1"/>
  <c r="AV133" i="24"/>
  <c r="BD133" i="24"/>
  <c r="BB133" i="24"/>
  <c r="AW133" i="24"/>
  <c r="AT50" i="9" s="1" a="1"/>
  <c r="AT50" i="9" s="1"/>
  <c r="AX133" i="24"/>
  <c r="AY133" i="24"/>
  <c r="AT133" i="24"/>
  <c r="AQ50" i="9" s="1" a="1"/>
  <c r="AQ50" i="9" s="1"/>
  <c r="AR133" i="24"/>
  <c r="AZ133" i="24"/>
  <c r="AW50" i="9" s="1" a="1"/>
  <c r="AW50" i="9" s="1"/>
  <c r="AS133" i="24"/>
  <c r="BA133" i="24"/>
  <c r="BS15" i="7"/>
  <c r="L132" i="26"/>
  <c r="P132" i="26"/>
  <c r="G33" i="7" a="1"/>
  <c r="G33" i="7" s="1"/>
  <c r="G134" i="26"/>
  <c r="G77" i="26"/>
  <c r="BS20" i="9"/>
  <c r="BS30" i="9"/>
  <c r="BS15" i="9"/>
  <c r="BS34" i="9"/>
  <c r="BS38" i="9"/>
  <c r="BS16" i="9"/>
  <c r="BS9" i="9"/>
  <c r="BS45" i="9"/>
  <c r="BS42" i="9"/>
  <c r="BS10" i="9"/>
  <c r="BS14" i="9"/>
  <c r="BS39" i="9"/>
  <c r="BS12" i="9"/>
  <c r="BS18" i="9"/>
  <c r="BS31" i="9"/>
  <c r="BS11" i="9"/>
  <c r="BS13" i="9"/>
  <c r="BS23" i="9"/>
  <c r="BS25" i="9"/>
  <c r="BS37" i="9"/>
  <c r="BS44" i="9"/>
  <c r="BS36" i="9"/>
  <c r="BS17" i="9"/>
  <c r="AE6" i="9"/>
  <c r="AG94" i="24"/>
  <c r="AG125" i="24" s="1"/>
  <c r="AQ76" i="24"/>
  <c r="AN94" i="24"/>
  <c r="AN125" i="24" s="1"/>
  <c r="AH94" i="24"/>
  <c r="AL133" i="24"/>
  <c r="AM133" i="24"/>
  <c r="AN133" i="24"/>
  <c r="AF76" i="24"/>
  <c r="AF128" i="24" s="1"/>
  <c r="AG133" i="24"/>
  <c r="AO133" i="24"/>
  <c r="AH133" i="24"/>
  <c r="AP133" i="24"/>
  <c r="AI133" i="24"/>
  <c r="AQ133" i="24"/>
  <c r="AJ133" i="24"/>
  <c r="AF133" i="24"/>
  <c r="AK133" i="24"/>
  <c r="AN76" i="24"/>
  <c r="AN128" i="24" s="1"/>
  <c r="AN131" i="24" s="1"/>
  <c r="AI94" i="24"/>
  <c r="AI125" i="24" s="1"/>
  <c r="AO94" i="24"/>
  <c r="AO125" i="24" s="1"/>
  <c r="J18" i="9"/>
  <c r="E14" i="5" a="1"/>
  <c r="E14" i="5" s="1"/>
  <c r="W133" i="24"/>
  <c r="W136" i="24" s="1"/>
  <c r="AE133" i="24"/>
  <c r="AE136" i="24" s="1"/>
  <c r="Y133" i="24"/>
  <c r="Y136" i="24" s="1"/>
  <c r="AC133" i="24"/>
  <c r="AC136" i="24" s="1"/>
  <c r="V133" i="24"/>
  <c r="V136" i="24" s="1"/>
  <c r="AD133" i="24"/>
  <c r="AD136" i="24" s="1"/>
  <c r="X133" i="24"/>
  <c r="X136" i="24" s="1"/>
  <c r="R133" i="24"/>
  <c r="R136" i="24" s="1"/>
  <c r="Z133" i="24"/>
  <c r="Z136" i="24" s="1"/>
  <c r="S133" i="24"/>
  <c r="S136" i="24" s="1"/>
  <c r="AA133" i="24"/>
  <c r="AA136" i="24" s="1"/>
  <c r="T133" i="24"/>
  <c r="T136" i="24" s="1"/>
  <c r="AB133" i="24"/>
  <c r="AB136" i="24" s="1"/>
  <c r="U133" i="24"/>
  <c r="U136" i="24" s="1"/>
  <c r="G10" i="7" a="1"/>
  <c r="G10" i="7" s="1"/>
  <c r="G31" i="19" a="1"/>
  <c r="G31" i="19" s="1"/>
  <c r="G15" i="19" a="1"/>
  <c r="G15" i="19" s="1"/>
  <c r="G30" i="7" a="1"/>
  <c r="G30" i="7" s="1"/>
  <c r="G16" i="7" a="1"/>
  <c r="G16" i="7" s="1"/>
  <c r="G12" i="5" a="1"/>
  <c r="G12" i="5" s="1"/>
  <c r="G36" i="7" a="1"/>
  <c r="G36" i="7" s="1"/>
  <c r="L45" i="9"/>
  <c r="L18" i="9"/>
  <c r="S51" i="9"/>
  <c r="T36" i="9"/>
  <c r="R51" i="9"/>
  <c r="T37" i="9"/>
  <c r="Q34" i="9"/>
  <c r="G30" i="5" a="1"/>
  <c r="G30" i="5" s="1"/>
  <c r="G28" i="7" a="1"/>
  <c r="G28" i="7" s="1"/>
  <c r="K3" i="24"/>
  <c r="H31" i="7" s="1" a="1"/>
  <c r="H31" i="7" s="1"/>
  <c r="G24" i="19" a="1"/>
  <c r="G24" i="19" s="1"/>
  <c r="G26" i="19" a="1"/>
  <c r="G26" i="19" s="1"/>
  <c r="G17" i="19" a="1"/>
  <c r="G17" i="19" s="1"/>
  <c r="G18" i="7" a="1"/>
  <c r="G18" i="7" s="1"/>
  <c r="G19" i="19" a="1"/>
  <c r="G19" i="19" s="1"/>
  <c r="G22" i="6" a="1"/>
  <c r="G22" i="6" s="1"/>
  <c r="G12" i="19" a="1"/>
  <c r="G12" i="19" s="1"/>
  <c r="G13" i="6" a="1"/>
  <c r="G13" i="6" s="1"/>
  <c r="G38" i="7" a="1"/>
  <c r="G38" i="7" s="1"/>
  <c r="G26" i="7" a="1"/>
  <c r="G26" i="7" s="1"/>
  <c r="G24" i="5" a="1"/>
  <c r="G24" i="5" s="1"/>
  <c r="R36" i="9"/>
  <c r="S36" i="9"/>
  <c r="I77" i="26"/>
  <c r="J134" i="26"/>
  <c r="I21" i="24"/>
  <c r="F15" i="7" s="1" a="1"/>
  <c r="F15" i="7" s="1"/>
  <c r="F14" i="7" a="1"/>
  <c r="F14" i="7" s="1"/>
  <c r="K130" i="24"/>
  <c r="H45" i="9" s="1"/>
  <c r="H18" i="9"/>
  <c r="O51" i="9"/>
  <c r="P51" i="9"/>
  <c r="H21" i="24"/>
  <c r="E15" i="7" s="1" a="1"/>
  <c r="E15" i="7" s="1"/>
  <c r="E14" i="7" a="1"/>
  <c r="E14" i="7" s="1"/>
  <c r="AH68" i="26"/>
  <c r="BC48" i="19" s="1"/>
  <c r="BC47" i="19"/>
  <c r="K132" i="26"/>
  <c r="I76" i="24"/>
  <c r="F14" i="5" a="1"/>
  <c r="F14" i="5" s="1"/>
  <c r="AJ39" i="26"/>
  <c r="AJ124" i="26" s="1"/>
  <c r="BK36" i="9" s="1"/>
  <c r="BK9" i="19"/>
  <c r="G132" i="26"/>
  <c r="H31" i="19" a="1"/>
  <c r="H31" i="19" s="1"/>
  <c r="H94" i="24"/>
  <c r="E45" i="5" s="1" a="1"/>
  <c r="E45" i="5" s="1"/>
  <c r="E43" i="5" a="1"/>
  <c r="E43" i="5" s="1"/>
  <c r="J76" i="24"/>
  <c r="G18" i="5" s="1" a="1"/>
  <c r="G18" i="5" s="1"/>
  <c r="G14" i="5" a="1"/>
  <c r="G14" i="5" s="1"/>
  <c r="G45" i="5" a="1"/>
  <c r="G45" i="5" s="1"/>
  <c r="G22" i="5" a="1"/>
  <c r="G22" i="5" s="1"/>
  <c r="G43" i="7" a="1"/>
  <c r="G43" i="7" s="1"/>
  <c r="G17" i="5" a="1"/>
  <c r="G17" i="5" s="1"/>
  <c r="G25" i="7" a="1"/>
  <c r="G25" i="7" s="1"/>
  <c r="G31" i="5" a="1"/>
  <c r="G31" i="5" s="1"/>
  <c r="G21" i="5" a="1"/>
  <c r="G21" i="5" s="1"/>
  <c r="G36" i="5" a="1"/>
  <c r="G36" i="5" s="1"/>
  <c r="G13" i="5" a="1"/>
  <c r="G13" i="5" s="1"/>
  <c r="G28" i="5" a="1"/>
  <c r="G28" i="5" s="1"/>
  <c r="G22" i="7" a="1"/>
  <c r="G22" i="7" s="1"/>
  <c r="G14" i="7" a="1"/>
  <c r="G14" i="7" s="1"/>
  <c r="AJ132" i="26"/>
  <c r="BK46" i="9" s="1"/>
  <c r="AJ68" i="26"/>
  <c r="BK48" i="19" s="1"/>
  <c r="O34" i="9"/>
  <c r="AI8" i="26"/>
  <c r="BG15" i="6" s="1"/>
  <c r="AL68" i="26"/>
  <c r="BS48" i="19" s="1"/>
  <c r="K18" i="9"/>
  <c r="G137" i="26"/>
  <c r="BK44" i="5"/>
  <c r="AK68" i="26"/>
  <c r="BO48" i="19" s="1"/>
  <c r="BG13" i="6"/>
  <c r="AL24" i="24"/>
  <c r="H131" i="26"/>
  <c r="H132" i="26" s="1"/>
  <c r="H136" i="26"/>
  <c r="H137" i="26" s="1"/>
  <c r="N133" i="24"/>
  <c r="K50" i="9" s="1"/>
  <c r="Q134" i="26"/>
  <c r="M18" i="9"/>
  <c r="I18" i="9"/>
  <c r="O136" i="26"/>
  <c r="O131" i="26"/>
  <c r="O132" i="26" s="1"/>
  <c r="Q136" i="26"/>
  <c r="N136" i="26"/>
  <c r="N131" i="26"/>
  <c r="N132" i="26" s="1"/>
  <c r="K134" i="26"/>
  <c r="N134" i="26"/>
  <c r="L136" i="26"/>
  <c r="P34" i="9"/>
  <c r="P136" i="26"/>
  <c r="G18" i="9"/>
  <c r="P36" i="9"/>
  <c r="O134" i="26"/>
  <c r="K136" i="26"/>
  <c r="M133" i="24"/>
  <c r="J50" i="9" s="1"/>
  <c r="R134" i="26"/>
  <c r="I131" i="26"/>
  <c r="I132" i="26" s="1"/>
  <c r="I136" i="26"/>
  <c r="M134" i="26"/>
  <c r="P134" i="26"/>
  <c r="M136" i="26"/>
  <c r="U36" i="9"/>
  <c r="R38" i="9"/>
  <c r="S37" i="9"/>
  <c r="AK8" i="26"/>
  <c r="BO15" i="6" s="1"/>
  <c r="J136" i="26"/>
  <c r="J131" i="26"/>
  <c r="J132" i="26" s="1"/>
  <c r="R136" i="26"/>
  <c r="R131" i="26"/>
  <c r="R132" i="26" s="1"/>
  <c r="L134" i="26"/>
  <c r="Q132" i="26"/>
  <c r="I134" i="26"/>
  <c r="BS9" i="19"/>
  <c r="AL39" i="26"/>
  <c r="BS44" i="7" s="1"/>
  <c r="AK132" i="26"/>
  <c r="BO46" i="9" s="1"/>
  <c r="AK125" i="24"/>
  <c r="H76" i="24"/>
  <c r="AL131" i="24"/>
  <c r="AL132" i="24" s="1"/>
  <c r="AH39" i="26"/>
  <c r="AH124" i="26" s="1"/>
  <c r="BC36" i="9" s="1"/>
  <c r="AI131" i="24"/>
  <c r="AI68" i="26"/>
  <c r="AH131" i="24"/>
  <c r="L94" i="24"/>
  <c r="AH95" i="26"/>
  <c r="AH126" i="26" s="1"/>
  <c r="BC38" i="9" s="1"/>
  <c r="AI39" i="26"/>
  <c r="AI124" i="26" s="1"/>
  <c r="BG36" i="9" s="1"/>
  <c r="BO44" i="5"/>
  <c r="BV10" i="6"/>
  <c r="AL124" i="24"/>
  <c r="V37" i="9" s="1"/>
  <c r="H43" i="9"/>
  <c r="O132" i="24"/>
  <c r="L49" i="9" s="1"/>
  <c r="L133" i="24"/>
  <c r="I50" i="9" s="1"/>
  <c r="R45" i="9"/>
  <c r="BO9" i="19"/>
  <c r="O133" i="24"/>
  <c r="L50" i="9" s="1"/>
  <c r="J46" i="9"/>
  <c r="T52" i="9"/>
  <c r="AF21" i="24"/>
  <c r="I133" i="24"/>
  <c r="F50" i="9" s="1"/>
  <c r="U34" i="9"/>
  <c r="U45" i="9"/>
  <c r="J133" i="24"/>
  <c r="G50" i="9" s="1"/>
  <c r="L76" i="24"/>
  <c r="AK39" i="26"/>
  <c r="BO39" i="7"/>
  <c r="H133" i="24"/>
  <c r="E50" i="9" s="1"/>
  <c r="Q6" i="6"/>
  <c r="BC35" i="7"/>
  <c r="K133" i="24"/>
  <c r="H50" i="9" s="1"/>
  <c r="Q133" i="24"/>
  <c r="N50" i="9" s="1"/>
  <c r="AO131" i="24"/>
  <c r="AO132" i="24" s="1"/>
  <c r="BK35" i="7"/>
  <c r="BO36" i="7"/>
  <c r="BG35" i="7"/>
  <c r="BO35" i="7"/>
  <c r="BO37" i="7"/>
  <c r="I125" i="24"/>
  <c r="F38" i="9" s="1"/>
  <c r="BK36" i="7"/>
  <c r="P133" i="24"/>
  <c r="M50" i="9" s="1"/>
  <c r="BS37" i="7"/>
  <c r="BS38" i="7"/>
  <c r="O125" i="24"/>
  <c r="L38" i="9" s="1"/>
  <c r="BK39" i="7"/>
  <c r="BK38" i="7"/>
  <c r="BC14" i="6"/>
  <c r="AH8" i="26"/>
  <c r="BC15" i="6" s="1"/>
  <c r="BO38" i="7"/>
  <c r="U37" i="9"/>
  <c r="BS39" i="7"/>
  <c r="AL8" i="26"/>
  <c r="BS15" i="6" s="1"/>
  <c r="M125" i="24"/>
  <c r="J38" i="9" s="1"/>
  <c r="BC39" i="7"/>
  <c r="BC38" i="7"/>
  <c r="BC42" i="9"/>
  <c r="AM125" i="24"/>
  <c r="BG39" i="7"/>
  <c r="BG38" i="7"/>
  <c r="BD24" i="24"/>
  <c r="BS36" i="7"/>
  <c r="H130" i="24"/>
  <c r="H135" i="24"/>
  <c r="E52" i="9" s="1"/>
  <c r="N125" i="24"/>
  <c r="K38" i="9" s="1"/>
  <c r="K125" i="24"/>
  <c r="H38" i="9" s="1"/>
  <c r="BK14" i="6"/>
  <c r="AJ8" i="26"/>
  <c r="BK15" i="6" s="1"/>
  <c r="N21" i="24"/>
  <c r="O21" i="24"/>
  <c r="Q131" i="24"/>
  <c r="N43" i="9"/>
  <c r="AL125" i="24"/>
  <c r="BD76" i="24"/>
  <c r="BD128" i="24" s="1"/>
  <c r="BD131" i="24" s="1"/>
  <c r="BD132" i="24" s="1"/>
  <c r="BD136" i="24" s="1"/>
  <c r="K43" i="9"/>
  <c r="N131" i="24"/>
  <c r="BS35" i="7"/>
  <c r="BR44" i="9"/>
  <c r="F18" i="9"/>
  <c r="I130" i="24"/>
  <c r="L135" i="24"/>
  <c r="I52" i="9" s="1"/>
  <c r="N135" i="24"/>
  <c r="K52" i="9" s="1"/>
  <c r="P135" i="24"/>
  <c r="M52" i="9" s="1"/>
  <c r="Q52" i="9"/>
  <c r="O52" i="9"/>
  <c r="O135" i="24"/>
  <c r="I135" i="24"/>
  <c r="F52" i="9" s="1"/>
  <c r="J135" i="24"/>
  <c r="G52" i="9" s="1"/>
  <c r="K135" i="24"/>
  <c r="H52" i="9" s="1"/>
  <c r="M135" i="24"/>
  <c r="Q135" i="24"/>
  <c r="N52" i="9" s="1"/>
  <c r="BR31" i="9"/>
  <c r="I10" i="21"/>
  <c r="K10" i="21" s="1"/>
  <c r="BR23" i="9"/>
  <c r="I12" i="21"/>
  <c r="K12" i="21" s="1"/>
  <c r="Y14" i="21"/>
  <c r="AA14" i="21" s="1"/>
  <c r="I18" i="21"/>
  <c r="K18" i="21" s="1"/>
  <c r="BR35" i="9"/>
  <c r="BT35" i="9" s="1"/>
  <c r="Y9" i="21"/>
  <c r="AA9" i="21" s="1"/>
  <c r="I9" i="21"/>
  <c r="K9" i="21" s="1"/>
  <c r="BR39" i="9"/>
  <c r="I19" i="21"/>
  <c r="K19" i="21" s="1"/>
  <c r="BF20" i="9"/>
  <c r="BH20" i="9" s="1"/>
  <c r="I14" i="21"/>
  <c r="K14" i="21" s="1"/>
  <c r="I15" i="21"/>
  <c r="K15" i="21" s="1"/>
  <c r="BR20" i="9"/>
  <c r="Y12" i="21"/>
  <c r="AA12" i="21" s="1"/>
  <c r="BR25" i="9"/>
  <c r="Y10" i="21"/>
  <c r="AA10" i="21" s="1"/>
  <c r="BR42" i="9"/>
  <c r="Y15" i="21"/>
  <c r="AA15" i="21" s="1"/>
  <c r="BR24" i="9"/>
  <c r="BT24" i="9" s="1"/>
  <c r="Y18" i="21"/>
  <c r="AA18" i="21" s="1"/>
  <c r="BR51" i="9"/>
  <c r="BT51" i="9" s="1"/>
  <c r="BR30" i="9"/>
  <c r="I11" i="21"/>
  <c r="K11" i="21" s="1"/>
  <c r="BR29" i="9"/>
  <c r="BT29" i="9" s="1"/>
  <c r="Y19" i="21"/>
  <c r="AA19" i="21" s="1"/>
  <c r="Y11" i="21"/>
  <c r="AA11" i="21" s="1"/>
  <c r="Q38" i="9"/>
  <c r="AK131" i="24"/>
  <c r="AK132" i="24" s="1"/>
  <c r="T43" i="9"/>
  <c r="BC37" i="7"/>
  <c r="BG36" i="7"/>
  <c r="BC36" i="7"/>
  <c r="P131" i="24"/>
  <c r="M43" i="9"/>
  <c r="BK37" i="7"/>
  <c r="BG37" i="7"/>
  <c r="X77" i="26" l="1"/>
  <c r="AJ74" i="26"/>
  <c r="BK14" i="5" s="1"/>
  <c r="AI74" i="26"/>
  <c r="BG14" i="5" s="1"/>
  <c r="AJ75" i="26"/>
  <c r="BK16" i="5" s="1"/>
  <c r="AI75" i="26"/>
  <c r="BG16" i="5" s="1"/>
  <c r="X95" i="26"/>
  <c r="X126" i="26" s="1"/>
  <c r="AI93" i="26"/>
  <c r="AJ93" i="26"/>
  <c r="AK75" i="26"/>
  <c r="BO16" i="5" s="1"/>
  <c r="AL75" i="26"/>
  <c r="BS16" i="5" s="1"/>
  <c r="AM75" i="26"/>
  <c r="AD77" i="26"/>
  <c r="AL74" i="26"/>
  <c r="AK74" i="26"/>
  <c r="BO14" i="5" s="1"/>
  <c r="AM74" i="26"/>
  <c r="AD95" i="26"/>
  <c r="AD126" i="26" s="1"/>
  <c r="AL93" i="26"/>
  <c r="AK93" i="26"/>
  <c r="AM93" i="26"/>
  <c r="BM22" i="24"/>
  <c r="AO16" i="7" a="1"/>
  <c r="AO16" i="7" s="1"/>
  <c r="BM133" i="24"/>
  <c r="AO50" i="9" a="1"/>
  <c r="AO50" i="9" s="1"/>
  <c r="AU136" i="24"/>
  <c r="AR53" i="9" s="1" a="1"/>
  <c r="AR53" i="9" s="1"/>
  <c r="AR50" i="9" a="1"/>
  <c r="AR50" i="9" s="1"/>
  <c r="AY136" i="24"/>
  <c r="AV53" i="9" s="1" a="1"/>
  <c r="AV53" i="9" s="1"/>
  <c r="AV50" i="9" a="1"/>
  <c r="AV50" i="9" s="1"/>
  <c r="AU50" i="9" a="1"/>
  <c r="AU50" i="9" s="1"/>
  <c r="BA136" i="24"/>
  <c r="AX53" i="9" s="1" a="1"/>
  <c r="AX53" i="9" s="1"/>
  <c r="AX50" i="9" a="1"/>
  <c r="AX50" i="9" s="1"/>
  <c r="BB136" i="24"/>
  <c r="AY53" i="9" s="1" a="1"/>
  <c r="AY53" i="9" s="1"/>
  <c r="AY50" i="9" a="1"/>
  <c r="AY50" i="9" s="1"/>
  <c r="AS136" i="24"/>
  <c r="AP53" i="9" s="1" a="1"/>
  <c r="AP53" i="9" s="1"/>
  <c r="AP50" i="9" a="1"/>
  <c r="AP50" i="9" s="1"/>
  <c r="AV136" i="24"/>
  <c r="AS53" i="9" s="1" a="1"/>
  <c r="AS53" i="9" s="1"/>
  <c r="AS50" i="9" a="1"/>
  <c r="AS50" i="9" s="1"/>
  <c r="AX132" i="24"/>
  <c r="AU49" i="9" s="1" a="1"/>
  <c r="AU49" i="9" s="1"/>
  <c r="AU46" i="9" a="1"/>
  <c r="AU46" i="9" s="1"/>
  <c r="AW136" i="24"/>
  <c r="AT53" i="9" s="1" a="1"/>
  <c r="AT53" i="9" s="1"/>
  <c r="BI133" i="24"/>
  <c r="BI136" i="24" s="1"/>
  <c r="BL76" i="24"/>
  <c r="BH76" i="24"/>
  <c r="AZ136" i="24"/>
  <c r="AW53" i="9" s="1" a="1"/>
  <c r="AW53" i="9" s="1"/>
  <c r="BJ133" i="24"/>
  <c r="BC136" i="24"/>
  <c r="AZ53" i="9" s="1" a="1"/>
  <c r="AZ53" i="9" s="1"/>
  <c r="BL133" i="24"/>
  <c r="BR50" i="9" s="1"/>
  <c r="BK133" i="24"/>
  <c r="AT136" i="24"/>
  <c r="AQ53" i="9" s="1" a="1"/>
  <c r="AQ53" i="9" s="1"/>
  <c r="BH133" i="24"/>
  <c r="BL22" i="24"/>
  <c r="BH22" i="24"/>
  <c r="BM76" i="24"/>
  <c r="AH125" i="24"/>
  <c r="BL94" i="24"/>
  <c r="BL124" i="24"/>
  <c r="AR24" i="24"/>
  <c r="AO18" i="7" s="1" a="1"/>
  <c r="AO18" i="7" s="1"/>
  <c r="AR128" i="24"/>
  <c r="AO43" i="9" s="1" a="1"/>
  <c r="AO43" i="9" s="1"/>
  <c r="AG128" i="24"/>
  <c r="O50" i="9"/>
  <c r="H18" i="7" a="1"/>
  <c r="H18" i="7" s="1"/>
  <c r="H25" i="19" a="1"/>
  <c r="H25" i="19" s="1"/>
  <c r="H9" i="5" a="1"/>
  <c r="H9" i="5" s="1"/>
  <c r="H31" i="5" a="1"/>
  <c r="H31" i="5" s="1"/>
  <c r="H36" i="19" a="1"/>
  <c r="H36" i="19" s="1"/>
  <c r="H32" i="7" a="1"/>
  <c r="H32" i="7" s="1"/>
  <c r="L3" i="24"/>
  <c r="I18" i="7" s="1" a="1"/>
  <c r="I18" i="7" s="1"/>
  <c r="H17" i="7" a="1"/>
  <c r="H17" i="7" s="1"/>
  <c r="H30" i="5" a="1"/>
  <c r="H30" i="5" s="1"/>
  <c r="H35" i="7" a="1"/>
  <c r="H35" i="7" s="1"/>
  <c r="H13" i="5" a="1"/>
  <c r="H13" i="5" s="1"/>
  <c r="H36" i="7" a="1"/>
  <c r="H36" i="7" s="1"/>
  <c r="H19" i="19" a="1"/>
  <c r="H19" i="19" s="1"/>
  <c r="H23" i="5" a="1"/>
  <c r="H23" i="5" s="1"/>
  <c r="H42" i="7" a="1"/>
  <c r="H42" i="7" s="1"/>
  <c r="H24" i="6" a="1"/>
  <c r="H24" i="6" s="1"/>
  <c r="H14" i="6" a="1"/>
  <c r="H14" i="6" s="1"/>
  <c r="H37" i="7" a="1"/>
  <c r="H37" i="7" s="1"/>
  <c r="H44" i="5" a="1"/>
  <c r="H44" i="5" s="1"/>
  <c r="H32" i="19" a="1"/>
  <c r="H32" i="19" s="1"/>
  <c r="H22" i="7" a="1"/>
  <c r="H22" i="7" s="1"/>
  <c r="H25" i="7" a="1"/>
  <c r="H25" i="7" s="1"/>
  <c r="H30" i="7" a="1"/>
  <c r="H30" i="7" s="1"/>
  <c r="H15" i="6" a="1"/>
  <c r="H15" i="6" s="1"/>
  <c r="H27" i="6" a="1"/>
  <c r="H27" i="6" s="1"/>
  <c r="H24" i="19" a="1"/>
  <c r="H24" i="19" s="1"/>
  <c r="H24" i="5" a="1"/>
  <c r="H24" i="5" s="1"/>
  <c r="H15" i="19" a="1"/>
  <c r="H15" i="19" s="1"/>
  <c r="H9" i="6" a="1"/>
  <c r="H9" i="6" s="1"/>
  <c r="H16" i="5" a="1"/>
  <c r="H16" i="5" s="1"/>
  <c r="H11" i="7" a="1"/>
  <c r="H11" i="7" s="1"/>
  <c r="H23" i="19" a="1"/>
  <c r="H23" i="19" s="1"/>
  <c r="H45" i="5" a="1"/>
  <c r="H45" i="5" s="1"/>
  <c r="H18" i="6" a="1"/>
  <c r="H18" i="6" s="1"/>
  <c r="H39" i="7" a="1"/>
  <c r="H39" i="7" s="1"/>
  <c r="H21" i="5" a="1"/>
  <c r="H21" i="5" s="1"/>
  <c r="H28" i="5" a="1"/>
  <c r="H28" i="5" s="1"/>
  <c r="H16" i="7" a="1"/>
  <c r="H16" i="7" s="1"/>
  <c r="H43" i="5" a="1"/>
  <c r="H43" i="5" s="1"/>
  <c r="H13" i="6" a="1"/>
  <c r="H13" i="6" s="1"/>
  <c r="AH125" i="26"/>
  <c r="BC37" i="9" s="1"/>
  <c r="BT20" i="9"/>
  <c r="BT39" i="9"/>
  <c r="BT25" i="9"/>
  <c r="BT30" i="9"/>
  <c r="BT42" i="9"/>
  <c r="BT31" i="9"/>
  <c r="BT23" i="9"/>
  <c r="BT44" i="9"/>
  <c r="BR36" i="9"/>
  <c r="BT36" i="9" s="1"/>
  <c r="BR45" i="9"/>
  <c r="BT45" i="9" s="1"/>
  <c r="BR34" i="9"/>
  <c r="BT34" i="9" s="1"/>
  <c r="BR52" i="9"/>
  <c r="BT52" i="9" s="1"/>
  <c r="J137" i="26"/>
  <c r="P38" i="9"/>
  <c r="AF6" i="9"/>
  <c r="AN132" i="24"/>
  <c r="AH132" i="24"/>
  <c r="S46" i="9"/>
  <c r="AI132" i="24"/>
  <c r="AQ128" i="24"/>
  <c r="J128" i="24"/>
  <c r="J131" i="24" s="1"/>
  <c r="H18" i="19" a="1"/>
  <c r="H18" i="19" s="1"/>
  <c r="H34" i="5" a="1"/>
  <c r="H34" i="5" s="1"/>
  <c r="H28" i="7" a="1"/>
  <c r="H28" i="7" s="1"/>
  <c r="H42" i="5" a="1"/>
  <c r="H42" i="5" s="1"/>
  <c r="H29" i="7" a="1"/>
  <c r="H29" i="7" s="1"/>
  <c r="H13" i="19" a="1"/>
  <c r="H13" i="19" s="1"/>
  <c r="H36" i="5" a="1"/>
  <c r="H36" i="5" s="1"/>
  <c r="H23" i="6" a="1"/>
  <c r="H23" i="6" s="1"/>
  <c r="H18" i="5" a="1"/>
  <c r="H18" i="5" s="1"/>
  <c r="BK44" i="7"/>
  <c r="H19" i="6" a="1"/>
  <c r="H19" i="6" s="1"/>
  <c r="H11" i="5" a="1"/>
  <c r="H11" i="5" s="1"/>
  <c r="H25" i="6" a="1"/>
  <c r="H25" i="6" s="1"/>
  <c r="H125" i="24"/>
  <c r="E38" i="9" s="1"/>
  <c r="U52" i="9"/>
  <c r="U50" i="9"/>
  <c r="H43" i="7" a="1"/>
  <c r="H43" i="7" s="1"/>
  <c r="H14" i="7" a="1"/>
  <c r="H14" i="7" s="1"/>
  <c r="H39" i="5" a="1"/>
  <c r="H39" i="5" s="1"/>
  <c r="H33" i="7" a="1"/>
  <c r="H33" i="7" s="1"/>
  <c r="H16" i="19" a="1"/>
  <c r="H16" i="19" s="1"/>
  <c r="H17" i="19" a="1"/>
  <c r="H17" i="19" s="1"/>
  <c r="H44" i="7" a="1"/>
  <c r="H44" i="7" s="1"/>
  <c r="H22" i="5" a="1"/>
  <c r="H22" i="5" s="1"/>
  <c r="H37" i="19" a="1"/>
  <c r="H37" i="19" s="1"/>
  <c r="H22" i="6" a="1"/>
  <c r="H22" i="6" s="1"/>
  <c r="V52" i="9"/>
  <c r="H15" i="7" a="1"/>
  <c r="H15" i="7" s="1"/>
  <c r="H38" i="7" a="1"/>
  <c r="H38" i="7" s="1"/>
  <c r="H10" i="6" a="1"/>
  <c r="H10" i="6" s="1"/>
  <c r="H14" i="19" a="1"/>
  <c r="H14" i="19" s="1"/>
  <c r="H10" i="5" a="1"/>
  <c r="H10" i="5" s="1"/>
  <c r="H9" i="7" a="1"/>
  <c r="H9" i="7" s="1"/>
  <c r="H37" i="5" a="1"/>
  <c r="H37" i="5" s="1"/>
  <c r="S52" i="9"/>
  <c r="R137" i="26"/>
  <c r="H35" i="19" a="1"/>
  <c r="H35" i="19" s="1"/>
  <c r="H21" i="7" a="1"/>
  <c r="H21" i="7" s="1"/>
  <c r="H25" i="5" a="1"/>
  <c r="H25" i="5" s="1"/>
  <c r="H14" i="5" a="1"/>
  <c r="H14" i="5" s="1"/>
  <c r="H29" i="19" a="1"/>
  <c r="H29" i="19" s="1"/>
  <c r="H26" i="7" a="1"/>
  <c r="H26" i="7" s="1"/>
  <c r="H12" i="5" a="1"/>
  <c r="H12" i="5" s="1"/>
  <c r="H29" i="5" a="1"/>
  <c r="H29" i="5" s="1"/>
  <c r="H17" i="5" a="1"/>
  <c r="H17" i="5" s="1"/>
  <c r="H9" i="19" a="1"/>
  <c r="H9" i="19" s="1"/>
  <c r="H34" i="7" a="1"/>
  <c r="H34" i="7" s="1"/>
  <c r="H27" i="7" a="1"/>
  <c r="H27" i="7" s="1"/>
  <c r="AJ125" i="26"/>
  <c r="BK37" i="9" s="1"/>
  <c r="S50" i="9"/>
  <c r="I25" i="6" a="1"/>
  <c r="I25" i="6" s="1"/>
  <c r="Q50" i="9"/>
  <c r="AK125" i="26"/>
  <c r="BO37" i="9" s="1"/>
  <c r="H35" i="5" a="1"/>
  <c r="H35" i="5" s="1"/>
  <c r="R52" i="9"/>
  <c r="R50" i="9"/>
  <c r="K131" i="24"/>
  <c r="H26" i="6" a="1"/>
  <c r="H26" i="6" s="1"/>
  <c r="H30" i="19" a="1"/>
  <c r="H30" i="19" s="1"/>
  <c r="H12" i="19" a="1"/>
  <c r="H12" i="19" s="1"/>
  <c r="H10" i="7" a="1"/>
  <c r="H10" i="7" s="1"/>
  <c r="H26" i="19" a="1"/>
  <c r="H26" i="19" s="1"/>
  <c r="H20" i="19" a="1"/>
  <c r="H20" i="19" s="1"/>
  <c r="I24" i="6" a="1"/>
  <c r="I24" i="6" s="1"/>
  <c r="I32" i="19" a="1"/>
  <c r="I32" i="19" s="1"/>
  <c r="I15" i="7" a="1"/>
  <c r="I15" i="7" s="1"/>
  <c r="I10" i="6" a="1"/>
  <c r="I10" i="6" s="1"/>
  <c r="I11" i="7" a="1"/>
  <c r="I11" i="7" s="1"/>
  <c r="I35" i="7" a="1"/>
  <c r="I35" i="7" s="1"/>
  <c r="I25" i="7" a="1"/>
  <c r="I25" i="7" s="1"/>
  <c r="I16" i="19" a="1"/>
  <c r="I16" i="19" s="1"/>
  <c r="I27" i="7" a="1"/>
  <c r="I27" i="7" s="1"/>
  <c r="BC45" i="5"/>
  <c r="H128" i="24"/>
  <c r="E43" i="9" s="1"/>
  <c r="E18" i="5" a="1"/>
  <c r="E18" i="5" s="1"/>
  <c r="P137" i="26"/>
  <c r="N137" i="26"/>
  <c r="I34" i="7" a="1"/>
  <c r="I34" i="7" s="1"/>
  <c r="K137" i="26"/>
  <c r="I14" i="6" a="1"/>
  <c r="I14" i="6" s="1"/>
  <c r="I16" i="7" a="1"/>
  <c r="I16" i="7" s="1"/>
  <c r="I128" i="24"/>
  <c r="F43" i="9" s="1"/>
  <c r="F18" i="5" a="1"/>
  <c r="F18" i="5" s="1"/>
  <c r="I137" i="26"/>
  <c r="Q137" i="26"/>
  <c r="M137" i="26"/>
  <c r="T50" i="9"/>
  <c r="BC44" i="7"/>
  <c r="V50" i="9"/>
  <c r="L137" i="26"/>
  <c r="V38" i="9"/>
  <c r="P50" i="9"/>
  <c r="BG44" i="7"/>
  <c r="O137" i="26"/>
  <c r="S43" i="9"/>
  <c r="BG48" i="19"/>
  <c r="AI125" i="26"/>
  <c r="BG37" i="9" s="1"/>
  <c r="AJ125" i="24"/>
  <c r="AL136" i="24"/>
  <c r="L125" i="24"/>
  <c r="I38" i="9" s="1"/>
  <c r="AO136" i="24"/>
  <c r="L128" i="24"/>
  <c r="AP136" i="24"/>
  <c r="AK124" i="26"/>
  <c r="BO36" i="9" s="1"/>
  <c r="BO44" i="7"/>
  <c r="R6" i="6"/>
  <c r="E45" i="9"/>
  <c r="AJ136" i="24"/>
  <c r="K46" i="9"/>
  <c r="N132" i="24"/>
  <c r="Q132" i="24"/>
  <c r="N49" i="9" s="1"/>
  <c r="N46" i="9"/>
  <c r="P52" i="9"/>
  <c r="J52" i="9"/>
  <c r="M136" i="24"/>
  <c r="J53" i="9" s="1"/>
  <c r="F45" i="9"/>
  <c r="L52" i="9"/>
  <c r="O136" i="24"/>
  <c r="L53" i="9" s="1"/>
  <c r="S49" i="9"/>
  <c r="P132" i="24"/>
  <c r="M46" i="9"/>
  <c r="T46" i="9"/>
  <c r="BK43" i="5" l="1"/>
  <c r="AJ95" i="26"/>
  <c r="AI95" i="26"/>
  <c r="BG43" i="5"/>
  <c r="AJ77" i="26"/>
  <c r="BK18" i="5" s="1"/>
  <c r="AI77" i="26"/>
  <c r="BG18" i="5" s="1"/>
  <c r="AL134" i="26"/>
  <c r="AL129" i="26"/>
  <c r="BS14" i="5"/>
  <c r="AK77" i="26"/>
  <c r="BO18" i="5" s="1"/>
  <c r="AM77" i="26"/>
  <c r="AL77" i="26"/>
  <c r="BS18" i="5" s="1"/>
  <c r="BO43" i="5"/>
  <c r="AK95" i="26"/>
  <c r="BS43" i="5"/>
  <c r="AL95" i="26"/>
  <c r="BS45" i="5" s="1"/>
  <c r="BH136" i="24"/>
  <c r="BJ136" i="24"/>
  <c r="AX136" i="24"/>
  <c r="AU53" i="9" s="1" a="1"/>
  <c r="AU53" i="9" s="1"/>
  <c r="BH128" i="24"/>
  <c r="BH131" i="24" s="1"/>
  <c r="BL128" i="24"/>
  <c r="BH24" i="24"/>
  <c r="BL24" i="24"/>
  <c r="BM128" i="24"/>
  <c r="BM24" i="24"/>
  <c r="BL125" i="24"/>
  <c r="AR131" i="24"/>
  <c r="AG131" i="24"/>
  <c r="AG132" i="24" s="1"/>
  <c r="AG136" i="24" s="1"/>
  <c r="I42" i="5" a="1"/>
  <c r="I42" i="5" s="1"/>
  <c r="I38" i="7" a="1"/>
  <c r="I38" i="7" s="1"/>
  <c r="I25" i="19" a="1"/>
  <c r="I25" i="19" s="1"/>
  <c r="I18" i="6" a="1"/>
  <c r="I18" i="6" s="1"/>
  <c r="I18" i="19" a="1"/>
  <c r="I18" i="19" s="1"/>
  <c r="I9" i="6" a="1"/>
  <c r="I9" i="6" s="1"/>
  <c r="I29" i="5" a="1"/>
  <c r="I29" i="5" s="1"/>
  <c r="I37" i="5" a="1"/>
  <c r="I37" i="5" s="1"/>
  <c r="I36" i="7" a="1"/>
  <c r="I36" i="7" s="1"/>
  <c r="I44" i="7" a="1"/>
  <c r="I44" i="7" s="1"/>
  <c r="I21" i="5" a="1"/>
  <c r="I21" i="5" s="1"/>
  <c r="I33" i="7" a="1"/>
  <c r="I33" i="7" s="1"/>
  <c r="I26" i="19" a="1"/>
  <c r="I26" i="19" s="1"/>
  <c r="I19" i="19" a="1"/>
  <c r="I19" i="19" s="1"/>
  <c r="I36" i="5" a="1"/>
  <c r="I36" i="5" s="1"/>
  <c r="I13" i="5" a="1"/>
  <c r="I13" i="5" s="1"/>
  <c r="I14" i="5" a="1"/>
  <c r="I14" i="5" s="1"/>
  <c r="I43" i="7" a="1"/>
  <c r="I43" i="7" s="1"/>
  <c r="I31" i="19" a="1"/>
  <c r="I31" i="19" s="1"/>
  <c r="I37" i="19" a="1"/>
  <c r="I37" i="19" s="1"/>
  <c r="I39" i="7" a="1"/>
  <c r="I39" i="7" s="1"/>
  <c r="I12" i="5" a="1"/>
  <c r="I12" i="5" s="1"/>
  <c r="I9" i="19" a="1"/>
  <c r="I9" i="19" s="1"/>
  <c r="I35" i="5" a="1"/>
  <c r="I35" i="5" s="1"/>
  <c r="I20" i="19" a="1"/>
  <c r="I20" i="19" s="1"/>
  <c r="I22" i="6" a="1"/>
  <c r="I22" i="6" s="1"/>
  <c r="I26" i="6" a="1"/>
  <c r="I26" i="6" s="1"/>
  <c r="I34" i="5" a="1"/>
  <c r="I34" i="5" s="1"/>
  <c r="I17" i="7" a="1"/>
  <c r="I17" i="7" s="1"/>
  <c r="I11" i="5" a="1"/>
  <c r="I11" i="5" s="1"/>
  <c r="I16" i="5" a="1"/>
  <c r="I16" i="5" s="1"/>
  <c r="I23" i="5" a="1"/>
  <c r="I23" i="5" s="1"/>
  <c r="I21" i="7" a="1"/>
  <c r="I21" i="7" s="1"/>
  <c r="I14" i="19" a="1"/>
  <c r="I14" i="19" s="1"/>
  <c r="I44" i="5" a="1"/>
  <c r="I44" i="5" s="1"/>
  <c r="I9" i="5" a="1"/>
  <c r="I9" i="5" s="1"/>
  <c r="I28" i="5" a="1"/>
  <c r="I28" i="5" s="1"/>
  <c r="I15" i="19" a="1"/>
  <c r="I15" i="19" s="1"/>
  <c r="I28" i="7" a="1"/>
  <c r="I28" i="7" s="1"/>
  <c r="I17" i="5" a="1"/>
  <c r="I17" i="5" s="1"/>
  <c r="I18" i="5" a="1"/>
  <c r="I18" i="5" s="1"/>
  <c r="I30" i="19" a="1"/>
  <c r="I30" i="19" s="1"/>
  <c r="M3" i="24"/>
  <c r="I31" i="5" a="1"/>
  <c r="I31" i="5" s="1"/>
  <c r="I12" i="19" a="1"/>
  <c r="I12" i="19" s="1"/>
  <c r="I30" i="7" a="1"/>
  <c r="I30" i="7" s="1"/>
  <c r="I29" i="7" a="1"/>
  <c r="I29" i="7" s="1"/>
  <c r="I29" i="19" a="1"/>
  <c r="I29" i="19" s="1"/>
  <c r="I24" i="19" a="1"/>
  <c r="I24" i="19" s="1"/>
  <c r="I22" i="5" a="1"/>
  <c r="I22" i="5" s="1"/>
  <c r="I30" i="5" a="1"/>
  <c r="I30" i="5" s="1"/>
  <c r="I43" i="5" a="1"/>
  <c r="I43" i="5" s="1"/>
  <c r="I27" i="6" a="1"/>
  <c r="I27" i="6" s="1"/>
  <c r="I37" i="7" a="1"/>
  <c r="I37" i="7" s="1"/>
  <c r="I10" i="7" a="1"/>
  <c r="I10" i="7" s="1"/>
  <c r="I22" i="7" a="1"/>
  <c r="I22" i="7" s="1"/>
  <c r="I9" i="7" a="1"/>
  <c r="I9" i="7" s="1"/>
  <c r="I10" i="5" a="1"/>
  <c r="I10" i="5" s="1"/>
  <c r="I23" i="19" a="1"/>
  <c r="I23" i="19" s="1"/>
  <c r="I36" i="19" a="1"/>
  <c r="I36" i="19" s="1"/>
  <c r="I26" i="7" a="1"/>
  <c r="I26" i="7" s="1"/>
  <c r="I39" i="5" a="1"/>
  <c r="I39" i="5" s="1"/>
  <c r="I24" i="5" a="1"/>
  <c r="I24" i="5" s="1"/>
  <c r="I35" i="19" a="1"/>
  <c r="I35" i="19" s="1"/>
  <c r="I23" i="6" a="1"/>
  <c r="I23" i="6" s="1"/>
  <c r="I31" i="7" a="1"/>
  <c r="I31" i="7" s="1"/>
  <c r="I13" i="6" a="1"/>
  <c r="I13" i="6" s="1"/>
  <c r="I13" i="19" a="1"/>
  <c r="I13" i="19" s="1"/>
  <c r="I14" i="7" a="1"/>
  <c r="I14" i="7" s="1"/>
  <c r="I19" i="6" a="1"/>
  <c r="I19" i="6" s="1"/>
  <c r="I42" i="7" a="1"/>
  <c r="I42" i="7" s="1"/>
  <c r="I25" i="5" a="1"/>
  <c r="I25" i="5" s="1"/>
  <c r="I15" i="6" a="1"/>
  <c r="I15" i="6" s="1"/>
  <c r="I45" i="5" a="1"/>
  <c r="I45" i="5" s="1"/>
  <c r="I17" i="19" a="1"/>
  <c r="I17" i="19" s="1"/>
  <c r="I32" i="7" a="1"/>
  <c r="I32" i="7" s="1"/>
  <c r="G43" i="9"/>
  <c r="J43" i="7" a="1"/>
  <c r="J43" i="7" s="1"/>
  <c r="AN136" i="24"/>
  <c r="BR37" i="9"/>
  <c r="BT37" i="9" s="1"/>
  <c r="AH136" i="24"/>
  <c r="AG6" i="9"/>
  <c r="AQ131" i="24"/>
  <c r="AQ132" i="24" s="1"/>
  <c r="S38" i="9"/>
  <c r="H131" i="24"/>
  <c r="E46" i="9" s="1"/>
  <c r="J14" i="5" a="1"/>
  <c r="J14" i="5" s="1"/>
  <c r="R43" i="9"/>
  <c r="U43" i="9"/>
  <c r="J10" i="5" a="1"/>
  <c r="J10" i="5" s="1"/>
  <c r="U38" i="9"/>
  <c r="I131" i="24"/>
  <c r="I132" i="24" s="1"/>
  <c r="K132" i="24"/>
  <c r="H46" i="9"/>
  <c r="P43" i="9"/>
  <c r="Q43" i="9"/>
  <c r="J36" i="5" a="1"/>
  <c r="J36" i="5" s="1"/>
  <c r="J13" i="19" a="1"/>
  <c r="J13" i="19" s="1"/>
  <c r="J33" i="7" a="1"/>
  <c r="J33" i="7" s="1"/>
  <c r="J9" i="7" a="1"/>
  <c r="J9" i="7" s="1"/>
  <c r="J18" i="5" a="1"/>
  <c r="J18" i="5" s="1"/>
  <c r="J27" i="6" a="1"/>
  <c r="J27" i="6" s="1"/>
  <c r="J37" i="7" a="1"/>
  <c r="J37" i="7" s="1"/>
  <c r="J17" i="7" a="1"/>
  <c r="J17" i="7" s="1"/>
  <c r="J34" i="5" a="1"/>
  <c r="J34" i="5" s="1"/>
  <c r="J17" i="19" a="1"/>
  <c r="J17" i="19" s="1"/>
  <c r="J45" i="5" a="1"/>
  <c r="J45" i="5" s="1"/>
  <c r="J28" i="7" a="1"/>
  <c r="J28" i="7" s="1"/>
  <c r="J11" i="7" a="1"/>
  <c r="J11" i="7" s="1"/>
  <c r="J16" i="5" a="1"/>
  <c r="J16" i="5" s="1"/>
  <c r="J39" i="5" a="1"/>
  <c r="J39" i="5" s="1"/>
  <c r="J23" i="6" a="1"/>
  <c r="J23" i="6" s="1"/>
  <c r="J9" i="5" a="1"/>
  <c r="J9" i="5" s="1"/>
  <c r="J22" i="6" a="1"/>
  <c r="J22" i="6" s="1"/>
  <c r="J26" i="7" a="1"/>
  <c r="J26" i="7" s="1"/>
  <c r="J35" i="5" a="1"/>
  <c r="J35" i="5" s="1"/>
  <c r="J24" i="6" a="1"/>
  <c r="J24" i="6" s="1"/>
  <c r="J14" i="19" a="1"/>
  <c r="J14" i="19" s="1"/>
  <c r="J26" i="6" a="1"/>
  <c r="J26" i="6" s="1"/>
  <c r="J28" i="5" a="1"/>
  <c r="J28" i="5" s="1"/>
  <c r="J42" i="5" a="1"/>
  <c r="J42" i="5" s="1"/>
  <c r="J27" i="7" a="1"/>
  <c r="J27" i="7" s="1"/>
  <c r="J13" i="6" a="1"/>
  <c r="J13" i="6" s="1"/>
  <c r="J36" i="7" a="1"/>
  <c r="J36" i="7" s="1"/>
  <c r="J30" i="19" a="1"/>
  <c r="J30" i="19" s="1"/>
  <c r="J24" i="19" a="1"/>
  <c r="J24" i="19" s="1"/>
  <c r="J44" i="7" a="1"/>
  <c r="J44" i="7" s="1"/>
  <c r="J16" i="7" a="1"/>
  <c r="J16" i="7" s="1"/>
  <c r="J29" i="5" a="1"/>
  <c r="J29" i="5" s="1"/>
  <c r="J32" i="19" a="1"/>
  <c r="J32" i="19" s="1"/>
  <c r="J18" i="7" a="1"/>
  <c r="J18" i="7" s="1"/>
  <c r="J31" i="19" a="1"/>
  <c r="J31" i="19" s="1"/>
  <c r="J12" i="19" a="1"/>
  <c r="J12" i="19" s="1"/>
  <c r="J22" i="5" a="1"/>
  <c r="J22" i="5" s="1"/>
  <c r="J31" i="7" a="1"/>
  <c r="J31" i="7" s="1"/>
  <c r="J20" i="19" a="1"/>
  <c r="J20" i="19" s="1"/>
  <c r="J17" i="5" a="1"/>
  <c r="J17" i="5" s="1"/>
  <c r="J43" i="5" a="1"/>
  <c r="J43" i="5" s="1"/>
  <c r="J11" i="5" a="1"/>
  <c r="J11" i="5" s="1"/>
  <c r="J39" i="7" a="1"/>
  <c r="J39" i="7" s="1"/>
  <c r="J15" i="19" a="1"/>
  <c r="J15" i="19" s="1"/>
  <c r="J29" i="19" a="1"/>
  <c r="J29" i="19" s="1"/>
  <c r="J16" i="19" a="1"/>
  <c r="J16" i="19" s="1"/>
  <c r="J30" i="5" a="1"/>
  <c r="J30" i="5" s="1"/>
  <c r="J15" i="7" a="1"/>
  <c r="J15" i="7" s="1"/>
  <c r="J24" i="5" a="1"/>
  <c r="J24" i="5" s="1"/>
  <c r="J42" i="7" a="1"/>
  <c r="J42" i="7" s="1"/>
  <c r="J38" i="7" a="1"/>
  <c r="J38" i="7" s="1"/>
  <c r="J21" i="7" a="1"/>
  <c r="J21" i="7" s="1"/>
  <c r="J13" i="5" a="1"/>
  <c r="J13" i="5" s="1"/>
  <c r="J23" i="5" a="1"/>
  <c r="J23" i="5" s="1"/>
  <c r="J25" i="7" a="1"/>
  <c r="J25" i="7" s="1"/>
  <c r="J9" i="19" a="1"/>
  <c r="J9" i="19" s="1"/>
  <c r="J35" i="19" a="1"/>
  <c r="J35" i="19" s="1"/>
  <c r="J18" i="19" a="1"/>
  <c r="J18" i="19" s="1"/>
  <c r="J23" i="19" a="1"/>
  <c r="J23" i="19" s="1"/>
  <c r="J25" i="19" a="1"/>
  <c r="J25" i="19" s="1"/>
  <c r="J19" i="19" a="1"/>
  <c r="J19" i="19" s="1"/>
  <c r="J36" i="19" a="1"/>
  <c r="J36" i="19" s="1"/>
  <c r="J44" i="5" a="1"/>
  <c r="J44" i="5" s="1"/>
  <c r="J37" i="5" a="1"/>
  <c r="J37" i="5" s="1"/>
  <c r="J9" i="6" a="1"/>
  <c r="J9" i="6" s="1"/>
  <c r="J21" i="5" a="1"/>
  <c r="J21" i="5" s="1"/>
  <c r="J26" i="19" a="1"/>
  <c r="J26" i="19" s="1"/>
  <c r="J14" i="6" a="1"/>
  <c r="J14" i="6" s="1"/>
  <c r="J37" i="19" a="1"/>
  <c r="J37" i="19" s="1"/>
  <c r="J22" i="7" a="1"/>
  <c r="J22" i="7" s="1"/>
  <c r="J19" i="6" a="1"/>
  <c r="J19" i="6" s="1"/>
  <c r="J10" i="7" a="1"/>
  <c r="J10" i="7" s="1"/>
  <c r="J25" i="5" a="1"/>
  <c r="J25" i="5" s="1"/>
  <c r="J31" i="5" a="1"/>
  <c r="J31" i="5" s="1"/>
  <c r="J15" i="6" a="1"/>
  <c r="J15" i="6" s="1"/>
  <c r="J32" i="7" a="1"/>
  <c r="J32" i="7" s="1"/>
  <c r="J10" i="6" a="1"/>
  <c r="J10" i="6" s="1"/>
  <c r="J35" i="7" a="1"/>
  <c r="J35" i="7" s="1"/>
  <c r="J25" i="6" a="1"/>
  <c r="J25" i="6" s="1"/>
  <c r="J34" i="7" a="1"/>
  <c r="J34" i="7" s="1"/>
  <c r="J12" i="5" a="1"/>
  <c r="J12" i="5" s="1"/>
  <c r="J14" i="7" a="1"/>
  <c r="J14" i="7" s="1"/>
  <c r="J29" i="7" a="1"/>
  <c r="J29" i="7" s="1"/>
  <c r="J18" i="6" a="1"/>
  <c r="J18" i="6" s="1"/>
  <c r="J30" i="7" a="1"/>
  <c r="J30" i="7" s="1"/>
  <c r="N3" i="24"/>
  <c r="T38" i="9"/>
  <c r="V43" i="9"/>
  <c r="AM131" i="24"/>
  <c r="L131" i="24"/>
  <c r="I43" i="9"/>
  <c r="S6" i="6"/>
  <c r="AF131" i="24"/>
  <c r="O43" i="9"/>
  <c r="J132" i="24"/>
  <c r="G46" i="9"/>
  <c r="K49" i="9"/>
  <c r="N136" i="24"/>
  <c r="K53" i="9" s="1"/>
  <c r="Q136" i="24"/>
  <c r="N53" i="9" s="1"/>
  <c r="M49" i="9"/>
  <c r="P136" i="24"/>
  <c r="M53" i="9" s="1"/>
  <c r="AK136" i="24"/>
  <c r="T53" i="9" s="1"/>
  <c r="T49" i="9"/>
  <c r="AI136" i="24"/>
  <c r="S53" i="9" s="1"/>
  <c r="AI126" i="26" l="1"/>
  <c r="BG38" i="9" s="1"/>
  <c r="BG45" i="5"/>
  <c r="AJ126" i="26"/>
  <c r="BK38" i="9" s="1"/>
  <c r="BK45" i="5"/>
  <c r="BS43" i="9"/>
  <c r="AL132" i="26"/>
  <c r="BS46" i="9" s="1"/>
  <c r="AL137" i="26"/>
  <c r="BS53" i="9" s="1"/>
  <c r="BS50" i="9"/>
  <c r="BT50" i="9" s="1"/>
  <c r="AK126" i="26"/>
  <c r="BO38" i="9" s="1"/>
  <c r="BO45" i="5"/>
  <c r="AR132" i="24"/>
  <c r="AO49" i="9" s="1" a="1"/>
  <c r="AO49" i="9" s="1"/>
  <c r="AO46" i="9" a="1"/>
  <c r="AO46" i="9" s="1"/>
  <c r="BK136" i="24"/>
  <c r="AM132" i="24"/>
  <c r="BL131" i="24"/>
  <c r="K31" i="19" a="1"/>
  <c r="K31" i="19" s="1"/>
  <c r="F46" i="9"/>
  <c r="H132" i="24"/>
  <c r="E49" i="9" s="1"/>
  <c r="BR43" i="9"/>
  <c r="BR38" i="9"/>
  <c r="BT38" i="9" s="1"/>
  <c r="AH6" i="9"/>
  <c r="AF132" i="24"/>
  <c r="AQ136" i="24"/>
  <c r="K42" i="7" a="1"/>
  <c r="K42" i="7" s="1"/>
  <c r="R46" i="9"/>
  <c r="U46" i="9"/>
  <c r="P46" i="9"/>
  <c r="Q46" i="9"/>
  <c r="H49" i="9"/>
  <c r="K136" i="24"/>
  <c r="H53" i="9" s="1"/>
  <c r="K37" i="5" a="1"/>
  <c r="K37" i="5" s="1"/>
  <c r="K24" i="19" a="1"/>
  <c r="K24" i="19" s="1"/>
  <c r="K19" i="19" a="1"/>
  <c r="K19" i="19" s="1"/>
  <c r="K22" i="7" a="1"/>
  <c r="K22" i="7" s="1"/>
  <c r="K18" i="19" a="1"/>
  <c r="K18" i="19" s="1"/>
  <c r="K24" i="6" a="1"/>
  <c r="K24" i="6" s="1"/>
  <c r="K13" i="6" a="1"/>
  <c r="K13" i="6" s="1"/>
  <c r="K17" i="19" a="1"/>
  <c r="K17" i="19" s="1"/>
  <c r="K28" i="5" a="1"/>
  <c r="K28" i="5" s="1"/>
  <c r="K15" i="6" a="1"/>
  <c r="K15" i="6" s="1"/>
  <c r="K17" i="5" a="1"/>
  <c r="K17" i="5" s="1"/>
  <c r="K30" i="7" a="1"/>
  <c r="K30" i="7" s="1"/>
  <c r="K22" i="5" a="1"/>
  <c r="K22" i="5" s="1"/>
  <c r="K13" i="19" a="1"/>
  <c r="K13" i="19" s="1"/>
  <c r="K21" i="7" a="1"/>
  <c r="K21" i="7" s="1"/>
  <c r="K44" i="5" a="1"/>
  <c r="K44" i="5" s="1"/>
  <c r="K25" i="7" a="1"/>
  <c r="K25" i="7" s="1"/>
  <c r="K45" i="5" a="1"/>
  <c r="K45" i="5" s="1"/>
  <c r="K43" i="5" a="1"/>
  <c r="K43" i="5" s="1"/>
  <c r="K35" i="7" a="1"/>
  <c r="K35" i="7" s="1"/>
  <c r="K21" i="5" a="1"/>
  <c r="K21" i="5" s="1"/>
  <c r="K18" i="5" a="1"/>
  <c r="K18" i="5" s="1"/>
  <c r="K16" i="5" a="1"/>
  <c r="K16" i="5" s="1"/>
  <c r="K31" i="5" a="1"/>
  <c r="K31" i="5" s="1"/>
  <c r="K23" i="19" a="1"/>
  <c r="K23" i="19" s="1"/>
  <c r="K17" i="7" a="1"/>
  <c r="K17" i="7" s="1"/>
  <c r="K14" i="7" a="1"/>
  <c r="K14" i="7" s="1"/>
  <c r="K34" i="5" a="1"/>
  <c r="K34" i="5" s="1"/>
  <c r="K14" i="5" a="1"/>
  <c r="K14" i="5" s="1"/>
  <c r="K9" i="5" a="1"/>
  <c r="K9" i="5" s="1"/>
  <c r="K10" i="6" a="1"/>
  <c r="K10" i="6" s="1"/>
  <c r="K11" i="5" a="1"/>
  <c r="K11" i="5" s="1"/>
  <c r="K12" i="19" a="1"/>
  <c r="K12" i="19" s="1"/>
  <c r="K29" i="5" a="1"/>
  <c r="K29" i="5" s="1"/>
  <c r="K22" i="6" a="1"/>
  <c r="K22" i="6" s="1"/>
  <c r="K26" i="7" a="1"/>
  <c r="K26" i="7" s="1"/>
  <c r="K14" i="19" a="1"/>
  <c r="K14" i="19" s="1"/>
  <c r="K24" i="5" a="1"/>
  <c r="K24" i="5" s="1"/>
  <c r="K10" i="7" a="1"/>
  <c r="K10" i="7" s="1"/>
  <c r="K20" i="19" a="1"/>
  <c r="K20" i="19" s="1"/>
  <c r="K26" i="6" a="1"/>
  <c r="K26" i="6" s="1"/>
  <c r="K27" i="6" a="1"/>
  <c r="K27" i="6" s="1"/>
  <c r="K29" i="19" a="1"/>
  <c r="K29" i="19" s="1"/>
  <c r="K23" i="6" a="1"/>
  <c r="K23" i="6" s="1"/>
  <c r="K36" i="7" a="1"/>
  <c r="K36" i="7" s="1"/>
  <c r="K18" i="7" a="1"/>
  <c r="K18" i="7" s="1"/>
  <c r="K31" i="7" a="1"/>
  <c r="K31" i="7" s="1"/>
  <c r="K11" i="7" a="1"/>
  <c r="K11" i="7" s="1"/>
  <c r="K26" i="19" a="1"/>
  <c r="K26" i="19" s="1"/>
  <c r="K43" i="7" a="1"/>
  <c r="K43" i="7" s="1"/>
  <c r="K9" i="6" a="1"/>
  <c r="K9" i="6" s="1"/>
  <c r="K14" i="6" a="1"/>
  <c r="K14" i="6" s="1"/>
  <c r="K37" i="7" a="1"/>
  <c r="K37" i="7" s="1"/>
  <c r="K38" i="7" a="1"/>
  <c r="K38" i="7" s="1"/>
  <c r="K29" i="7" a="1"/>
  <c r="K29" i="7" s="1"/>
  <c r="K28" i="7" a="1"/>
  <c r="K28" i="7" s="1"/>
  <c r="K30" i="19" a="1"/>
  <c r="K30" i="19" s="1"/>
  <c r="K9" i="19" a="1"/>
  <c r="K9" i="19" s="1"/>
  <c r="K27" i="7" a="1"/>
  <c r="K27" i="7" s="1"/>
  <c r="K32" i="7" a="1"/>
  <c r="K32" i="7" s="1"/>
  <c r="K19" i="6" a="1"/>
  <c r="K19" i="6" s="1"/>
  <c r="K33" i="7" a="1"/>
  <c r="K33" i="7" s="1"/>
  <c r="K23" i="5" a="1"/>
  <c r="K23" i="5" s="1"/>
  <c r="K18" i="6" a="1"/>
  <c r="K18" i="6" s="1"/>
  <c r="K36" i="19" a="1"/>
  <c r="K36" i="19" s="1"/>
  <c r="K16" i="7" a="1"/>
  <c r="K16" i="7" s="1"/>
  <c r="K35" i="19" a="1"/>
  <c r="K35" i="19" s="1"/>
  <c r="K39" i="7" a="1"/>
  <c r="K39" i="7" s="1"/>
  <c r="K10" i="5" a="1"/>
  <c r="K10" i="5" s="1"/>
  <c r="K35" i="5" a="1"/>
  <c r="K35" i="5" s="1"/>
  <c r="K44" i="7" a="1"/>
  <c r="K44" i="7" s="1"/>
  <c r="K39" i="5" a="1"/>
  <c r="K39" i="5" s="1"/>
  <c r="K13" i="5" a="1"/>
  <c r="K13" i="5" s="1"/>
  <c r="K25" i="6" a="1"/>
  <c r="K25" i="6" s="1"/>
  <c r="K25" i="5" a="1"/>
  <c r="K25" i="5" s="1"/>
  <c r="K34" i="7" a="1"/>
  <c r="K34" i="7" s="1"/>
  <c r="K25" i="19" a="1"/>
  <c r="K25" i="19" s="1"/>
  <c r="K36" i="5" a="1"/>
  <c r="K36" i="5" s="1"/>
  <c r="K9" i="7" a="1"/>
  <c r="K9" i="7" s="1"/>
  <c r="K42" i="5" a="1"/>
  <c r="K42" i="5" s="1"/>
  <c r="K12" i="5" a="1"/>
  <c r="K12" i="5" s="1"/>
  <c r="K37" i="19" a="1"/>
  <c r="K37" i="19" s="1"/>
  <c r="K30" i="5" a="1"/>
  <c r="K30" i="5" s="1"/>
  <c r="K15" i="19" a="1"/>
  <c r="K15" i="19" s="1"/>
  <c r="K32" i="19" a="1"/>
  <c r="K32" i="19" s="1"/>
  <c r="K16" i="19" a="1"/>
  <c r="K16" i="19" s="1"/>
  <c r="K15" i="7" a="1"/>
  <c r="K15" i="7" s="1"/>
  <c r="O3" i="24"/>
  <c r="V46" i="9"/>
  <c r="L132" i="24"/>
  <c r="I46" i="9"/>
  <c r="T6" i="6"/>
  <c r="O46" i="9"/>
  <c r="BB46" i="9"/>
  <c r="BD46" i="9" s="1"/>
  <c r="G49" i="9"/>
  <c r="J136" i="24"/>
  <c r="G53" i="9" s="1"/>
  <c r="F49" i="9"/>
  <c r="I136" i="24"/>
  <c r="F53" i="9" s="1"/>
  <c r="BT43" i="9" l="1"/>
  <c r="H136" i="24"/>
  <c r="E53" i="9" s="1"/>
  <c r="BM132" i="24"/>
  <c r="AR136" i="24"/>
  <c r="AO53" i="9" s="1" a="1"/>
  <c r="AO53" i="9" s="1"/>
  <c r="L23" i="19" a="1"/>
  <c r="L23" i="19" s="1"/>
  <c r="BR46" i="9"/>
  <c r="BT46" i="9" s="1"/>
  <c r="BR49" i="9"/>
  <c r="BT49" i="9" s="1"/>
  <c r="AI6" i="9"/>
  <c r="L28" i="5" a="1"/>
  <c r="L28" i="5" s="1"/>
  <c r="R49" i="9"/>
  <c r="U49" i="9"/>
  <c r="L29" i="5" a="1"/>
  <c r="L29" i="5" s="1"/>
  <c r="L10" i="6" a="1"/>
  <c r="L10" i="6" s="1"/>
  <c r="L37" i="19" a="1"/>
  <c r="L37" i="19" s="1"/>
  <c r="P49" i="9"/>
  <c r="Q49" i="9"/>
  <c r="L24" i="19" a="1"/>
  <c r="L24" i="19" s="1"/>
  <c r="L30" i="19" a="1"/>
  <c r="L30" i="19" s="1"/>
  <c r="L9" i="19" a="1"/>
  <c r="L9" i="19" s="1"/>
  <c r="L19" i="19" a="1"/>
  <c r="L19" i="19" s="1"/>
  <c r="L23" i="6" a="1"/>
  <c r="L23" i="6" s="1"/>
  <c r="L14" i="5" a="1"/>
  <c r="L14" i="5" s="1"/>
  <c r="L18" i="19" a="1"/>
  <c r="L18" i="19" s="1"/>
  <c r="L45" i="5" a="1"/>
  <c r="L45" i="5" s="1"/>
  <c r="L21" i="5" a="1"/>
  <c r="L21" i="5" s="1"/>
  <c r="L11" i="7" a="1"/>
  <c r="L11" i="7" s="1"/>
  <c r="L9" i="6" a="1"/>
  <c r="L9" i="6" s="1"/>
  <c r="L43" i="7" a="1"/>
  <c r="L43" i="7" s="1"/>
  <c r="L44" i="5" a="1"/>
  <c r="L44" i="5" s="1"/>
  <c r="L18" i="7" a="1"/>
  <c r="L18" i="7" s="1"/>
  <c r="L24" i="5" a="1"/>
  <c r="L24" i="5" s="1"/>
  <c r="L29" i="19" a="1"/>
  <c r="L29" i="19" s="1"/>
  <c r="L33" i="7" a="1"/>
  <c r="L33" i="7" s="1"/>
  <c r="L13" i="6" a="1"/>
  <c r="L13" i="6" s="1"/>
  <c r="L12" i="19" a="1"/>
  <c r="L12" i="19" s="1"/>
  <c r="L18" i="5" a="1"/>
  <c r="L18" i="5" s="1"/>
  <c r="L10" i="5" a="1"/>
  <c r="L10" i="5" s="1"/>
  <c r="L39" i="7" a="1"/>
  <c r="L39" i="7" s="1"/>
  <c r="L13" i="19" a="1"/>
  <c r="L13" i="19" s="1"/>
  <c r="L36" i="19" a="1"/>
  <c r="L36" i="19" s="1"/>
  <c r="L28" i="7" a="1"/>
  <c r="L28" i="7" s="1"/>
  <c r="P3" i="24"/>
  <c r="M9" i="19" s="1" a="1"/>
  <c r="M9" i="19" s="1"/>
  <c r="V49" i="9"/>
  <c r="AM136" i="24"/>
  <c r="BL136" i="24" s="1"/>
  <c r="I49" i="9"/>
  <c r="L136" i="24"/>
  <c r="I53" i="9" s="1"/>
  <c r="U6" i="6"/>
  <c r="O49" i="9"/>
  <c r="AF136" i="24"/>
  <c r="AJ6" i="9" l="1"/>
  <c r="U53" i="9"/>
  <c r="Q53" i="9"/>
  <c r="R53" i="9"/>
  <c r="M31" i="19" a="1"/>
  <c r="M31" i="19" s="1"/>
  <c r="O53" i="9"/>
  <c r="P53" i="9"/>
  <c r="Q3" i="24"/>
  <c r="R3" i="24" s="1"/>
  <c r="S3" i="24" s="1"/>
  <c r="T3" i="24" s="1"/>
  <c r="U3" i="24" s="1"/>
  <c r="V3" i="24" s="1"/>
  <c r="W3" i="24" s="1"/>
  <c r="X3" i="24" s="1"/>
  <c r="Y3" i="24" s="1"/>
  <c r="Z3" i="24" s="1"/>
  <c r="AA3" i="24" s="1"/>
  <c r="AB3" i="24" s="1"/>
  <c r="AC3" i="24" s="1"/>
  <c r="AD3" i="24" s="1"/>
  <c r="AE3" i="24" s="1"/>
  <c r="AF3" i="24" s="1"/>
  <c r="AG3" i="24" s="1"/>
  <c r="AH3" i="24" s="1"/>
  <c r="AI3" i="24" s="1"/>
  <c r="AJ3" i="24" s="1"/>
  <c r="AK3" i="24" s="1"/>
  <c r="AL3" i="24" s="1"/>
  <c r="AM3" i="24" s="1"/>
  <c r="AN3" i="24" s="1"/>
  <c r="AO3" i="24" s="1"/>
  <c r="AP3" i="24" s="1"/>
  <c r="V53" i="9"/>
  <c r="V6" i="6"/>
  <c r="W6" i="6" s="1"/>
  <c r="X6" i="6" s="1"/>
  <c r="Y6" i="6" s="1"/>
  <c r="Z6" i="6" s="1"/>
  <c r="AA6" i="6" s="1"/>
  <c r="AB6" i="6" s="1"/>
  <c r="AC6" i="6" s="1"/>
  <c r="AD6" i="6" s="1"/>
  <c r="AE6" i="6" s="1"/>
  <c r="AF6" i="6" s="1"/>
  <c r="AG6" i="6" s="1"/>
  <c r="AH6" i="6" s="1"/>
  <c r="AI6" i="6" s="1"/>
  <c r="AJ6" i="6" s="1"/>
  <c r="AK6" i="6" s="1"/>
  <c r="AL6" i="6" s="1"/>
  <c r="AM6" i="6" s="1"/>
  <c r="AN6" i="6" s="1"/>
  <c r="AO6" i="6" s="1"/>
  <c r="AP6" i="6" l="1"/>
  <c r="AO22" i="6" a="1"/>
  <c r="AO22" i="6" s="1"/>
  <c r="AO13" i="6" a="1"/>
  <c r="AO13" i="6" s="1"/>
  <c r="AO19" i="6" a="1"/>
  <c r="AO19" i="6" s="1"/>
  <c r="AO18" i="6" a="1"/>
  <c r="AO18" i="6" s="1"/>
  <c r="AO27" i="6" a="1"/>
  <c r="AO27" i="6" s="1"/>
  <c r="AO26" i="6" a="1"/>
  <c r="AO26" i="6" s="1"/>
  <c r="AO10" i="6" a="1"/>
  <c r="AO10" i="6" s="1"/>
  <c r="AO25" i="6" a="1"/>
  <c r="AO25" i="6" s="1"/>
  <c r="AO9" i="6" a="1"/>
  <c r="AO9" i="6" s="1"/>
  <c r="AO14" i="6" a="1"/>
  <c r="AO14" i="6" s="1"/>
  <c r="AO24" i="6" a="1"/>
  <c r="AO24" i="6" s="1"/>
  <c r="AO15" i="6" a="1"/>
  <c r="AO15" i="6" s="1"/>
  <c r="AO23" i="6" a="1"/>
  <c r="AO23" i="6" s="1"/>
  <c r="AI39" i="9" a="1"/>
  <c r="AI39" i="9" s="1"/>
  <c r="AI35" i="9" a="1"/>
  <c r="AI35" i="9" s="1"/>
  <c r="AI23" i="9" a="1"/>
  <c r="AI23" i="9" s="1"/>
  <c r="AF38" i="9" a="1"/>
  <c r="AF38" i="9" s="1"/>
  <c r="AF44" i="9" a="1"/>
  <c r="AF44" i="9" s="1"/>
  <c r="AH53" i="9" a="1"/>
  <c r="AH53" i="9" s="1"/>
  <c r="AG25" i="9" a="1"/>
  <c r="AG25" i="9" s="1"/>
  <c r="AI49" i="9" a="1"/>
  <c r="AI49" i="9" s="1"/>
  <c r="AH17" i="9" a="1"/>
  <c r="AH17" i="9" s="1"/>
  <c r="AI25" i="9" a="1"/>
  <c r="AI25" i="9" s="1"/>
  <c r="AE44" i="9" a="1"/>
  <c r="AE44" i="9" s="1"/>
  <c r="AE17" i="9" a="1"/>
  <c r="AE17" i="9" s="1"/>
  <c r="AG13" i="9" a="1"/>
  <c r="AG13" i="9" s="1"/>
  <c r="AD45" i="9" a="1"/>
  <c r="AD45" i="9" s="1"/>
  <c r="AG24" i="9" a="1"/>
  <c r="AG24" i="9" s="1"/>
  <c r="AI45" i="9" a="1"/>
  <c r="AI45" i="9" s="1"/>
  <c r="AI31" i="9" a="1"/>
  <c r="AI31" i="9" s="1"/>
  <c r="AG16" i="9" a="1"/>
  <c r="AG16" i="9" s="1"/>
  <c r="AF18" i="9" a="1"/>
  <c r="AF18" i="9" s="1"/>
  <c r="AE39" i="9" a="1"/>
  <c r="AE39" i="9" s="1"/>
  <c r="AE38" i="9" a="1"/>
  <c r="AE38" i="9" s="1"/>
  <c r="AI18" i="9" a="1"/>
  <c r="AI18" i="9" s="1"/>
  <c r="AC24" i="9" a="1"/>
  <c r="AC24" i="9" s="1"/>
  <c r="AI10" i="9" a="1"/>
  <c r="AI10" i="9" s="1"/>
  <c r="AI43" i="9" a="1"/>
  <c r="AI43" i="9" s="1"/>
  <c r="AF50" i="9" a="1"/>
  <c r="AF50" i="9" s="1"/>
  <c r="AF29" i="9" a="1"/>
  <c r="AF29" i="9" s="1"/>
  <c r="AG43" i="9" a="1"/>
  <c r="AG43" i="9" s="1"/>
  <c r="AE42" i="9" a="1"/>
  <c r="AE42" i="9" s="1"/>
  <c r="AI11" i="9" a="1"/>
  <c r="AI11" i="9" s="1"/>
  <c r="AI44" i="9" a="1"/>
  <c r="AI44" i="9" s="1"/>
  <c r="AF25" i="9" a="1"/>
  <c r="AF25" i="9" s="1"/>
  <c r="AF9" i="9" a="1"/>
  <c r="AF9" i="9" s="1"/>
  <c r="AD25" i="9" a="1"/>
  <c r="AD25" i="9" s="1"/>
  <c r="AF35" i="9" a="1"/>
  <c r="AF35" i="9" s="1"/>
  <c r="AC53" i="9" a="1"/>
  <c r="AC53" i="9" s="1"/>
  <c r="AI14" i="9" a="1"/>
  <c r="AI14" i="9" s="1"/>
  <c r="AI51" i="9" a="1"/>
  <c r="AI51" i="9" s="1"/>
  <c r="AD11" i="9" a="1"/>
  <c r="AD11" i="9" s="1"/>
  <c r="AG46" i="9" a="1"/>
  <c r="AG46" i="9" s="1"/>
  <c r="AH50" i="9" a="1"/>
  <c r="AH50" i="9" s="1"/>
  <c r="AD17" i="9" a="1"/>
  <c r="AD17" i="9" s="1"/>
  <c r="AI15" i="9" a="1"/>
  <c r="AI15" i="9" s="1"/>
  <c r="AI42" i="9" a="1"/>
  <c r="AI42" i="9" s="1"/>
  <c r="AC34" i="9" a="1"/>
  <c r="AC34" i="9" s="1"/>
  <c r="AG11" i="9" a="1"/>
  <c r="AG11" i="9" s="1"/>
  <c r="AH34" i="9" a="1"/>
  <c r="AH34" i="9" s="1"/>
  <c r="AE10" i="9" a="1"/>
  <c r="AE10" i="9" s="1"/>
  <c r="AI37" i="9" a="1"/>
  <c r="AI37" i="9" s="1"/>
  <c r="AI12" i="9" a="1"/>
  <c r="AI12" i="9" s="1"/>
  <c r="AI46" i="9" a="1"/>
  <c r="AI46" i="9" s="1"/>
  <c r="AD52" i="9" a="1"/>
  <c r="AD52" i="9" s="1"/>
  <c r="AE36" i="9" a="1"/>
  <c r="AE36" i="9" s="1"/>
  <c r="AG35" i="9" a="1"/>
  <c r="AG35" i="9" s="1"/>
  <c r="AG51" i="9" a="1"/>
  <c r="AG51" i="9" s="1"/>
  <c r="AF34" i="9" a="1"/>
  <c r="AF34" i="9" s="1"/>
  <c r="AH11" i="9" a="1"/>
  <c r="AH11" i="9" s="1"/>
  <c r="AH18" i="9" a="1"/>
  <c r="AH18" i="9" s="1"/>
  <c r="AG23" i="9" a="1"/>
  <c r="AG23" i="9" s="1"/>
  <c r="AE49" i="9" a="1"/>
  <c r="AE49" i="9" s="1"/>
  <c r="AE51" i="9" a="1"/>
  <c r="AE51" i="9" s="1"/>
  <c r="AH16" i="9" a="1"/>
  <c r="AH16" i="9" s="1"/>
  <c r="AF30" i="9" a="1"/>
  <c r="AF30" i="9" s="1"/>
  <c r="AG36" i="9" a="1"/>
  <c r="AG36" i="9" s="1"/>
  <c r="AG44" i="9" a="1"/>
  <c r="AG44" i="9" s="1"/>
  <c r="AH45" i="9" a="1"/>
  <c r="AH45" i="9" s="1"/>
  <c r="AG31" i="9" a="1"/>
  <c r="AG31" i="9" s="1"/>
  <c r="AE23" i="9" a="1"/>
  <c r="AE23" i="9" s="1"/>
  <c r="AH24" i="9" a="1"/>
  <c r="AH24" i="9" s="1"/>
  <c r="AI36" i="9" a="1"/>
  <c r="AI36" i="9" s="1"/>
  <c r="AI13" i="9" a="1"/>
  <c r="AI13" i="9" s="1"/>
  <c r="AI24" i="9" a="1"/>
  <c r="AI24" i="9" s="1"/>
  <c r="AI30" i="9" a="1"/>
  <c r="AI30" i="9" s="1"/>
  <c r="AE13" i="9" a="1"/>
  <c r="AE13" i="9" s="1"/>
  <c r="AE34" i="9" a="1"/>
  <c r="AE34" i="9" s="1"/>
  <c r="AD53" i="9" a="1"/>
  <c r="AD53" i="9" s="1"/>
  <c r="AH38" i="9" a="1"/>
  <c r="AH38" i="9" s="1"/>
  <c r="AH10" i="9" a="1"/>
  <c r="AH10" i="9" s="1"/>
  <c r="AH29" i="9" a="1"/>
  <c r="AH29" i="9" s="1"/>
  <c r="AF49" i="9" a="1"/>
  <c r="AF49" i="9" s="1"/>
  <c r="AD42" i="9" a="1"/>
  <c r="AD42" i="9" s="1"/>
  <c r="AH39" i="9" a="1"/>
  <c r="AH39" i="9" s="1"/>
  <c r="AE53" i="9" a="1"/>
  <c r="AE53" i="9" s="1"/>
  <c r="AE18" i="9" a="1"/>
  <c r="AE18" i="9" s="1"/>
  <c r="AD29" i="9" a="1"/>
  <c r="AD29" i="9" s="1"/>
  <c r="AH14" i="9" a="1"/>
  <c r="AH14" i="9" s="1"/>
  <c r="AD38" i="9" a="1"/>
  <c r="AD38" i="9" s="1"/>
  <c r="AH51" i="9" a="1"/>
  <c r="AH51" i="9" s="1"/>
  <c r="AE50" i="9" a="1"/>
  <c r="AE50" i="9" s="1"/>
  <c r="AE46" i="9" a="1"/>
  <c r="AE46" i="9" s="1"/>
  <c r="AG14" i="9" a="1"/>
  <c r="AG14" i="9" s="1"/>
  <c r="AC36" i="9" a="1"/>
  <c r="AC36" i="9" s="1"/>
  <c r="AF15" i="9" a="1"/>
  <c r="AF15" i="9" s="1"/>
  <c r="AE24" i="9" a="1"/>
  <c r="AE24" i="9" s="1"/>
  <c r="AH35" i="9" a="1"/>
  <c r="AH35" i="9" s="1"/>
  <c r="AD14" i="9" a="1"/>
  <c r="AD14" i="9" s="1"/>
  <c r="AF16" i="9" a="1"/>
  <c r="AF16" i="9" s="1"/>
  <c r="AH13" i="9" a="1"/>
  <c r="AH13" i="9" s="1"/>
  <c r="AC46" i="9" a="1"/>
  <c r="AC46" i="9" s="1"/>
  <c r="AH31" i="9" a="1"/>
  <c r="AH31" i="9" s="1"/>
  <c r="AF42" i="9" a="1"/>
  <c r="AF42" i="9" s="1"/>
  <c r="AG39" i="9" a="1"/>
  <c r="AG39" i="9" s="1"/>
  <c r="AE35" i="9" a="1"/>
  <c r="AE35" i="9" s="1"/>
  <c r="AF53" i="9" a="1"/>
  <c r="AF53" i="9" s="1"/>
  <c r="AG12" i="9" a="1"/>
  <c r="AG12" i="9" s="1"/>
  <c r="AH23" i="9" a="1"/>
  <c r="AH23" i="9" s="1"/>
  <c r="AG30" i="9" a="1"/>
  <c r="AG30" i="9" s="1"/>
  <c r="AH36" i="9" a="1"/>
  <c r="AH36" i="9" s="1"/>
  <c r="AG37" i="9" a="1"/>
  <c r="AG37" i="9" s="1"/>
  <c r="AI34" i="9" a="1"/>
  <c r="AI34" i="9" s="1"/>
  <c r="AI16" i="9" a="1"/>
  <c r="AI16" i="9" s="1"/>
  <c r="AI50" i="9" a="1"/>
  <c r="AI50" i="9" s="1"/>
  <c r="AI53" i="9" a="1"/>
  <c r="AI53" i="9" s="1"/>
  <c r="AE45" i="9" a="1"/>
  <c r="AE45" i="9" s="1"/>
  <c r="AF12" i="9" a="1"/>
  <c r="AF12" i="9" s="1"/>
  <c r="AE43" i="9" a="1"/>
  <c r="AE43" i="9" s="1"/>
  <c r="AH43" i="9" a="1"/>
  <c r="AH43" i="9" s="1"/>
  <c r="AE16" i="9" a="1"/>
  <c r="AE16" i="9" s="1"/>
  <c r="AH52" i="9" a="1"/>
  <c r="AH52" i="9" s="1"/>
  <c r="AE11" i="9" a="1"/>
  <c r="AE11" i="9" s="1"/>
  <c r="AF46" i="9" a="1"/>
  <c r="AF46" i="9" s="1"/>
  <c r="AE25" i="9" a="1"/>
  <c r="AE25" i="9" s="1"/>
  <c r="AF17" i="9" a="1"/>
  <c r="AF17" i="9" s="1"/>
  <c r="AG9" i="9" a="1"/>
  <c r="AG9" i="9" s="1"/>
  <c r="AG17" i="9" a="1"/>
  <c r="AG17" i="9" s="1"/>
  <c r="AH12" i="9" a="1"/>
  <c r="AH12" i="9" s="1"/>
  <c r="AF24" i="9" a="1"/>
  <c r="AF24" i="9" s="1"/>
  <c r="AE30" i="9" a="1"/>
  <c r="AE30" i="9" s="1"/>
  <c r="AF13" i="9" a="1"/>
  <c r="AF13" i="9" s="1"/>
  <c r="AI52" i="9" a="1"/>
  <c r="AI52" i="9" s="1"/>
  <c r="AI38" i="9" a="1"/>
  <c r="AI38" i="9" s="1"/>
  <c r="AI9" i="9" a="1"/>
  <c r="AI9" i="9" s="1"/>
  <c r="AI17" i="9" a="1"/>
  <c r="AI17" i="9" s="1"/>
  <c r="AI29" i="9" a="1"/>
  <c r="AI29" i="9" s="1"/>
  <c r="AF45" i="9" a="1"/>
  <c r="AF45" i="9" s="1"/>
  <c r="AF31" i="9" a="1"/>
  <c r="AF31" i="9" s="1"/>
  <c r="AG52" i="9" a="1"/>
  <c r="AG52" i="9" s="1"/>
  <c r="AH37" i="9" a="1"/>
  <c r="AH37" i="9" s="1"/>
  <c r="AG45" i="9" a="1"/>
  <c r="AG45" i="9" s="1"/>
  <c r="AF39" i="9" a="1"/>
  <c r="AF39" i="9" s="1"/>
  <c r="AF23" i="9" a="1"/>
  <c r="AF23" i="9" s="1"/>
  <c r="AH42" i="9" a="1"/>
  <c r="AH42" i="9" s="1"/>
  <c r="AC49" i="9" a="1"/>
  <c r="AC49" i="9" s="1"/>
  <c r="AE29" i="9" a="1"/>
  <c r="AE29" i="9" s="1"/>
  <c r="AF51" i="9" a="1"/>
  <c r="AF51" i="9" s="1"/>
  <c r="AF11" i="9" a="1"/>
  <c r="AF11" i="9" s="1"/>
  <c r="AF43" i="9" a="1"/>
  <c r="AF43" i="9" s="1"/>
  <c r="AG10" i="9" a="1"/>
  <c r="AG10" i="9" s="1"/>
  <c r="AH15" i="9" a="1"/>
  <c r="AH15" i="9" s="1"/>
  <c r="AG49" i="9" a="1"/>
  <c r="AG49" i="9" s="1"/>
  <c r="AE14" i="9" a="1"/>
  <c r="AE14" i="9" s="1"/>
  <c r="AG38" i="9" a="1"/>
  <c r="AG38" i="9" s="1"/>
  <c r="AE15" i="9" a="1"/>
  <c r="AE15" i="9" s="1"/>
  <c r="AF36" i="9" a="1"/>
  <c r="AF36" i="9" s="1"/>
  <c r="AF10" i="9" a="1"/>
  <c r="AF10" i="9" s="1"/>
  <c r="AF14" i="9" a="1"/>
  <c r="AF14" i="9" s="1"/>
  <c r="AG29" i="9" a="1"/>
  <c r="AG29" i="9" s="1"/>
  <c r="AG50" i="9" a="1"/>
  <c r="AG50" i="9" s="1"/>
  <c r="AG53" i="9" a="1"/>
  <c r="AG53" i="9" s="1"/>
  <c r="AF52" i="9" a="1"/>
  <c r="AF52" i="9" s="1"/>
  <c r="AF37" i="9" a="1"/>
  <c r="AF37" i="9" s="1"/>
  <c r="AH46" i="9" a="1"/>
  <c r="AH46" i="9" s="1"/>
  <c r="AE12" i="9" a="1"/>
  <c r="AE12" i="9" s="1"/>
  <c r="AE52" i="9" a="1"/>
  <c r="AE52" i="9" s="1"/>
  <c r="AG42" i="9" a="1"/>
  <c r="AG42" i="9" s="1"/>
  <c r="AH49" i="9" a="1"/>
  <c r="AH49" i="9" s="1"/>
  <c r="AH9" i="9" a="1"/>
  <c r="AH9" i="9" s="1"/>
  <c r="AH30" i="9" a="1"/>
  <c r="AH30" i="9" s="1"/>
  <c r="AG15" i="9" a="1"/>
  <c r="AG15" i="9" s="1"/>
  <c r="AD18" i="9" a="1"/>
  <c r="AD18" i="9" s="1"/>
  <c r="AG34" i="9" a="1"/>
  <c r="AG34" i="9" s="1"/>
  <c r="AE37" i="9" a="1"/>
  <c r="AE37" i="9" s="1"/>
  <c r="AH25" i="9" a="1"/>
  <c r="AH25" i="9" s="1"/>
  <c r="AE31" i="9" a="1"/>
  <c r="AE31" i="9" s="1"/>
  <c r="AG18" i="9" a="1"/>
  <c r="AG18" i="9" s="1"/>
  <c r="AH44" i="9" a="1"/>
  <c r="AH44" i="9" s="1"/>
  <c r="BR53" i="9"/>
  <c r="BT53" i="9" s="1"/>
  <c r="AJ52" i="9" a="1"/>
  <c r="AJ52" i="9" s="1"/>
  <c r="AJ45" i="9" a="1"/>
  <c r="AJ45" i="9" s="1"/>
  <c r="AJ29" i="9" a="1"/>
  <c r="AJ29" i="9" s="1"/>
  <c r="AJ25" i="9" a="1"/>
  <c r="AJ25" i="9" s="1"/>
  <c r="AJ24" i="9" a="1"/>
  <c r="AJ24" i="9" s="1"/>
  <c r="AJ23" i="9" a="1"/>
  <c r="AJ23" i="9" s="1"/>
  <c r="AJ50" i="9" a="1"/>
  <c r="AJ50" i="9" s="1"/>
  <c r="AJ43" i="9" a="1"/>
  <c r="AJ43" i="9" s="1"/>
  <c r="AJ31" i="9" a="1"/>
  <c r="AJ31" i="9" s="1"/>
  <c r="AJ53" i="9" a="1"/>
  <c r="AJ53" i="9" s="1"/>
  <c r="AJ49" i="9" a="1"/>
  <c r="AJ49" i="9" s="1"/>
  <c r="AJ42" i="9" a="1"/>
  <c r="AJ42" i="9" s="1"/>
  <c r="AJ30" i="9" a="1"/>
  <c r="AJ30" i="9" s="1"/>
  <c r="AJ44" i="9" a="1"/>
  <c r="AJ44" i="9" s="1"/>
  <c r="AK6" i="9"/>
  <c r="AJ9" i="9" a="1"/>
  <c r="AJ9" i="9" s="1"/>
  <c r="AJ46" i="9" a="1"/>
  <c r="AJ46" i="9" s="1"/>
  <c r="AJ51" i="9" a="1"/>
  <c r="AJ51" i="9" s="1"/>
  <c r="AJ18" i="9" a="1"/>
  <c r="AJ18" i="9" s="1"/>
  <c r="AJ17" i="9" a="1"/>
  <c r="AJ17" i="9" s="1"/>
  <c r="AJ16" i="9" a="1"/>
  <c r="AJ16" i="9" s="1"/>
  <c r="AJ15" i="9" a="1"/>
  <c r="AJ15" i="9" s="1"/>
  <c r="AJ14" i="9" a="1"/>
  <c r="AJ14" i="9" s="1"/>
  <c r="AJ13" i="9" a="1"/>
  <c r="AJ13" i="9" s="1"/>
  <c r="AJ12" i="9" a="1"/>
  <c r="AJ12" i="9" s="1"/>
  <c r="AJ11" i="9" a="1"/>
  <c r="AJ11" i="9" s="1"/>
  <c r="AJ10" i="9" a="1"/>
  <c r="AJ10" i="9" s="1"/>
  <c r="AJ36" i="9" a="1"/>
  <c r="AJ36" i="9" s="1"/>
  <c r="AJ38" i="9" a="1"/>
  <c r="AJ38" i="9" s="1"/>
  <c r="AJ34" i="9" a="1"/>
  <c r="AJ34" i="9" s="1"/>
  <c r="AJ37" i="9" a="1"/>
  <c r="AJ37" i="9" s="1"/>
  <c r="AJ39" i="9" a="1"/>
  <c r="AJ39" i="9" s="1"/>
  <c r="AJ35" i="9" a="1"/>
  <c r="AJ35" i="9" s="1"/>
  <c r="AQ3" i="24"/>
  <c r="AQ6" i="6" l="1"/>
  <c r="AP23" i="6" a="1"/>
  <c r="AP23" i="6" s="1"/>
  <c r="AP14" i="6" a="1"/>
  <c r="AP14" i="6" s="1"/>
  <c r="AP22" i="6" a="1"/>
  <c r="AP22" i="6" s="1"/>
  <c r="AP13" i="6" a="1"/>
  <c r="AP13" i="6" s="1"/>
  <c r="AP19" i="6" a="1"/>
  <c r="AP19" i="6" s="1"/>
  <c r="AP18" i="6" a="1"/>
  <c r="AP18" i="6" s="1"/>
  <c r="AP24" i="6" a="1"/>
  <c r="AP24" i="6" s="1"/>
  <c r="AP27" i="6" a="1"/>
  <c r="AP27" i="6" s="1"/>
  <c r="AP15" i="6" a="1"/>
  <c r="AP15" i="6" s="1"/>
  <c r="AP26" i="6" a="1"/>
  <c r="AP26" i="6" s="1"/>
  <c r="AP10" i="6" a="1"/>
  <c r="AP10" i="6" s="1"/>
  <c r="AP25" i="6" a="1"/>
  <c r="AP25" i="6" s="1"/>
  <c r="AP9" i="6" a="1"/>
  <c r="AP9" i="6" s="1"/>
  <c r="AK51" i="9" a="1"/>
  <c r="AK51" i="9" s="1"/>
  <c r="AK44" i="9" a="1"/>
  <c r="AK44" i="9" s="1"/>
  <c r="AK46" i="9" a="1"/>
  <c r="AK46" i="9" s="1"/>
  <c r="AK29" i="9" a="1"/>
  <c r="AK29" i="9" s="1"/>
  <c r="AK25" i="9" a="1"/>
  <c r="AK25" i="9" s="1"/>
  <c r="AK24" i="9" a="1"/>
  <c r="AK24" i="9" s="1"/>
  <c r="AK23" i="9" a="1"/>
  <c r="AK23" i="9" s="1"/>
  <c r="AK53" i="9" a="1"/>
  <c r="AK53" i="9" s="1"/>
  <c r="AK49" i="9" a="1"/>
  <c r="AK49" i="9" s="1"/>
  <c r="AK42" i="9" a="1"/>
  <c r="AK42" i="9" s="1"/>
  <c r="AK30" i="9" a="1"/>
  <c r="AK30" i="9" s="1"/>
  <c r="AK52" i="9" a="1"/>
  <c r="AK52" i="9" s="1"/>
  <c r="AK45" i="9" a="1"/>
  <c r="AK45" i="9" s="1"/>
  <c r="AK9" i="9" a="1"/>
  <c r="AK9" i="9" s="1"/>
  <c r="AK50" i="9" a="1"/>
  <c r="AK50" i="9" s="1"/>
  <c r="AK43" i="9" a="1"/>
  <c r="AK43" i="9" s="1"/>
  <c r="AL6" i="9"/>
  <c r="AK31" i="9" a="1"/>
  <c r="AK31" i="9" s="1"/>
  <c r="AK18" i="9" a="1"/>
  <c r="AK18" i="9" s="1"/>
  <c r="AK17" i="9" a="1"/>
  <c r="AK17" i="9" s="1"/>
  <c r="AK16" i="9" a="1"/>
  <c r="AK16" i="9" s="1"/>
  <c r="AK15" i="9" a="1"/>
  <c r="AK15" i="9" s="1"/>
  <c r="AK14" i="9" a="1"/>
  <c r="AK14" i="9" s="1"/>
  <c r="AK13" i="9" a="1"/>
  <c r="AK13" i="9" s="1"/>
  <c r="AK12" i="9" a="1"/>
  <c r="AK12" i="9" s="1"/>
  <c r="AK11" i="9" a="1"/>
  <c r="AK11" i="9" s="1"/>
  <c r="AK10" i="9" a="1"/>
  <c r="AK10" i="9" s="1"/>
  <c r="AK37" i="9" a="1"/>
  <c r="AK37" i="9" s="1"/>
  <c r="AK38" i="9" a="1"/>
  <c r="AK38" i="9" s="1"/>
  <c r="AK36" i="9" a="1"/>
  <c r="AK36" i="9" s="1"/>
  <c r="AK39" i="9" a="1"/>
  <c r="AK39" i="9" s="1"/>
  <c r="AK35" i="9" a="1"/>
  <c r="AK35" i="9" s="1"/>
  <c r="AK34" i="9" a="1"/>
  <c r="AK34" i="9" s="1"/>
  <c r="AR3" i="24"/>
  <c r="AS3" i="24" s="1"/>
  <c r="AT3" i="24" s="1"/>
  <c r="AU3" i="24" s="1"/>
  <c r="AV3" i="24" s="1"/>
  <c r="AW3" i="24" s="1"/>
  <c r="AX3" i="24" s="1"/>
  <c r="AY3" i="24" s="1"/>
  <c r="AR6" i="6" l="1"/>
  <c r="AQ24" i="6" a="1"/>
  <c r="AQ24" i="6" s="1"/>
  <c r="AQ15" i="6" a="1"/>
  <c r="AQ15" i="6" s="1"/>
  <c r="AQ23" i="6" a="1"/>
  <c r="AQ23" i="6" s="1"/>
  <c r="AQ14" i="6" a="1"/>
  <c r="AQ14" i="6" s="1"/>
  <c r="AQ25" i="6" a="1"/>
  <c r="AQ25" i="6" s="1"/>
  <c r="AQ22" i="6" a="1"/>
  <c r="AQ22" i="6" s="1"/>
  <c r="AQ13" i="6" a="1"/>
  <c r="AQ13" i="6" s="1"/>
  <c r="AQ9" i="6" a="1"/>
  <c r="AQ9" i="6" s="1"/>
  <c r="AQ19" i="6" a="1"/>
  <c r="AQ19" i="6" s="1"/>
  <c r="AQ18" i="6" a="1"/>
  <c r="AQ18" i="6" s="1"/>
  <c r="AQ27" i="6" a="1"/>
  <c r="AQ27" i="6" s="1"/>
  <c r="AQ26" i="6" a="1"/>
  <c r="AQ26" i="6" s="1"/>
  <c r="AQ10" i="6" a="1"/>
  <c r="AQ10" i="6" s="1"/>
  <c r="AL51" i="9" a="1"/>
  <c r="AL51" i="9" s="1"/>
  <c r="AL44" i="9" a="1"/>
  <c r="AL44" i="9" s="1"/>
  <c r="AL29" i="9" a="1"/>
  <c r="AL29" i="9" s="1"/>
  <c r="AL25" i="9" a="1"/>
  <c r="AL25" i="9" s="1"/>
  <c r="AL24" i="9" a="1"/>
  <c r="AL24" i="9" s="1"/>
  <c r="AL23" i="9" a="1"/>
  <c r="AL23" i="9" s="1"/>
  <c r="AL46" i="9" a="1"/>
  <c r="AL46" i="9" s="1"/>
  <c r="AL50" i="9" a="1"/>
  <c r="AL50" i="9" s="1"/>
  <c r="AL43" i="9" a="1"/>
  <c r="AL43" i="9" s="1"/>
  <c r="AL31" i="9" a="1"/>
  <c r="AL31" i="9" s="1"/>
  <c r="AL53" i="9" a="1"/>
  <c r="AL53" i="9" s="1"/>
  <c r="AL49" i="9" a="1"/>
  <c r="AL49" i="9" s="1"/>
  <c r="AL42" i="9" a="1"/>
  <c r="AL42" i="9" s="1"/>
  <c r="AL30" i="9" a="1"/>
  <c r="AL30" i="9" s="1"/>
  <c r="AL52" i="9" a="1"/>
  <c r="AL52" i="9" s="1"/>
  <c r="AL45" i="9" a="1"/>
  <c r="AL45" i="9" s="1"/>
  <c r="AL18" i="9" a="1"/>
  <c r="AL18" i="9" s="1"/>
  <c r="AL17" i="9" a="1"/>
  <c r="AL17" i="9" s="1"/>
  <c r="AL16" i="9" a="1"/>
  <c r="AL16" i="9" s="1"/>
  <c r="AL15" i="9" a="1"/>
  <c r="AL15" i="9" s="1"/>
  <c r="AL14" i="9" a="1"/>
  <c r="AL14" i="9" s="1"/>
  <c r="AL13" i="9" a="1"/>
  <c r="AL13" i="9" s="1"/>
  <c r="AL12" i="9" a="1"/>
  <c r="AL12" i="9" s="1"/>
  <c r="AL11" i="9" a="1"/>
  <c r="AL11" i="9" s="1"/>
  <c r="AL10" i="9" a="1"/>
  <c r="AL10" i="9" s="1"/>
  <c r="AM6" i="9"/>
  <c r="AL9" i="9" a="1"/>
  <c r="AL9" i="9" s="1"/>
  <c r="AL37" i="9" a="1"/>
  <c r="AL37" i="9" s="1"/>
  <c r="AL38" i="9" a="1"/>
  <c r="AL38" i="9" s="1"/>
  <c r="AL36" i="9" a="1"/>
  <c r="AL36" i="9" s="1"/>
  <c r="AL35" i="9" a="1"/>
  <c r="AL35" i="9" s="1"/>
  <c r="AL34" i="9" a="1"/>
  <c r="AL34" i="9" s="1"/>
  <c r="AL39" i="9" a="1"/>
  <c r="AL39" i="9" s="1"/>
  <c r="AS6" i="6" l="1"/>
  <c r="AR26" i="6" a="1"/>
  <c r="AR26" i="6" s="1"/>
  <c r="AR9" i="6" a="1"/>
  <c r="AR9" i="6" s="1"/>
  <c r="AR25" i="6" a="1"/>
  <c r="AR25" i="6" s="1"/>
  <c r="AR15" i="6" a="1"/>
  <c r="AR15" i="6" s="1"/>
  <c r="AR27" i="6" a="1"/>
  <c r="AR27" i="6" s="1"/>
  <c r="AR24" i="6" a="1"/>
  <c r="AR24" i="6" s="1"/>
  <c r="AR14" i="6" a="1"/>
  <c r="AR14" i="6" s="1"/>
  <c r="AR23" i="6" a="1"/>
  <c r="AR23" i="6" s="1"/>
  <c r="AR13" i="6" a="1"/>
  <c r="AR13" i="6" s="1"/>
  <c r="AR22" i="6" a="1"/>
  <c r="AR22" i="6" s="1"/>
  <c r="AR19" i="6" a="1"/>
  <c r="AR19" i="6" s="1"/>
  <c r="AR18" i="6" a="1"/>
  <c r="AR18" i="6" s="1"/>
  <c r="AR10" i="6" a="1"/>
  <c r="AR10" i="6" s="1"/>
  <c r="BJ51" i="9" a="1"/>
  <c r="BJ51" i="9" s="1"/>
  <c r="BL51" i="9" s="1"/>
  <c r="BR13" i="9" a="1"/>
  <c r="BR13" i="9" s="1"/>
  <c r="BT13" i="9" s="1"/>
  <c r="BV12" i="9" a="1"/>
  <c r="BV12" i="9" s="1"/>
  <c r="AC42" i="9" a="1"/>
  <c r="AC42" i="9" s="1"/>
  <c r="BF24" i="9" a="1"/>
  <c r="BF24" i="9" s="1"/>
  <c r="BH24" i="9" s="1"/>
  <c r="BB51" i="9" a="1"/>
  <c r="BB51" i="9" s="1"/>
  <c r="BD51" i="9" s="1"/>
  <c r="BF12" i="9" a="1"/>
  <c r="BF12" i="9" s="1"/>
  <c r="BH12" i="9" s="1"/>
  <c r="BV10" i="9" a="1"/>
  <c r="BV10" i="9" s="1"/>
  <c r="BN13" i="9" a="1"/>
  <c r="BN13" i="9" s="1"/>
  <c r="BN31" i="9" a="1"/>
  <c r="BN31" i="9" s="1"/>
  <c r="BV53" i="9" a="1"/>
  <c r="BV53" i="9" s="1"/>
  <c r="BJ18" i="9" a="1"/>
  <c r="BJ18" i="9" s="1"/>
  <c r="BL18" i="9" s="1"/>
  <c r="BV38" i="9" a="1"/>
  <c r="BV38" i="9" s="1"/>
  <c r="AC44" i="9" a="1"/>
  <c r="AC44" i="9" s="1"/>
  <c r="BV20" i="9" a="1"/>
  <c r="BV20" i="9" s="1"/>
  <c r="BB42" i="9" a="1"/>
  <c r="BB42" i="9" s="1"/>
  <c r="BD42" i="9" s="1"/>
  <c r="BF23" i="9" a="1"/>
  <c r="BF23" i="9" s="1"/>
  <c r="BH23" i="9" s="1"/>
  <c r="BB36" i="9" a="1"/>
  <c r="BB36" i="9" s="1"/>
  <c r="BD36" i="9" s="1"/>
  <c r="BB45" i="9" a="1"/>
  <c r="BB45" i="9" s="1"/>
  <c r="BD45" i="9" s="1"/>
  <c r="AC31" i="9" a="1"/>
  <c r="AC31" i="9" s="1"/>
  <c r="AC51" i="9" a="1"/>
  <c r="AC51" i="9" s="1"/>
  <c r="BJ12" i="9" a="1"/>
  <c r="BJ12" i="9" s="1"/>
  <c r="BL12" i="9" s="1"/>
  <c r="AD39" i="9" a="1"/>
  <c r="AD39" i="9" s="1"/>
  <c r="BB9" i="9" a="1"/>
  <c r="BB9" i="9" s="1"/>
  <c r="BD9" i="9" s="1"/>
  <c r="BJ29" i="9" a="1"/>
  <c r="BJ29" i="9" s="1"/>
  <c r="BL29" i="9" s="1"/>
  <c r="AC15" i="9" a="1"/>
  <c r="AC15" i="9" s="1"/>
  <c r="BV52" i="9" a="1"/>
  <c r="BV52" i="9" s="1"/>
  <c r="BJ35" i="9" a="1"/>
  <c r="BJ35" i="9" s="1"/>
  <c r="BL35" i="9" s="1"/>
  <c r="BN45" i="9" a="1"/>
  <c r="BN45" i="9" s="1"/>
  <c r="BB44" i="9" a="1"/>
  <c r="BB44" i="9" s="1"/>
  <c r="BD44" i="9" s="1"/>
  <c r="BN51" i="9" a="1"/>
  <c r="BN51" i="9" s="1"/>
  <c r="BJ13" i="9" a="1"/>
  <c r="BJ13" i="9" s="1"/>
  <c r="BL13" i="9" s="1"/>
  <c r="AC11" i="9" a="1"/>
  <c r="AC11" i="9" s="1"/>
  <c r="BJ15" i="9" a="1"/>
  <c r="BJ15" i="9" s="1"/>
  <c r="BL15" i="9" s="1"/>
  <c r="BN42" i="9" a="1"/>
  <c r="BN42" i="9" s="1"/>
  <c r="BR16" i="9" a="1"/>
  <c r="BR16" i="9" s="1"/>
  <c r="BT16" i="9" s="1"/>
  <c r="AC17" i="9" a="1"/>
  <c r="AC17" i="9" s="1"/>
  <c r="BB37" i="9" a="1"/>
  <c r="BB37" i="9" s="1"/>
  <c r="BD37" i="9" s="1"/>
  <c r="BJ42" i="9" a="1"/>
  <c r="BJ42" i="9" s="1"/>
  <c r="BL42" i="9" s="1"/>
  <c r="BF25" i="9" a="1"/>
  <c r="BF25" i="9" s="1"/>
  <c r="BH25" i="9" s="1"/>
  <c r="BB11" i="9" a="1"/>
  <c r="BB11" i="9" s="1"/>
  <c r="BD11" i="9" s="1"/>
  <c r="BN35" i="9" a="1"/>
  <c r="BN35" i="9" s="1"/>
  <c r="AC45" i="9" a="1"/>
  <c r="AC45" i="9" s="1"/>
  <c r="BB25" i="9" a="1"/>
  <c r="BB25" i="9" s="1"/>
  <c r="BD25" i="9" s="1"/>
  <c r="BJ44" i="9" a="1"/>
  <c r="BJ44" i="9" s="1"/>
  <c r="BL44" i="9" s="1"/>
  <c r="AN9" i="19" a="1"/>
  <c r="AN9" i="19" s="1"/>
  <c r="BR15" i="9" a="1"/>
  <c r="BR15" i="9" s="1"/>
  <c r="BT15" i="9" s="1"/>
  <c r="BB18" i="9" a="1"/>
  <c r="BB18" i="9" s="1"/>
  <c r="BD18" i="9" s="1"/>
  <c r="BJ9" i="9" a="1"/>
  <c r="BJ9" i="9" s="1"/>
  <c r="BL9" i="9" s="1"/>
  <c r="BN50" i="9" a="1"/>
  <c r="BN50" i="9" s="1"/>
  <c r="BB17" i="9" a="1"/>
  <c r="BB17" i="9" s="1"/>
  <c r="BD17" i="9" s="1"/>
  <c r="BN16" i="9" a="1"/>
  <c r="BN16" i="9" s="1"/>
  <c r="BF13" i="9" a="1"/>
  <c r="BF13" i="9" s="1"/>
  <c r="BH13" i="9" s="1"/>
  <c r="BV51" i="9" a="1"/>
  <c r="BV51" i="9" s="1"/>
  <c r="BV31" i="9" a="1"/>
  <c r="BV31" i="9" s="1"/>
  <c r="BF29" i="9" a="1"/>
  <c r="BF29" i="9" s="1"/>
  <c r="BH29" i="9" s="1"/>
  <c r="BF18" i="9" a="1"/>
  <c r="BF18" i="9" s="1"/>
  <c r="BH18" i="9" s="1"/>
  <c r="BV24" i="9" a="1"/>
  <c r="BV24" i="9" s="1"/>
  <c r="BN44" i="9" a="1"/>
  <c r="BN44" i="9" s="1"/>
  <c r="BN36" i="9" a="1"/>
  <c r="BN36" i="9" s="1"/>
  <c r="BB16" i="9" a="1"/>
  <c r="BB16" i="9" s="1"/>
  <c r="BD16" i="9" s="1"/>
  <c r="BJ24" i="9" a="1"/>
  <c r="BJ24" i="9" s="1"/>
  <c r="BL24" i="9" s="1"/>
  <c r="BF45" i="9" a="1"/>
  <c r="BF45" i="9" s="1"/>
  <c r="BH45" i="9" s="1"/>
  <c r="AC29" i="9" a="1"/>
  <c r="AC29" i="9" s="1"/>
  <c r="BF42" i="9" a="1"/>
  <c r="BF42" i="9" s="1"/>
  <c r="BH42" i="9" s="1"/>
  <c r="AC12" i="9" a="1"/>
  <c r="AC12" i="9" s="1"/>
  <c r="BF30" i="9" a="1"/>
  <c r="BF30" i="9" s="1"/>
  <c r="BH30" i="9" s="1"/>
  <c r="BJ30" i="9" a="1"/>
  <c r="BJ30" i="9" s="1"/>
  <c r="BL30" i="9" s="1"/>
  <c r="BR12" i="9" a="1"/>
  <c r="BR12" i="9" s="1"/>
  <c r="BT12" i="9" s="1"/>
  <c r="BR9" i="9" a="1"/>
  <c r="BR9" i="9" s="1"/>
  <c r="BT9" i="9" s="1"/>
  <c r="BV9" i="9" a="1"/>
  <c r="BV9" i="9" s="1"/>
  <c r="AC52" i="9" a="1"/>
  <c r="AC52" i="9" s="1"/>
  <c r="BV46" i="9" a="1"/>
  <c r="BV46" i="9" s="1"/>
  <c r="AM9" i="19" a="1"/>
  <c r="AM9" i="19" s="1"/>
  <c r="BB23" i="9" a="1"/>
  <c r="BB23" i="9" s="1"/>
  <c r="BD23" i="9" s="1"/>
  <c r="BB29" i="9" a="1"/>
  <c r="BB29" i="9" s="1"/>
  <c r="BD29" i="9" s="1"/>
  <c r="BN15" i="9" a="1"/>
  <c r="BN15" i="9" s="1"/>
  <c r="BF51" i="9" a="1"/>
  <c r="BF51" i="9" s="1"/>
  <c r="BH51" i="9" s="1"/>
  <c r="BV14" i="9" a="1"/>
  <c r="BV14" i="9" s="1"/>
  <c r="AC16" i="9" a="1"/>
  <c r="AC16" i="9" s="1"/>
  <c r="BJ20" i="9" a="1"/>
  <c r="BJ20" i="9" s="1"/>
  <c r="BL20" i="9" s="1"/>
  <c r="BF37" i="9" a="1"/>
  <c r="BF37" i="9" s="1"/>
  <c r="BH37" i="9" s="1"/>
  <c r="BJ39" i="9" a="1"/>
  <c r="BJ39" i="9" s="1"/>
  <c r="BL39" i="9" s="1"/>
  <c r="AN21" i="5" a="1"/>
  <c r="AN21" i="5" s="1"/>
  <c r="AD35" i="9" a="1"/>
  <c r="AD35" i="9" s="1"/>
  <c r="AD37" i="9" a="1"/>
  <c r="AD37" i="9" s="1"/>
  <c r="BN14" i="9" a="1"/>
  <c r="BN14" i="9" s="1"/>
  <c r="AC39" i="9" a="1"/>
  <c r="AC39" i="9" s="1"/>
  <c r="AC18" i="9" a="1"/>
  <c r="AC18" i="9" s="1"/>
  <c r="BN10" i="9" a="1"/>
  <c r="BN10" i="9" s="1"/>
  <c r="BJ31" i="9" a="1"/>
  <c r="BJ31" i="9" s="1"/>
  <c r="BL31" i="9" s="1"/>
  <c r="BN39" i="9" a="1"/>
  <c r="BN39" i="9" s="1"/>
  <c r="BR17" i="9" a="1"/>
  <c r="BR17" i="9" s="1"/>
  <c r="BT17" i="9" s="1"/>
  <c r="AC35" i="9" a="1"/>
  <c r="AC35" i="9" s="1"/>
  <c r="AC9" i="9" a="1"/>
  <c r="AC9" i="9" s="1"/>
  <c r="BN17" i="9" a="1"/>
  <c r="BN17" i="9" s="1"/>
  <c r="AC10" i="9" a="1"/>
  <c r="AC10" i="9" s="1"/>
  <c r="BJ11" i="9" a="1"/>
  <c r="BJ11" i="9" s="1"/>
  <c r="BL11" i="9" s="1"/>
  <c r="BF34" i="9" a="1"/>
  <c r="BF34" i="9" s="1"/>
  <c r="BH34" i="9" s="1"/>
  <c r="AI18" i="19" a="1"/>
  <c r="AI18" i="19" s="1"/>
  <c r="BF11" i="9" a="1"/>
  <c r="BF11" i="9" s="1"/>
  <c r="BH11" i="9" s="1"/>
  <c r="BV16" i="9" a="1"/>
  <c r="BV16" i="9" s="1"/>
  <c r="BV36" i="9" a="1"/>
  <c r="BV36" i="9" s="1"/>
  <c r="BB35" i="9" a="1"/>
  <c r="BB35" i="9" s="1"/>
  <c r="BD35" i="9" s="1"/>
  <c r="BB31" i="9" a="1"/>
  <c r="BB31" i="9" s="1"/>
  <c r="BD31" i="9" s="1"/>
  <c r="BN25" i="9" a="1"/>
  <c r="BN25" i="9" s="1"/>
  <c r="AC30" i="9" a="1"/>
  <c r="AC30" i="9" s="1"/>
  <c r="BJ16" i="9" a="1"/>
  <c r="BJ16" i="9" s="1"/>
  <c r="BL16" i="9" s="1"/>
  <c r="BN18" i="9" a="1"/>
  <c r="BN18" i="9" s="1"/>
  <c r="BJ50" i="9" a="1"/>
  <c r="BJ50" i="9" s="1"/>
  <c r="BL50" i="9" s="1"/>
  <c r="BR11" i="9" a="1"/>
  <c r="BR11" i="9" s="1"/>
  <c r="BT11" i="9" s="1"/>
  <c r="AD31" i="9" a="1"/>
  <c r="AD31" i="9" s="1"/>
  <c r="BJ38" i="9" a="1"/>
  <c r="BJ38" i="9" s="1"/>
  <c r="BL38" i="9" s="1"/>
  <c r="BF16" i="9" a="1"/>
  <c r="BF16" i="9" s="1"/>
  <c r="BH16" i="9" s="1"/>
  <c r="BV11" i="9" a="1"/>
  <c r="BV11" i="9" s="1"/>
  <c r="AD16" i="9" a="1"/>
  <c r="AD16" i="9" s="1"/>
  <c r="BN20" i="9" a="1"/>
  <c r="BN20" i="9" s="1"/>
  <c r="AD44" i="9" a="1"/>
  <c r="AD44" i="9" s="1"/>
  <c r="BV15" i="9" a="1"/>
  <c r="BV15" i="9" s="1"/>
  <c r="BR14" i="9" a="1"/>
  <c r="BR14" i="9" s="1"/>
  <c r="BT14" i="9" s="1"/>
  <c r="BN12" i="9" a="1"/>
  <c r="BN12" i="9" s="1"/>
  <c r="AD10" i="9" a="1"/>
  <c r="AD10" i="9" s="1"/>
  <c r="BB30" i="9" a="1"/>
  <c r="BB30" i="9" s="1"/>
  <c r="BD30" i="9" s="1"/>
  <c r="AD9" i="9" a="1"/>
  <c r="AD9" i="9" s="1"/>
  <c r="BV49" i="9" a="1"/>
  <c r="BV49" i="9" s="1"/>
  <c r="AC38" i="9" a="1"/>
  <c r="AC38" i="9" s="1"/>
  <c r="AE9" i="9" a="1"/>
  <c r="AE9" i="9" s="1"/>
  <c r="BJ45" i="9" a="1"/>
  <c r="BJ45" i="9" s="1"/>
  <c r="BL45" i="9" s="1"/>
  <c r="BB38" i="9" a="1"/>
  <c r="BB38" i="9" s="1"/>
  <c r="BD38" i="9" s="1"/>
  <c r="BJ14" i="9" a="1"/>
  <c r="BJ14" i="9" s="1"/>
  <c r="BL14" i="9" s="1"/>
  <c r="BV30" i="9" a="1"/>
  <c r="BV30" i="9" s="1"/>
  <c r="BN37" i="9" a="1"/>
  <c r="BN37" i="9" s="1"/>
  <c r="BV35" i="9" a="1"/>
  <c r="BV35" i="9" s="1"/>
  <c r="AC13" i="9" a="1"/>
  <c r="AC13" i="9" s="1"/>
  <c r="BJ17" i="9" a="1"/>
  <c r="BJ17" i="9" s="1"/>
  <c r="BL17" i="9" s="1"/>
  <c r="BV25" i="9" a="1"/>
  <c r="BV25" i="9" s="1"/>
  <c r="BB39" i="9" a="1"/>
  <c r="BB39" i="9" s="1"/>
  <c r="BD39" i="9" s="1"/>
  <c r="BJ10" i="9" a="1"/>
  <c r="BJ10" i="9" s="1"/>
  <c r="BL10" i="9" s="1"/>
  <c r="BB34" i="9" a="1"/>
  <c r="BB34" i="9" s="1"/>
  <c r="BD34" i="9" s="1"/>
  <c r="BF39" i="9" a="1"/>
  <c r="BF39" i="9" s="1"/>
  <c r="BH39" i="9" s="1"/>
  <c r="BB12" i="9" a="1"/>
  <c r="BB12" i="9" s="1"/>
  <c r="BD12" i="9" s="1"/>
  <c r="BF10" i="9" a="1"/>
  <c r="BF10" i="9" s="1"/>
  <c r="BH10" i="9" s="1"/>
  <c r="BV13" i="9" a="1"/>
  <c r="BV13" i="9" s="1"/>
  <c r="AD34" i="9" a="1"/>
  <c r="AD34" i="9" s="1"/>
  <c r="BN30" i="9" a="1"/>
  <c r="BN30" i="9" s="1"/>
  <c r="BF9" i="9" a="1"/>
  <c r="BF9" i="9" s="1"/>
  <c r="BH9" i="9" s="1"/>
  <c r="AD13" i="9" a="1"/>
  <c r="AD13" i="9" s="1"/>
  <c r="BJ52" i="9" a="1"/>
  <c r="BJ52" i="9" s="1"/>
  <c r="BL52" i="9" s="1"/>
  <c r="BJ25" i="9" a="1"/>
  <c r="BJ25" i="9" s="1"/>
  <c r="BL25" i="9" s="1"/>
  <c r="BB14" i="9" a="1"/>
  <c r="BB14" i="9" s="1"/>
  <c r="BD14" i="9" s="1"/>
  <c r="AD24" i="9" a="1"/>
  <c r="AD24" i="9" s="1"/>
  <c r="BF17" i="9" a="1"/>
  <c r="BF17" i="9" s="1"/>
  <c r="BH17" i="9" s="1"/>
  <c r="AC50" i="9" a="1"/>
  <c r="AC50" i="9" s="1"/>
  <c r="AD46" i="9" a="1"/>
  <c r="AD46" i="9" s="1"/>
  <c r="BV29" i="9" a="1"/>
  <c r="BV29" i="9" s="1"/>
  <c r="AC25" i="9" a="1"/>
  <c r="AC25" i="9" s="1"/>
  <c r="AC23" i="9" a="1"/>
  <c r="AC23" i="9" s="1"/>
  <c r="AD50" i="9" a="1"/>
  <c r="AD50" i="9" s="1"/>
  <c r="AD30" i="9" a="1"/>
  <c r="AD30" i="9" s="1"/>
  <c r="BB13" i="9" a="1"/>
  <c r="BB13" i="9" s="1"/>
  <c r="BD13" i="9" s="1"/>
  <c r="AC37" i="9" a="1"/>
  <c r="AC37" i="9" s="1"/>
  <c r="BV17" i="9" a="1"/>
  <c r="BV17" i="9" s="1"/>
  <c r="BF35" i="9" a="1"/>
  <c r="BF35" i="9" s="1"/>
  <c r="BH35" i="9" s="1"/>
  <c r="BF52" i="9" a="1"/>
  <c r="BF52" i="9" s="1"/>
  <c r="BH52" i="9" s="1"/>
  <c r="BN11" i="9" a="1"/>
  <c r="BN11" i="9" s="1"/>
  <c r="BV18" i="9" a="1"/>
  <c r="BV18" i="9" s="1"/>
  <c r="AD12" i="9" a="1"/>
  <c r="AD12" i="9" s="1"/>
  <c r="BB10" i="9" a="1"/>
  <c r="BB10" i="9" s="1"/>
  <c r="BD10" i="9" s="1"/>
  <c r="AD49" i="9" a="1"/>
  <c r="AD49" i="9" s="1"/>
  <c r="BF31" i="9" a="1"/>
  <c r="BF31" i="9" s="1"/>
  <c r="BH31" i="9" s="1"/>
  <c r="BN9" i="9" a="1"/>
  <c r="BN9" i="9" s="1"/>
  <c r="BN29" i="9" a="1"/>
  <c r="BN29" i="9" s="1"/>
  <c r="AD23" i="9" a="1"/>
  <c r="AD23" i="9" s="1"/>
  <c r="BV37" i="9" a="1"/>
  <c r="BV37" i="9" s="1"/>
  <c r="AC14" i="9" a="1"/>
  <c r="AC14" i="9" s="1"/>
  <c r="AD51" i="9" a="1"/>
  <c r="AD51" i="9" s="1"/>
  <c r="BV50" i="9" a="1"/>
  <c r="BV50" i="9" s="1"/>
  <c r="BN52" i="9" a="1"/>
  <c r="BN52" i="9" s="1"/>
  <c r="BJ23" i="9" a="1"/>
  <c r="BJ23" i="9" s="1"/>
  <c r="BL23" i="9" s="1"/>
  <c r="AD36" i="9" a="1"/>
  <c r="AD36" i="9" s="1"/>
  <c r="BV23" i="9" a="1"/>
  <c r="BV23" i="9" s="1"/>
  <c r="BF44" i="9" a="1"/>
  <c r="BF44" i="9" s="1"/>
  <c r="BH44" i="9" s="1"/>
  <c r="BB24" i="9" a="1"/>
  <c r="BB24" i="9" s="1"/>
  <c r="BD24" i="9" s="1"/>
  <c r="AD15" i="9" a="1"/>
  <c r="AD15" i="9" s="1"/>
  <c r="BJ36" i="9" a="1"/>
  <c r="BJ36" i="9" s="1"/>
  <c r="BL36" i="9" s="1"/>
  <c r="BF36" i="9" a="1"/>
  <c r="BF36" i="9" s="1"/>
  <c r="BH36" i="9" s="1"/>
  <c r="BR10" i="9" a="1"/>
  <c r="BR10" i="9" s="1"/>
  <c r="BT10" i="9" s="1"/>
  <c r="BV42" i="9" a="1"/>
  <c r="BV42" i="9" s="1"/>
  <c r="BN38" i="9" a="1"/>
  <c r="BN38" i="9" s="1"/>
  <c r="BV44" i="9" a="1"/>
  <c r="BV44" i="9" s="1"/>
  <c r="AC43" i="9" a="1"/>
  <c r="AC43" i="9" s="1"/>
  <c r="BF14" i="9" a="1"/>
  <c r="BF14" i="9" s="1"/>
  <c r="BH14" i="9" s="1"/>
  <c r="BJ37" i="9" a="1"/>
  <c r="BJ37" i="9" s="1"/>
  <c r="BL37" i="9" s="1"/>
  <c r="AD43" i="9" a="1"/>
  <c r="AD43" i="9" s="1"/>
  <c r="BB20" i="9" a="1"/>
  <c r="BB20" i="9" s="1"/>
  <c r="BD20" i="9" s="1"/>
  <c r="BB52" i="9" a="1"/>
  <c r="BB52" i="9" s="1"/>
  <c r="BD52" i="9" s="1"/>
  <c r="BV45" i="9" a="1"/>
  <c r="BV45" i="9" s="1"/>
  <c r="BR18" i="9" a="1"/>
  <c r="BR18" i="9" s="1"/>
  <c r="BT18" i="9" s="1"/>
  <c r="BN34" i="9" a="1"/>
  <c r="BN34" i="9" s="1"/>
  <c r="BB15" i="9" a="1"/>
  <c r="BB15" i="9" s="1"/>
  <c r="BD15" i="9" s="1"/>
  <c r="BB50" i="9" a="1"/>
  <c r="BB50" i="9" s="1"/>
  <c r="BD50" i="9" s="1"/>
  <c r="BN24" i="9" a="1"/>
  <c r="BN24" i="9" s="1"/>
  <c r="BF15" i="9" a="1"/>
  <c r="BF15" i="9" s="1"/>
  <c r="BH15" i="9" s="1"/>
  <c r="BV39" i="9" a="1"/>
  <c r="BV39" i="9" s="1"/>
  <c r="BN23" i="9" a="1"/>
  <c r="BN23" i="9" s="1"/>
  <c r="BB49" i="9" a="1"/>
  <c r="BB49" i="9" s="1"/>
  <c r="BD49" i="9" s="1"/>
  <c r="BJ43" i="9" a="1"/>
  <c r="BJ43" i="9" s="1"/>
  <c r="BL43" i="9" s="1"/>
  <c r="BB53" i="9" a="1"/>
  <c r="BB53" i="9" s="1"/>
  <c r="BD53" i="9" s="1"/>
  <c r="BV43" i="9" a="1"/>
  <c r="BV43" i="9" s="1"/>
  <c r="BF43" i="9" a="1"/>
  <c r="BF43" i="9" s="1"/>
  <c r="BH43" i="9" s="1"/>
  <c r="BF38" i="9" a="1"/>
  <c r="BF38" i="9" s="1"/>
  <c r="BH38" i="9" s="1"/>
  <c r="BB43" i="9" a="1"/>
  <c r="BB43" i="9" s="1"/>
  <c r="BD43" i="9" s="1"/>
  <c r="BF50" i="9" a="1"/>
  <c r="BF50" i="9" s="1"/>
  <c r="BH50" i="9" s="1"/>
  <c r="BV34" i="9" a="1"/>
  <c r="BV34" i="9" s="1"/>
  <c r="BJ34" i="9" a="1"/>
  <c r="BJ34" i="9" s="1"/>
  <c r="BL34" i="9" s="1"/>
  <c r="BJ49" i="9" a="1"/>
  <c r="BJ49" i="9" s="1"/>
  <c r="BL49" i="9" s="1"/>
  <c r="BF49" i="9" a="1"/>
  <c r="BF49" i="9" s="1"/>
  <c r="BH49" i="9" s="1"/>
  <c r="BN49" i="9" a="1"/>
  <c r="BN49" i="9" s="1"/>
  <c r="BN43" i="9" a="1"/>
  <c r="BN43" i="9" s="1"/>
  <c r="BN53" i="9" a="1"/>
  <c r="BN53" i="9" s="1"/>
  <c r="BN46" i="9" a="1"/>
  <c r="BN46" i="9" s="1"/>
  <c r="BJ53" i="9" a="1"/>
  <c r="BJ53" i="9" s="1"/>
  <c r="BL53" i="9" s="1"/>
  <c r="BF46" i="9" a="1"/>
  <c r="BF46" i="9" s="1"/>
  <c r="BH46" i="9" s="1"/>
  <c r="BF53" i="9" a="1"/>
  <c r="BF53" i="9" s="1"/>
  <c r="BH53" i="9" s="1"/>
  <c r="BJ46" i="9" a="1"/>
  <c r="BJ46" i="9" s="1"/>
  <c r="BL46" i="9" s="1"/>
  <c r="AM50" i="9" a="1"/>
  <c r="AM50" i="9" s="1"/>
  <c r="AM43" i="9" a="1"/>
  <c r="AM43" i="9" s="1"/>
  <c r="AM31" i="9" a="1"/>
  <c r="AM31" i="9" s="1"/>
  <c r="AM52" i="9" a="1"/>
  <c r="AM52" i="9" s="1"/>
  <c r="AM45" i="9" a="1"/>
  <c r="AM45" i="9" s="1"/>
  <c r="AM29" i="9" a="1"/>
  <c r="AM29" i="9" s="1"/>
  <c r="AM46" i="9" a="1"/>
  <c r="AM46" i="9" s="1"/>
  <c r="AM51" i="9" a="1"/>
  <c r="AM51" i="9" s="1"/>
  <c r="AM44" i="9" a="1"/>
  <c r="AM44" i="9" s="1"/>
  <c r="AM18" i="9" a="1"/>
  <c r="AM18" i="9" s="1"/>
  <c r="AM17" i="9" a="1"/>
  <c r="AM17" i="9" s="1"/>
  <c r="AM16" i="9" a="1"/>
  <c r="AM16" i="9" s="1"/>
  <c r="AM15" i="9" a="1"/>
  <c r="AM15" i="9" s="1"/>
  <c r="AM14" i="9" a="1"/>
  <c r="AM14" i="9" s="1"/>
  <c r="AM13" i="9" a="1"/>
  <c r="AM13" i="9" s="1"/>
  <c r="AM12" i="9" a="1"/>
  <c r="AM12" i="9" s="1"/>
  <c r="AM11" i="9" a="1"/>
  <c r="AM11" i="9" s="1"/>
  <c r="AM10" i="9" a="1"/>
  <c r="AM10" i="9" s="1"/>
  <c r="AM53" i="9" a="1"/>
  <c r="AM53" i="9" s="1"/>
  <c r="AN6" i="9"/>
  <c r="AM49" i="9" a="1"/>
  <c r="AM49" i="9" s="1"/>
  <c r="AM42" i="9" a="1"/>
  <c r="AM42" i="9" s="1"/>
  <c r="AM25" i="9" a="1"/>
  <c r="AM25" i="9" s="1"/>
  <c r="AM9" i="9" a="1"/>
  <c r="AM9" i="9" s="1"/>
  <c r="AM24" i="9" a="1"/>
  <c r="AM24" i="9" s="1"/>
  <c r="AM30" i="9" a="1"/>
  <c r="AM30" i="9" s="1"/>
  <c r="AM23" i="9" a="1"/>
  <c r="AM23" i="9" s="1"/>
  <c r="AM38" i="9" a="1"/>
  <c r="AM38" i="9" s="1"/>
  <c r="AM34" i="9" a="1"/>
  <c r="AM34" i="9" s="1"/>
  <c r="AM36" i="9" a="1"/>
  <c r="AM36" i="9" s="1"/>
  <c r="AM35" i="9" a="1"/>
  <c r="AM35" i="9" s="1"/>
  <c r="AM39" i="9" a="1"/>
  <c r="AM39" i="9" s="1"/>
  <c r="AM37" i="9" a="1"/>
  <c r="AM37" i="9" s="1"/>
  <c r="BR18" i="5" a="1"/>
  <c r="BR18" i="5" s="1"/>
  <c r="BT18" i="5" s="1"/>
  <c r="AM19" i="6" a="1"/>
  <c r="AM19" i="6" s="1"/>
  <c r="AN23" i="6" a="1"/>
  <c r="AN23" i="6" s="1"/>
  <c r="AJ48" i="19" a="1"/>
  <c r="AJ48" i="19" s="1"/>
  <c r="AD9" i="19" a="1"/>
  <c r="AD9" i="19" s="1"/>
  <c r="AK9" i="19" a="1"/>
  <c r="AK9" i="19" s="1"/>
  <c r="AI23" i="6" a="1"/>
  <c r="AI23" i="6" s="1"/>
  <c r="AE9" i="6" a="1"/>
  <c r="AE9" i="6" s="1"/>
  <c r="AD22" i="6" a="1"/>
  <c r="AD22" i="6" s="1"/>
  <c r="AM25" i="6" a="1"/>
  <c r="AM25" i="6" s="1"/>
  <c r="AG15" i="6" a="1"/>
  <c r="AG15" i="6" s="1"/>
  <c r="AD19" i="6" a="1"/>
  <c r="AD19" i="6" s="1"/>
  <c r="AK13" i="6" a="1"/>
  <c r="AK13" i="6" s="1"/>
  <c r="AC27" i="6" a="1"/>
  <c r="AC27" i="6" s="1"/>
  <c r="AC26" i="6" a="1"/>
  <c r="AC26" i="6" s="1"/>
  <c r="AH25" i="6" a="1"/>
  <c r="AH25" i="6" s="1"/>
  <c r="AH22" i="6" a="1"/>
  <c r="AH22" i="6" s="1"/>
  <c r="AH14" i="6" a="1"/>
  <c r="AH14" i="6" s="1"/>
  <c r="AK26" i="6" a="1"/>
  <c r="AK26" i="6" s="1"/>
  <c r="AE13" i="6" a="1"/>
  <c r="AE13" i="6" s="1"/>
  <c r="AM10" i="6" a="1"/>
  <c r="AM10" i="6" s="1"/>
  <c r="AE24" i="6" a="1"/>
  <c r="AE24" i="6" s="1"/>
  <c r="AH13" i="6" a="1"/>
  <c r="AH13" i="6" s="1"/>
  <c r="AG9" i="19" a="1"/>
  <c r="AG9" i="19" s="1"/>
  <c r="AK19" i="6" a="1"/>
  <c r="AK19" i="6" s="1"/>
  <c r="AN24" i="6" a="1"/>
  <c r="AN24" i="6" s="1"/>
  <c r="AF9" i="19" a="1"/>
  <c r="AF9" i="19" s="1"/>
  <c r="AM9" i="6" a="1"/>
  <c r="AM9" i="6" s="1"/>
  <c r="BR15" i="7" a="1"/>
  <c r="BR15" i="7" s="1"/>
  <c r="BT15" i="7" s="1"/>
  <c r="BR29" i="5" a="1"/>
  <c r="BR29" i="5" s="1"/>
  <c r="BT29" i="5" s="1"/>
  <c r="AL36" i="7" a="1"/>
  <c r="AL36" i="7" s="1"/>
  <c r="BR25" i="7" a="1"/>
  <c r="BR25" i="7" s="1"/>
  <c r="BT25" i="7" s="1"/>
  <c r="W44" i="5" a="1"/>
  <c r="W44" i="5" s="1"/>
  <c r="AE25" i="7" a="1"/>
  <c r="AE25" i="7" s="1"/>
  <c r="X34" i="7" a="1"/>
  <c r="X34" i="7" s="1"/>
  <c r="S27" i="6" a="1"/>
  <c r="S27" i="6" s="1"/>
  <c r="AA12" i="19" a="1"/>
  <c r="AA12" i="19" s="1"/>
  <c r="Y16" i="7" a="1"/>
  <c r="Y16" i="7" s="1"/>
  <c r="Y15" i="19" a="1"/>
  <c r="Y15" i="19" s="1"/>
  <c r="L17" i="5" a="1"/>
  <c r="L17" i="5" s="1"/>
  <c r="X24" i="6" a="1"/>
  <c r="X24" i="6" s="1"/>
  <c r="AN36" i="5" a="1"/>
  <c r="AN36" i="5" s="1"/>
  <c r="BV26" i="19" a="1"/>
  <c r="BV26" i="19" s="1"/>
  <c r="BV24" i="5" a="1"/>
  <c r="BV24" i="5" s="1"/>
  <c r="AC48" i="19" a="1"/>
  <c r="AC48" i="19" s="1"/>
  <c r="AJ12" i="5" a="1"/>
  <c r="AJ12" i="5" s="1"/>
  <c r="BF25" i="7" a="1"/>
  <c r="BF25" i="7" s="1"/>
  <c r="BH25" i="7" s="1"/>
  <c r="T19" i="19" a="1"/>
  <c r="T19" i="19" s="1"/>
  <c r="R13" i="19" a="1"/>
  <c r="R13" i="19" s="1"/>
  <c r="AG48" i="19" a="1"/>
  <c r="AG48" i="19" s="1"/>
  <c r="Y9" i="6" a="1"/>
  <c r="Y9" i="6" s="1"/>
  <c r="U16" i="7" a="1"/>
  <c r="U16" i="7" s="1"/>
  <c r="S29" i="19" a="1"/>
  <c r="S29" i="19" s="1"/>
  <c r="AA14" i="19" a="1"/>
  <c r="AA14" i="19" s="1"/>
  <c r="Z26" i="19" a="1"/>
  <c r="Z26" i="19" s="1"/>
  <c r="R29" i="19" a="1"/>
  <c r="R29" i="19" s="1"/>
  <c r="M18" i="7" a="1"/>
  <c r="M18" i="7" s="1"/>
  <c r="BV13" i="5" a="1"/>
  <c r="BV13" i="5" s="1"/>
  <c r="AL20" i="19" a="1"/>
  <c r="AL20" i="19" s="1"/>
  <c r="BR21" i="7" a="1"/>
  <c r="BR21" i="7" s="1"/>
  <c r="BT21" i="7" s="1"/>
  <c r="U14" i="5" a="1"/>
  <c r="U14" i="5" s="1"/>
  <c r="AC15" i="7" a="1"/>
  <c r="AC15" i="7" s="1"/>
  <c r="R42" i="7" a="1"/>
  <c r="R42" i="7" s="1"/>
  <c r="Z11" i="5" a="1"/>
  <c r="Z11" i="5" s="1"/>
  <c r="AB35" i="5" a="1"/>
  <c r="AB35" i="5" s="1"/>
  <c r="V37" i="7" a="1"/>
  <c r="V37" i="7" s="1"/>
  <c r="AA32" i="19" a="1"/>
  <c r="AA32" i="19" s="1"/>
  <c r="AF19" i="19" a="1"/>
  <c r="AF19" i="19" s="1"/>
  <c r="L37" i="5" a="1"/>
  <c r="L37" i="5" s="1"/>
  <c r="AA35" i="5" a="1"/>
  <c r="AA35" i="5" s="1"/>
  <c r="AG22" i="5" a="1"/>
  <c r="AG22" i="5" s="1"/>
  <c r="AC41" i="19" a="1"/>
  <c r="AC41" i="19" s="1"/>
  <c r="BN37" i="7" a="1"/>
  <c r="BN37" i="7" s="1"/>
  <c r="U9" i="19" a="1"/>
  <c r="U9" i="19" s="1"/>
  <c r="Y18" i="7" a="1"/>
  <c r="Y18" i="7" s="1"/>
  <c r="O35" i="7" a="1"/>
  <c r="O35" i="7" s="1"/>
  <c r="AI21" i="7" a="1"/>
  <c r="AI21" i="7" s="1"/>
  <c r="U44" i="5" a="1"/>
  <c r="U44" i="5" s="1"/>
  <c r="Q9" i="6" a="1"/>
  <c r="Q9" i="6" s="1"/>
  <c r="BF13" i="19" a="1"/>
  <c r="BF13" i="19" s="1"/>
  <c r="BH13" i="19" s="1"/>
  <c r="AE17" i="19" a="1"/>
  <c r="AE17" i="19" s="1"/>
  <c r="AF16" i="19" a="1"/>
  <c r="AF16" i="19" s="1"/>
  <c r="AJ37" i="5" a="1"/>
  <c r="AJ37" i="5" s="1"/>
  <c r="AF38" i="7" a="1"/>
  <c r="AF38" i="7" s="1"/>
  <c r="AH10" i="5" a="1"/>
  <c r="AH10" i="5" s="1"/>
  <c r="AH14" i="5" a="1"/>
  <c r="AH14" i="5" s="1"/>
  <c r="AA12" i="5" a="1"/>
  <c r="AA12" i="5" s="1"/>
  <c r="R30" i="7" a="1"/>
  <c r="R30" i="7" s="1"/>
  <c r="X11" i="5" a="1"/>
  <c r="X11" i="5" s="1"/>
  <c r="V14" i="7" a="1"/>
  <c r="V14" i="7" s="1"/>
  <c r="P35" i="5" a="1"/>
  <c r="P35" i="5" s="1"/>
  <c r="AN13" i="5" a="1"/>
  <c r="AN13" i="5" s="1"/>
  <c r="Q36" i="7" a="1"/>
  <c r="Q36" i="7" s="1"/>
  <c r="O22" i="6" a="1"/>
  <c r="O22" i="6" s="1"/>
  <c r="AJ9" i="5" a="1"/>
  <c r="AJ9" i="5" s="1"/>
  <c r="AN34" i="7" a="1"/>
  <c r="AN34" i="7" s="1"/>
  <c r="V15" i="19" a="1"/>
  <c r="V15" i="19" s="1"/>
  <c r="BJ33" i="7" a="1"/>
  <c r="BJ33" i="7" s="1"/>
  <c r="BL33" i="7" s="1"/>
  <c r="AO17" i="5" a="1"/>
  <c r="AO17" i="5" s="1"/>
  <c r="BR35" i="5" a="1"/>
  <c r="BR35" i="5" s="1"/>
  <c r="BT35" i="5" s="1"/>
  <c r="AK34" i="7" a="1"/>
  <c r="AK34" i="7" s="1"/>
  <c r="AM11" i="5" a="1"/>
  <c r="AM11" i="5" s="1"/>
  <c r="AE21" i="7" a="1"/>
  <c r="AE21" i="7" s="1"/>
  <c r="AM28" i="5" a="1"/>
  <c r="AM28" i="5" s="1"/>
  <c r="BJ26" i="19" a="1"/>
  <c r="BJ26" i="19" s="1"/>
  <c r="BL26" i="19" s="1"/>
  <c r="AK26" i="7" a="1"/>
  <c r="AK26" i="7" s="1"/>
  <c r="AC17" i="7" a="1"/>
  <c r="AC17" i="7" s="1"/>
  <c r="AN35" i="5" a="1"/>
  <c r="AN35" i="5" s="1"/>
  <c r="O25" i="5" a="1"/>
  <c r="O25" i="5" s="1"/>
  <c r="BF22" i="5" a="1"/>
  <c r="BF22" i="5" s="1"/>
  <c r="BH22" i="5" s="1"/>
  <c r="AH15" i="7" a="1"/>
  <c r="AH15" i="7" s="1"/>
  <c r="AE42" i="5" a="1"/>
  <c r="AE42" i="5" s="1"/>
  <c r="AD15" i="7" a="1"/>
  <c r="AD15" i="7" s="1"/>
  <c r="BJ10" i="7" a="1"/>
  <c r="BJ10" i="7" s="1"/>
  <c r="BL10" i="7" s="1"/>
  <c r="AF39" i="5" a="1"/>
  <c r="AF39" i="5" s="1"/>
  <c r="Q21" i="5" a="1"/>
  <c r="Q21" i="5" s="1"/>
  <c r="BB39" i="5" a="1"/>
  <c r="BB39" i="5" s="1"/>
  <c r="BD39" i="5" s="1"/>
  <c r="X27" i="6" a="1"/>
  <c r="X27" i="6" s="1"/>
  <c r="AG44" i="7" a="1"/>
  <c r="AG44" i="7" s="1"/>
  <c r="AA10" i="5" a="1"/>
  <c r="AA10" i="5" s="1"/>
  <c r="L24" i="6" a="1"/>
  <c r="L24" i="6" s="1"/>
  <c r="X37" i="5" a="1"/>
  <c r="X37" i="5" s="1"/>
  <c r="O10" i="6" a="1"/>
  <c r="O10" i="6" s="1"/>
  <c r="AL29" i="7" a="1"/>
  <c r="AL29" i="7" s="1"/>
  <c r="AO43" i="5" a="1"/>
  <c r="AO43" i="5" s="1"/>
  <c r="BB32" i="19" a="1"/>
  <c r="BB32" i="19" s="1"/>
  <c r="BD32" i="19" s="1"/>
  <c r="U11" i="5" a="1"/>
  <c r="U11" i="5" s="1"/>
  <c r="BN21" i="5" a="1"/>
  <c r="BN21" i="5" s="1"/>
  <c r="AP22" i="5" a="1"/>
  <c r="AP22" i="5" s="1"/>
  <c r="AJ17" i="5" a="1"/>
  <c r="AJ17" i="5" s="1"/>
  <c r="AE29" i="7" a="1"/>
  <c r="AE29" i="7" s="1"/>
  <c r="Y18" i="19" a="1"/>
  <c r="Y18" i="19" s="1"/>
  <c r="AJ10" i="5" a="1"/>
  <c r="AJ10" i="5" s="1"/>
  <c r="AN30" i="5" a="1"/>
  <c r="AN30" i="5" s="1"/>
  <c r="AD43" i="7" a="1"/>
  <c r="AD43" i="7" s="1"/>
  <c r="AK17" i="19" a="1"/>
  <c r="AK17" i="19" s="1"/>
  <c r="Q25" i="6" a="1"/>
  <c r="Q25" i="6" s="1"/>
  <c r="S25" i="5" a="1"/>
  <c r="S25" i="5" s="1"/>
  <c r="M22" i="7" a="1"/>
  <c r="M22" i="7" s="1"/>
  <c r="AP37" i="5" a="1"/>
  <c r="AP37" i="5" s="1"/>
  <c r="AJ42" i="5" a="1"/>
  <c r="AJ42" i="5" s="1"/>
  <c r="Q22" i="7" a="1"/>
  <c r="Q22" i="7" s="1"/>
  <c r="Q43" i="7" a="1"/>
  <c r="Q43" i="7" s="1"/>
  <c r="L14" i="6" a="1"/>
  <c r="L14" i="6" s="1"/>
  <c r="AA18" i="5" a="1"/>
  <c r="AA18" i="5" s="1"/>
  <c r="AL31" i="5" a="1"/>
  <c r="AL31" i="5" s="1"/>
  <c r="R35" i="5" a="1"/>
  <c r="R35" i="5" s="1"/>
  <c r="AN10" i="5" a="1"/>
  <c r="AN10" i="5" s="1"/>
  <c r="BN32" i="19" a="1"/>
  <c r="BN32" i="19" s="1"/>
  <c r="BF16" i="19" a="1"/>
  <c r="BF16" i="19" s="1"/>
  <c r="BH16" i="19" s="1"/>
  <c r="AH13" i="5" a="1"/>
  <c r="AH13" i="5" s="1"/>
  <c r="AK11" i="7" a="1"/>
  <c r="AK11" i="7" s="1"/>
  <c r="S22" i="6" a="1"/>
  <c r="S22" i="6" s="1"/>
  <c r="AE40" i="19" a="1"/>
  <c r="AE40" i="19" s="1"/>
  <c r="X27" i="7" a="1"/>
  <c r="X27" i="7" s="1"/>
  <c r="M36" i="19" a="1"/>
  <c r="M36" i="19" s="1"/>
  <c r="S9" i="7" a="1"/>
  <c r="S9" i="7" s="1"/>
  <c r="AB16" i="7" a="1"/>
  <c r="AB16" i="7" s="1"/>
  <c r="Q16" i="5" a="1"/>
  <c r="Q16" i="5" s="1"/>
  <c r="BR34" i="5" a="1"/>
  <c r="BR34" i="5" s="1"/>
  <c r="BT34" i="5" s="1"/>
  <c r="O15" i="19" a="1"/>
  <c r="O15" i="19" s="1"/>
  <c r="T44" i="7" a="1"/>
  <c r="T44" i="7" s="1"/>
  <c r="AG31" i="19" a="1"/>
  <c r="AG31" i="19" s="1"/>
  <c r="AD44" i="5" a="1"/>
  <c r="AD44" i="5" s="1"/>
  <c r="S33" i="7" a="1"/>
  <c r="S33" i="7" s="1"/>
  <c r="AB22" i="6" a="1"/>
  <c r="AB22" i="6" s="1"/>
  <c r="AB25" i="6" a="1"/>
  <c r="AB25" i="6" s="1"/>
  <c r="P11" i="7" a="1"/>
  <c r="P11" i="7" s="1"/>
  <c r="AM41" i="19" a="1"/>
  <c r="AM41" i="19" s="1"/>
  <c r="AA10" i="6" a="1"/>
  <c r="AA10" i="6" s="1"/>
  <c r="AD21" i="5" a="1"/>
  <c r="AD21" i="5" s="1"/>
  <c r="AM35" i="7" a="1"/>
  <c r="AM35" i="7" s="1"/>
  <c r="BJ9" i="7" a="1"/>
  <c r="BJ9" i="7" s="1"/>
  <c r="BL9" i="7" s="1"/>
  <c r="V33" i="7" a="1"/>
  <c r="V33" i="7" s="1"/>
  <c r="AH29" i="7" a="1"/>
  <c r="AH29" i="7" s="1"/>
  <c r="AK35" i="5" a="1"/>
  <c r="AK35" i="5" s="1"/>
  <c r="W23" i="5" a="1"/>
  <c r="W23" i="5" s="1"/>
  <c r="L31" i="5" a="1"/>
  <c r="L31" i="5" s="1"/>
  <c r="S24" i="5" a="1"/>
  <c r="S24" i="5" s="1"/>
  <c r="AM42" i="5" a="1"/>
  <c r="AM42" i="5" s="1"/>
  <c r="V23" i="5" a="1"/>
  <c r="V23" i="5" s="1"/>
  <c r="AI28" i="7" a="1"/>
  <c r="AI28" i="7" s="1"/>
  <c r="U36" i="19" a="1"/>
  <c r="U36" i="19" s="1"/>
  <c r="W27" i="6" a="1"/>
  <c r="W27" i="6" s="1"/>
  <c r="AD31" i="7" a="1"/>
  <c r="AD31" i="7" s="1"/>
  <c r="AC34" i="5" a="1"/>
  <c r="AC34" i="5" s="1"/>
  <c r="L20" i="19" a="1"/>
  <c r="L20" i="19" s="1"/>
  <c r="AM17" i="19" a="1"/>
  <c r="AM17" i="19" s="1"/>
  <c r="AN14" i="5" a="1"/>
  <c r="AN14" i="5" s="1"/>
  <c r="S9" i="6" a="1"/>
  <c r="S9" i="6" s="1"/>
  <c r="V15" i="6" a="1"/>
  <c r="V15" i="6" s="1"/>
  <c r="V27" i="7" a="1"/>
  <c r="V27" i="7" s="1"/>
  <c r="N16" i="19" a="1"/>
  <c r="N16" i="19" s="1"/>
  <c r="BB16" i="5" a="1"/>
  <c r="BB16" i="5" s="1"/>
  <c r="BD16" i="5" s="1"/>
  <c r="Z42" i="19" a="1"/>
  <c r="Z42" i="19" s="1"/>
  <c r="AD13" i="19" a="1"/>
  <c r="AD13" i="19" s="1"/>
  <c r="AN26" i="7" a="1"/>
  <c r="AN26" i="7" s="1"/>
  <c r="L13" i="5" a="1"/>
  <c r="L13" i="5" s="1"/>
  <c r="L34" i="5" a="1"/>
  <c r="L34" i="5" s="1"/>
  <c r="X48" i="19" a="1"/>
  <c r="X48" i="19" s="1"/>
  <c r="AL41" i="19" a="1"/>
  <c r="AL41" i="19" s="1"/>
  <c r="AI32" i="7" a="1"/>
  <c r="AI32" i="7" s="1"/>
  <c r="AB18" i="5" a="1"/>
  <c r="AB18" i="5" s="1"/>
  <c r="AB29" i="7" a="1"/>
  <c r="AB29" i="7" s="1"/>
  <c r="T35" i="7" a="1"/>
  <c r="T35" i="7" s="1"/>
  <c r="BN37" i="5" a="1"/>
  <c r="BN37" i="5" s="1"/>
  <c r="BJ32" i="19" a="1"/>
  <c r="BJ32" i="19" s="1"/>
  <c r="BL32" i="19" s="1"/>
  <c r="AG25" i="5" a="1"/>
  <c r="AG25" i="5" s="1"/>
  <c r="AI17" i="7" a="1"/>
  <c r="AI17" i="7" s="1"/>
  <c r="AA28" i="7" a="1"/>
  <c r="AA28" i="7" s="1"/>
  <c r="AA42" i="5" a="1"/>
  <c r="AA42" i="5" s="1"/>
  <c r="Z24" i="5" a="1"/>
  <c r="Z24" i="5" s="1"/>
  <c r="R13" i="6" a="1"/>
  <c r="R13" i="6" s="1"/>
  <c r="AD25" i="5" a="1"/>
  <c r="AD25" i="5" s="1"/>
  <c r="R10" i="7" a="1"/>
  <c r="R10" i="7" s="1"/>
  <c r="AA18" i="7" a="1"/>
  <c r="AA18" i="7" s="1"/>
  <c r="AG38" i="7" a="1"/>
  <c r="AG38" i="7" s="1"/>
  <c r="AF43" i="7" a="1"/>
  <c r="AF43" i="7" s="1"/>
  <c r="AN39" i="5" a="1"/>
  <c r="AN39" i="5" s="1"/>
  <c r="AC29" i="7" a="1"/>
  <c r="AC29" i="7" s="1"/>
  <c r="V46" i="19" a="1"/>
  <c r="V46" i="19" s="1"/>
  <c r="AM29" i="5" a="1"/>
  <c r="AM29" i="5" s="1"/>
  <c r="AF14" i="5" a="1"/>
  <c r="AF14" i="5" s="1"/>
  <c r="R25" i="6" a="1"/>
  <c r="R25" i="6" s="1"/>
  <c r="AM31" i="19" a="1"/>
  <c r="AM31" i="19" s="1"/>
  <c r="AH36" i="7" a="1"/>
  <c r="AH36" i="7" s="1"/>
  <c r="O16" i="7" a="1"/>
  <c r="O16" i="7" s="1"/>
  <c r="N23" i="19" a="1"/>
  <c r="N23" i="19" s="1"/>
  <c r="AN10" i="7" a="1"/>
  <c r="AN10" i="7" s="1"/>
  <c r="AM13" i="5" a="1"/>
  <c r="AM13" i="5" s="1"/>
  <c r="Q37" i="7" a="1"/>
  <c r="Q37" i="7" s="1"/>
  <c r="W39" i="7" a="1"/>
  <c r="W39" i="7" s="1"/>
  <c r="AN35" i="7" a="1"/>
  <c r="AN35" i="7" s="1"/>
  <c r="O31" i="7" a="1"/>
  <c r="O31" i="7" s="1"/>
  <c r="BF20" i="19" a="1"/>
  <c r="BF20" i="19" s="1"/>
  <c r="BH20" i="19" s="1"/>
  <c r="BB42" i="5" a="1"/>
  <c r="BB42" i="5" s="1"/>
  <c r="BD42" i="5" s="1"/>
  <c r="O12" i="19" a="1"/>
  <c r="O12" i="19" s="1"/>
  <c r="X37" i="7" a="1"/>
  <c r="X37" i="7" s="1"/>
  <c r="AP43" i="7" a="1"/>
  <c r="AP43" i="7" s="1"/>
  <c r="AC47" i="19" a="1"/>
  <c r="AC47" i="19" s="1"/>
  <c r="T26" i="6" a="1"/>
  <c r="T26" i="6" s="1"/>
  <c r="AA31" i="5" a="1"/>
  <c r="AA31" i="5" s="1"/>
  <c r="AC17" i="5" a="1"/>
  <c r="AC17" i="5" s="1"/>
  <c r="Z32" i="19" a="1"/>
  <c r="Z32" i="19" s="1"/>
  <c r="Y24" i="5" a="1"/>
  <c r="Y24" i="5" s="1"/>
  <c r="T36" i="5" a="1"/>
  <c r="T36" i="5" s="1"/>
  <c r="N9" i="5" a="1"/>
  <c r="N9" i="5" s="1"/>
  <c r="AF9" i="7" a="1"/>
  <c r="AF9" i="7" s="1"/>
  <c r="Q29" i="7" a="1"/>
  <c r="Q29" i="7" s="1"/>
  <c r="AH35" i="7" a="1"/>
  <c r="AH35" i="7" s="1"/>
  <c r="AM21" i="7" a="1"/>
  <c r="AM21" i="7" s="1"/>
  <c r="Q34" i="5" a="1"/>
  <c r="Q34" i="5" s="1"/>
  <c r="BB14" i="7" a="1"/>
  <c r="BB14" i="7" s="1"/>
  <c r="BD14" i="7" s="1"/>
  <c r="BN16" i="7" a="1"/>
  <c r="BN16" i="7" s="1"/>
  <c r="AM37" i="19" a="1"/>
  <c r="AM37" i="19" s="1"/>
  <c r="AN17" i="5" a="1"/>
  <c r="AN17" i="5" s="1"/>
  <c r="W30" i="7" a="1"/>
  <c r="W30" i="7" s="1"/>
  <c r="W37" i="19" a="1"/>
  <c r="W37" i="19" s="1"/>
  <c r="AB21" i="7" a="1"/>
  <c r="AB21" i="7" s="1"/>
  <c r="P24" i="5" a="1"/>
  <c r="P24" i="5" s="1"/>
  <c r="U39" i="5" a="1"/>
  <c r="U39" i="5" s="1"/>
  <c r="BN35" i="7" a="1"/>
  <c r="BN35" i="7" s="1"/>
  <c r="AC29" i="19" a="1"/>
  <c r="AC29" i="19" s="1"/>
  <c r="P22" i="5" a="1"/>
  <c r="P22" i="5" s="1"/>
  <c r="T9" i="7" a="1"/>
  <c r="T9" i="7" s="1"/>
  <c r="X13" i="5" a="1"/>
  <c r="X13" i="5" s="1"/>
  <c r="AH26" i="19" a="1"/>
  <c r="AH26" i="19" s="1"/>
  <c r="AE10" i="7" a="1"/>
  <c r="AE10" i="7" s="1"/>
  <c r="U34" i="5" a="1"/>
  <c r="U34" i="5" s="1"/>
  <c r="V31" i="7" a="1"/>
  <c r="V31" i="7" s="1"/>
  <c r="T25" i="5" a="1"/>
  <c r="T25" i="5" s="1"/>
  <c r="BR35" i="7" a="1"/>
  <c r="BR35" i="7" s="1"/>
  <c r="BT35" i="7" s="1"/>
  <c r="AI48" i="19" a="1"/>
  <c r="AI48" i="19" s="1"/>
  <c r="AO34" i="5" a="1"/>
  <c r="AO34" i="5" s="1"/>
  <c r="AF16" i="5" a="1"/>
  <c r="AF16" i="5" s="1"/>
  <c r="P25" i="5" a="1"/>
  <c r="P25" i="5" s="1"/>
  <c r="P16" i="19" a="1"/>
  <c r="P16" i="19" s="1"/>
  <c r="AA44" i="5" a="1"/>
  <c r="AA44" i="5" s="1"/>
  <c r="AO29" i="5" a="1"/>
  <c r="AO29" i="5" s="1"/>
  <c r="AJ31" i="7" a="1"/>
  <c r="AJ31" i="7" s="1"/>
  <c r="T29" i="19" a="1"/>
  <c r="T29" i="19" s="1"/>
  <c r="AM45" i="5" a="1"/>
  <c r="AM45" i="5" s="1"/>
  <c r="AL15" i="19" a="1"/>
  <c r="AL15" i="19" s="1"/>
  <c r="BR33" i="7" a="1"/>
  <c r="BR33" i="7" s="1"/>
  <c r="BT33" i="7" s="1"/>
  <c r="AH27" i="7" a="1"/>
  <c r="AH27" i="7" s="1"/>
  <c r="AK29" i="19" a="1"/>
  <c r="AK29" i="19" s="1"/>
  <c r="AF33" i="7" a="1"/>
  <c r="AF33" i="7" s="1"/>
  <c r="X39" i="5" a="1"/>
  <c r="X39" i="5" s="1"/>
  <c r="M20" i="19" a="1"/>
  <c r="M20" i="19" s="1"/>
  <c r="W25" i="6" a="1"/>
  <c r="W25" i="6" s="1"/>
  <c r="AM14" i="5" a="1"/>
  <c r="AM14" i="5" s="1"/>
  <c r="Q17" i="5" a="1"/>
  <c r="Q17" i="5" s="1"/>
  <c r="N36" i="19" a="1"/>
  <c r="N36" i="19" s="1"/>
  <c r="T34" i="7" a="1"/>
  <c r="T34" i="7" s="1"/>
  <c r="BV33" i="7" a="1"/>
  <c r="BV33" i="7" s="1"/>
  <c r="U24" i="5" a="1"/>
  <c r="U24" i="5" s="1"/>
  <c r="BR9" i="7" a="1"/>
  <c r="BR9" i="7" s="1"/>
  <c r="BT9" i="7" s="1"/>
  <c r="AN17" i="7" a="1"/>
  <c r="AN17" i="7" s="1"/>
  <c r="V14" i="5" a="1"/>
  <c r="V14" i="5" s="1"/>
  <c r="AG18" i="5" a="1"/>
  <c r="AG18" i="5" s="1"/>
  <c r="AC19" i="19" a="1"/>
  <c r="AC19" i="19" s="1"/>
  <c r="AB13" i="6" a="1"/>
  <c r="AB13" i="6" s="1"/>
  <c r="AO13" i="5" a="1"/>
  <c r="AO13" i="5" s="1"/>
  <c r="O29" i="5" a="1"/>
  <c r="O29" i="5" s="1"/>
  <c r="AP44" i="5" a="1"/>
  <c r="AP44" i="5" s="1"/>
  <c r="N14" i="7" a="1"/>
  <c r="N14" i="7" s="1"/>
  <c r="BF11" i="7" a="1"/>
  <c r="BF11" i="7" s="1"/>
  <c r="BH11" i="7" s="1"/>
  <c r="AE34" i="7" a="1"/>
  <c r="AE34" i="7" s="1"/>
  <c r="AF36" i="7" a="1"/>
  <c r="AF36" i="7" s="1"/>
  <c r="M11" i="7" a="1"/>
  <c r="M11" i="7" s="1"/>
  <c r="AB14" i="7" a="1"/>
  <c r="AB14" i="7" s="1"/>
  <c r="N20" i="19" a="1"/>
  <c r="N20" i="19" s="1"/>
  <c r="Y34" i="7" a="1"/>
  <c r="Y34" i="7" s="1"/>
  <c r="AD30" i="5" a="1"/>
  <c r="AD30" i="5" s="1"/>
  <c r="AM25" i="19" a="1"/>
  <c r="AM25" i="19" s="1"/>
  <c r="R22" i="5" a="1"/>
  <c r="R22" i="5" s="1"/>
  <c r="BN41" i="19" a="1"/>
  <c r="BN41" i="19" s="1"/>
  <c r="AC11" i="7" a="1"/>
  <c r="AC11" i="7" s="1"/>
  <c r="AK20" i="19" a="1"/>
  <c r="AK20" i="19" s="1"/>
  <c r="S27" i="7" a="1"/>
  <c r="S27" i="7" s="1"/>
  <c r="AA39" i="7" a="1"/>
  <c r="AA39" i="7" s="1"/>
  <c r="Y45" i="5" a="1"/>
  <c r="Y45" i="5" s="1"/>
  <c r="R39" i="5" a="1"/>
  <c r="R39" i="5" s="1"/>
  <c r="P30" i="19" a="1"/>
  <c r="P30" i="19" s="1"/>
  <c r="AN30" i="7" a="1"/>
  <c r="AN30" i="7" s="1"/>
  <c r="BN34" i="5" a="1"/>
  <c r="BN34" i="5" s="1"/>
  <c r="Q18" i="7" a="1"/>
  <c r="Q18" i="7" s="1"/>
  <c r="AI19" i="19" a="1"/>
  <c r="AI19" i="19" s="1"/>
  <c r="X34" i="5" a="1"/>
  <c r="X34" i="5" s="1"/>
  <c r="Q27" i="6" a="1"/>
  <c r="Q27" i="6" s="1"/>
  <c r="X30" i="5" a="1"/>
  <c r="X30" i="5" s="1"/>
  <c r="W16" i="7" a="1"/>
  <c r="W16" i="7" s="1"/>
  <c r="AP35" i="7" a="1"/>
  <c r="AP35" i="7" s="1"/>
  <c r="BF14" i="7" a="1"/>
  <c r="BF14" i="7" s="1"/>
  <c r="BH14" i="7" s="1"/>
  <c r="BB17" i="19" a="1"/>
  <c r="BB17" i="19" s="1"/>
  <c r="BD17" i="19" s="1"/>
  <c r="X26" i="6" a="1"/>
  <c r="X26" i="6" s="1"/>
  <c r="AK18" i="7" a="1"/>
  <c r="AK18" i="7" s="1"/>
  <c r="R21" i="5" a="1"/>
  <c r="R21" i="5" s="1"/>
  <c r="O24" i="19" a="1"/>
  <c r="O24" i="19" s="1"/>
  <c r="R23" i="6" a="1"/>
  <c r="R23" i="6" s="1"/>
  <c r="AI11" i="5" a="1"/>
  <c r="AI11" i="5" s="1"/>
  <c r="M30" i="19" a="1"/>
  <c r="M30" i="19" s="1"/>
  <c r="Q9" i="19" a="1"/>
  <c r="Q9" i="19" s="1"/>
  <c r="Z34" i="5" a="1"/>
  <c r="Z34" i="5" s="1"/>
  <c r="AG14" i="7" a="1"/>
  <c r="AG14" i="7" s="1"/>
  <c r="BJ19" i="19" a="1"/>
  <c r="BJ19" i="19" s="1"/>
  <c r="BL19" i="19" s="1"/>
  <c r="AF31" i="7" a="1"/>
  <c r="AF31" i="7" s="1"/>
  <c r="AI37" i="19" a="1"/>
  <c r="AI37" i="19" s="1"/>
  <c r="M18" i="6" a="1"/>
  <c r="M18" i="6" s="1"/>
  <c r="X12" i="19" a="1"/>
  <c r="X12" i="19" s="1"/>
  <c r="BN48" i="19" a="1"/>
  <c r="BN48" i="19" s="1"/>
  <c r="Z21" i="7" a="1"/>
  <c r="Z21" i="7" s="1"/>
  <c r="Q45" i="5" a="1"/>
  <c r="Q45" i="5" s="1"/>
  <c r="Q28" i="5" a="1"/>
  <c r="Q28" i="5" s="1"/>
  <c r="BJ48" i="19" a="1"/>
  <c r="BJ48" i="19" s="1"/>
  <c r="BL48" i="19" s="1"/>
  <c r="AJ42" i="19" a="1"/>
  <c r="AJ42" i="19" s="1"/>
  <c r="AJ25" i="7" a="1"/>
  <c r="AJ25" i="7" s="1"/>
  <c r="BV40" i="19" a="1"/>
  <c r="BV40" i="19" s="1"/>
  <c r="AH23" i="19" a="1"/>
  <c r="AH23" i="19" s="1"/>
  <c r="M16" i="5" a="1"/>
  <c r="M16" i="5" s="1"/>
  <c r="P32" i="7" a="1"/>
  <c r="P32" i="7" s="1"/>
  <c r="V19" i="6" a="1"/>
  <c r="V19" i="6" s="1"/>
  <c r="L22" i="7" a="1"/>
  <c r="L22" i="7" s="1"/>
  <c r="BR39" i="5" a="1"/>
  <c r="BR39" i="5" s="1"/>
  <c r="BT39" i="5" s="1"/>
  <c r="V29" i="7" a="1"/>
  <c r="V29" i="7" s="1"/>
  <c r="W16" i="5" a="1"/>
  <c r="W16" i="5" s="1"/>
  <c r="AL38" i="7" a="1"/>
  <c r="AL38" i="7" s="1"/>
  <c r="T9" i="19" a="1"/>
  <c r="T9" i="19" s="1"/>
  <c r="Q10" i="6" a="1"/>
  <c r="Q10" i="6" s="1"/>
  <c r="AO31" i="5" a="1"/>
  <c r="AO31" i="5" s="1"/>
  <c r="M28" i="5" a="1"/>
  <c r="M28" i="5" s="1"/>
  <c r="AB38" i="7" a="1"/>
  <c r="AB38" i="7" s="1"/>
  <c r="AC28" i="5" a="1"/>
  <c r="AC28" i="5" s="1"/>
  <c r="U30" i="7" a="1"/>
  <c r="U30" i="7" s="1"/>
  <c r="V44" i="5" a="1"/>
  <c r="V44" i="5" s="1"/>
  <c r="AB29" i="19" a="1"/>
  <c r="AB29" i="19" s="1"/>
  <c r="M22" i="5" a="1"/>
  <c r="M22" i="5" s="1"/>
  <c r="AD26" i="7" a="1"/>
  <c r="AD26" i="7" s="1"/>
  <c r="BJ14" i="5" a="1"/>
  <c r="BJ14" i="5" s="1"/>
  <c r="BL14" i="5" s="1"/>
  <c r="AF12" i="19" a="1"/>
  <c r="AF12" i="19" s="1"/>
  <c r="L22" i="5" a="1"/>
  <c r="L22" i="5" s="1"/>
  <c r="P16" i="7" a="1"/>
  <c r="P16" i="7" s="1"/>
  <c r="P36" i="7" a="1"/>
  <c r="P36" i="7" s="1"/>
  <c r="AA29" i="7" a="1"/>
  <c r="AA29" i="7" s="1"/>
  <c r="AK17" i="7" a="1"/>
  <c r="AK17" i="7" s="1"/>
  <c r="W21" i="5" a="1"/>
  <c r="W21" i="5" s="1"/>
  <c r="AC13" i="19" a="1"/>
  <c r="AC13" i="19" s="1"/>
  <c r="AN14" i="7" a="1"/>
  <c r="AN14" i="7" s="1"/>
  <c r="AM28" i="7" a="1"/>
  <c r="AM28" i="7" s="1"/>
  <c r="AN33" i="7" a="1"/>
  <c r="AN33" i="7" s="1"/>
  <c r="AE26" i="7" a="1"/>
  <c r="AE26" i="7" s="1"/>
  <c r="V13" i="5" a="1"/>
  <c r="V13" i="5" s="1"/>
  <c r="AF14" i="7" a="1"/>
  <c r="AF14" i="7" s="1"/>
  <c r="BB35" i="5" a="1"/>
  <c r="BB35" i="5" s="1"/>
  <c r="BD35" i="5" s="1"/>
  <c r="AK31" i="7" a="1"/>
  <c r="AK31" i="7" s="1"/>
  <c r="AP31" i="5" a="1"/>
  <c r="AP31" i="5" s="1"/>
  <c r="R44" i="5" a="1"/>
  <c r="R44" i="5" s="1"/>
  <c r="M17" i="7" a="1"/>
  <c r="M17" i="7" s="1"/>
  <c r="AG35" i="5" a="1"/>
  <c r="AG35" i="5" s="1"/>
  <c r="AG19" i="19" a="1"/>
  <c r="AG19" i="19" s="1"/>
  <c r="AC37" i="5" a="1"/>
  <c r="AC37" i="5" s="1"/>
  <c r="Q9" i="7" a="1"/>
  <c r="Q9" i="7" s="1"/>
  <c r="AL26" i="7" a="1"/>
  <c r="AL26" i="7" s="1"/>
  <c r="AJ20" i="19" a="1"/>
  <c r="AJ20" i="19" s="1"/>
  <c r="BJ11" i="5" a="1"/>
  <c r="BJ11" i="5" s="1"/>
  <c r="BL11" i="5" s="1"/>
  <c r="R16" i="7" a="1"/>
  <c r="R16" i="7" s="1"/>
  <c r="AL34" i="5" a="1"/>
  <c r="AL34" i="5" s="1"/>
  <c r="AD39" i="7" a="1"/>
  <c r="AD39" i="7" s="1"/>
  <c r="S28" i="7" a="1"/>
  <c r="S28" i="7" s="1"/>
  <c r="AF25" i="19" a="1"/>
  <c r="AF25" i="19" s="1"/>
  <c r="T29" i="5" a="1"/>
  <c r="T29" i="5" s="1"/>
  <c r="AE30" i="19" a="1"/>
  <c r="AE30" i="19" s="1"/>
  <c r="AK13" i="5" a="1"/>
  <c r="AK13" i="5" s="1"/>
  <c r="AE43" i="19" a="1"/>
  <c r="AE43" i="19" s="1"/>
  <c r="BV23" i="5" a="1"/>
  <c r="BV23" i="5" s="1"/>
  <c r="AI13" i="19" a="1"/>
  <c r="AI13" i="19" s="1"/>
  <c r="BF37" i="19" a="1"/>
  <c r="BF37" i="19" s="1"/>
  <c r="BH37" i="19" s="1"/>
  <c r="BF48" i="19" a="1"/>
  <c r="BF48" i="19" s="1"/>
  <c r="BH48" i="19" s="1"/>
  <c r="AJ29" i="5" a="1"/>
  <c r="AJ29" i="5" s="1"/>
  <c r="T14" i="5" a="1"/>
  <c r="T14" i="5" s="1"/>
  <c r="AF12" i="5" a="1"/>
  <c r="AF12" i="5" s="1"/>
  <c r="Q12" i="5" a="1"/>
  <c r="Q12" i="5" s="1"/>
  <c r="AL37" i="19" a="1"/>
  <c r="AL37" i="19" s="1"/>
  <c r="U31" i="5" a="1"/>
  <c r="U31" i="5" s="1"/>
  <c r="AJ34" i="7" a="1"/>
  <c r="AJ34" i="7" s="1"/>
  <c r="AO24" i="5" a="1"/>
  <c r="AO24" i="5" s="1"/>
  <c r="AM25" i="5" a="1"/>
  <c r="AM25" i="5" s="1"/>
  <c r="AB25" i="5" a="1"/>
  <c r="AB25" i="5" s="1"/>
  <c r="AM39" i="7" a="1"/>
  <c r="AM39" i="7" s="1"/>
  <c r="AD47" i="19" a="1"/>
  <c r="AD47" i="19" s="1"/>
  <c r="X36" i="5" a="1"/>
  <c r="X36" i="5" s="1"/>
  <c r="AN9" i="5" a="1"/>
  <c r="AN9" i="5" s="1"/>
  <c r="BN26" i="7" a="1"/>
  <c r="BN26" i="7" s="1"/>
  <c r="Q44" i="7" a="1"/>
  <c r="Q44" i="7" s="1"/>
  <c r="N22" i="7" a="1"/>
  <c r="N22" i="7" s="1"/>
  <c r="Q23" i="19" a="1"/>
  <c r="Q23" i="19" s="1"/>
  <c r="AF18" i="7" a="1"/>
  <c r="AF18" i="7" s="1"/>
  <c r="BB36" i="7" a="1"/>
  <c r="BB36" i="7" s="1"/>
  <c r="BD36" i="7" s="1"/>
  <c r="AI42" i="19" a="1"/>
  <c r="AI42" i="19" s="1"/>
  <c r="T32" i="19" a="1"/>
  <c r="T32" i="19" s="1"/>
  <c r="AH23" i="5" a="1"/>
  <c r="AH23" i="5" s="1"/>
  <c r="R14" i="5" a="1"/>
  <c r="R14" i="5" s="1"/>
  <c r="U13" i="5" a="1"/>
  <c r="U13" i="5" s="1"/>
  <c r="AK30" i="5" a="1"/>
  <c r="AK30" i="5" s="1"/>
  <c r="Z35" i="5" a="1"/>
  <c r="Z35" i="5" s="1"/>
  <c r="Q14" i="5" a="1"/>
  <c r="Q14" i="5" s="1"/>
  <c r="Z48" i="19" a="1"/>
  <c r="Z48" i="19" s="1"/>
  <c r="P44" i="5" a="1"/>
  <c r="P44" i="5" s="1"/>
  <c r="AD32" i="7" a="1"/>
  <c r="AD32" i="7" s="1"/>
  <c r="AJ14" i="5" a="1"/>
  <c r="AJ14" i="5" s="1"/>
  <c r="AN28" i="5" a="1"/>
  <c r="AN28" i="5" s="1"/>
  <c r="X13" i="6" a="1"/>
  <c r="X13" i="6" s="1"/>
  <c r="S36" i="5" a="1"/>
  <c r="S36" i="5" s="1"/>
  <c r="AI14" i="5" a="1"/>
  <c r="AI14" i="5" s="1"/>
  <c r="AF28" i="7" a="1"/>
  <c r="AF28" i="7" s="1"/>
  <c r="W22" i="5" a="1"/>
  <c r="W22" i="5" s="1"/>
  <c r="AO29" i="7" a="1"/>
  <c r="AO29" i="7" s="1"/>
  <c r="AO14" i="5" a="1"/>
  <c r="AO14" i="5" s="1"/>
  <c r="BN30" i="19" a="1"/>
  <c r="BN30" i="19" s="1"/>
  <c r="BJ42" i="5" a="1"/>
  <c r="BJ42" i="5" s="1"/>
  <c r="BL42" i="5" s="1"/>
  <c r="AE23" i="5" a="1"/>
  <c r="AE23" i="5" s="1"/>
  <c r="BN29" i="19" a="1"/>
  <c r="BN29" i="19" s="1"/>
  <c r="T24" i="6" a="1"/>
  <c r="T24" i="6" s="1"/>
  <c r="M39" i="7" a="1"/>
  <c r="M39" i="7" s="1"/>
  <c r="AH36" i="19" a="1"/>
  <c r="AH36" i="19" s="1"/>
  <c r="AB27" i="6" a="1"/>
  <c r="AB27" i="6" s="1"/>
  <c r="V37" i="5" a="1"/>
  <c r="V37" i="5" s="1"/>
  <c r="AK10" i="7" a="1"/>
  <c r="AK10" i="7" s="1"/>
  <c r="AA44" i="7" a="1"/>
  <c r="AA44" i="7" s="1"/>
  <c r="AP21" i="5" a="1"/>
  <c r="AP21" i="5" s="1"/>
  <c r="BJ34" i="5" a="1"/>
  <c r="BJ34" i="5" s="1"/>
  <c r="BL34" i="5" s="1"/>
  <c r="W25" i="5" a="1"/>
  <c r="W25" i="5" s="1"/>
  <c r="V11" i="5" a="1"/>
  <c r="V11" i="5" s="1"/>
  <c r="O30" i="19" a="1"/>
  <c r="O30" i="19" s="1"/>
  <c r="X16" i="7" a="1"/>
  <c r="X16" i="7" s="1"/>
  <c r="BF17" i="5" a="1"/>
  <c r="BF17" i="5" s="1"/>
  <c r="BH17" i="5" s="1"/>
  <c r="BV30" i="7" a="1"/>
  <c r="BV30" i="7" s="1"/>
  <c r="L42" i="7" a="1"/>
  <c r="L42" i="7" s="1"/>
  <c r="V43" i="7" a="1"/>
  <c r="V43" i="7" s="1"/>
  <c r="P39" i="5" a="1"/>
  <c r="P39" i="5" s="1"/>
  <c r="AM38" i="7" a="1"/>
  <c r="AM38" i="7" s="1"/>
  <c r="U32" i="19" a="1"/>
  <c r="U32" i="19" s="1"/>
  <c r="AJ34" i="5" a="1"/>
  <c r="AJ34" i="5" s="1"/>
  <c r="AL10" i="7" a="1"/>
  <c r="AL10" i="7" s="1"/>
  <c r="BV29" i="19" a="1"/>
  <c r="BV29" i="19" s="1"/>
  <c r="AC9" i="5" a="1"/>
  <c r="AC9" i="5" s="1"/>
  <c r="BB18" i="7" a="1"/>
  <c r="BB18" i="7" s="1"/>
  <c r="BD18" i="7" s="1"/>
  <c r="M44" i="7" a="1"/>
  <c r="M44" i="7" s="1"/>
  <c r="AD23" i="5" a="1"/>
  <c r="AD23" i="5" s="1"/>
  <c r="AG26" i="7" a="1"/>
  <c r="AG26" i="7" s="1"/>
  <c r="AG40" i="19" a="1"/>
  <c r="AG40" i="19" s="1"/>
  <c r="AD11" i="5" a="1"/>
  <c r="AD11" i="5" s="1"/>
  <c r="U16" i="5" a="1"/>
  <c r="U16" i="5" s="1"/>
  <c r="Y25" i="5" a="1"/>
  <c r="Y25" i="5" s="1"/>
  <c r="BJ16" i="5" a="1"/>
  <c r="BJ16" i="5" s="1"/>
  <c r="BL16" i="5" s="1"/>
  <c r="AG36" i="19" a="1"/>
  <c r="AG36" i="19" s="1"/>
  <c r="R27" i="6" a="1"/>
  <c r="R27" i="6" s="1"/>
  <c r="U43" i="7" a="1"/>
  <c r="U43" i="7" s="1"/>
  <c r="AB30" i="5" a="1"/>
  <c r="AB30" i="5" s="1"/>
  <c r="AB28" i="5" a="1"/>
  <c r="AB28" i="5" s="1"/>
  <c r="BJ9" i="5" a="1"/>
  <c r="BJ9" i="5" s="1"/>
  <c r="BL9" i="5" s="1"/>
  <c r="AP9" i="5" a="1"/>
  <c r="AP9" i="5" s="1"/>
  <c r="Q16" i="7" a="1"/>
  <c r="Q16" i="7" s="1"/>
  <c r="X31" i="7" a="1"/>
  <c r="X31" i="7" s="1"/>
  <c r="R11" i="5" a="1"/>
  <c r="R11" i="5" s="1"/>
  <c r="AF44" i="7" a="1"/>
  <c r="AF44" i="7" s="1"/>
  <c r="X12" i="5" a="1"/>
  <c r="X12" i="5" s="1"/>
  <c r="T39" i="7" a="1"/>
  <c r="T39" i="7" s="1"/>
  <c r="BJ18" i="19" a="1"/>
  <c r="BJ18" i="19" s="1"/>
  <c r="BL18" i="19" s="1"/>
  <c r="AL22" i="5" a="1"/>
  <c r="AL22" i="5" s="1"/>
  <c r="AH18" i="7" a="1"/>
  <c r="AH18" i="7" s="1"/>
  <c r="AD27" i="7" a="1"/>
  <c r="AD27" i="7" s="1"/>
  <c r="AC17" i="19" a="1"/>
  <c r="AC17" i="19" s="1"/>
  <c r="T16" i="5" a="1"/>
  <c r="T16" i="5" s="1"/>
  <c r="V40" i="19" a="1"/>
  <c r="V40" i="19" s="1"/>
  <c r="AK24" i="19" a="1"/>
  <c r="AK24" i="19" s="1"/>
  <c r="X30" i="19" a="1"/>
  <c r="X30" i="19" s="1"/>
  <c r="AK31" i="5" a="1"/>
  <c r="AK31" i="5" s="1"/>
  <c r="AK45" i="5" a="1"/>
  <c r="AK45" i="5" s="1"/>
  <c r="BF31" i="19" a="1"/>
  <c r="BF31" i="19" s="1"/>
  <c r="BH31" i="19" s="1"/>
  <c r="U18" i="7" a="1"/>
  <c r="U18" i="7" s="1"/>
  <c r="M35" i="7" a="1"/>
  <c r="M35" i="7" s="1"/>
  <c r="U18" i="19" a="1"/>
  <c r="U18" i="19" s="1"/>
  <c r="AB17" i="5" a="1"/>
  <c r="AB17" i="5" s="1"/>
  <c r="AF24" i="19" a="1"/>
  <c r="AF24" i="19" s="1"/>
  <c r="O11" i="5" a="1"/>
  <c r="O11" i="5" s="1"/>
  <c r="Z32" i="7" a="1"/>
  <c r="Z32" i="7" s="1"/>
  <c r="AG43" i="19" a="1"/>
  <c r="AG43" i="19" s="1"/>
  <c r="AG17" i="19" a="1"/>
  <c r="AG17" i="19" s="1"/>
  <c r="AG15" i="7" a="1"/>
  <c r="AG15" i="7" s="1"/>
  <c r="Q43" i="5" a="1"/>
  <c r="Q43" i="5" s="1"/>
  <c r="Q38" i="7" a="1"/>
  <c r="Q38" i="7" s="1"/>
  <c r="V42" i="19" a="1"/>
  <c r="V42" i="19" s="1"/>
  <c r="T11" i="5" a="1"/>
  <c r="T11" i="5" s="1"/>
  <c r="M37" i="7" a="1"/>
  <c r="M37" i="7" s="1"/>
  <c r="M10" i="7" a="1"/>
  <c r="M10" i="7" s="1"/>
  <c r="AP27" i="7" a="1"/>
  <c r="AP27" i="7" s="1"/>
  <c r="BB43" i="5" a="1"/>
  <c r="BB43" i="5" s="1"/>
  <c r="BD43" i="5" s="1"/>
  <c r="X35" i="19" a="1"/>
  <c r="X35" i="19" s="1"/>
  <c r="BV22" i="7" a="1"/>
  <c r="BV22" i="7" s="1"/>
  <c r="Y22" i="6" a="1"/>
  <c r="Y22" i="6" s="1"/>
  <c r="Q14" i="19" a="1"/>
  <c r="Q14" i="19" s="1"/>
  <c r="P35" i="7" a="1"/>
  <c r="P35" i="7" s="1"/>
  <c r="AL14" i="5" a="1"/>
  <c r="AL14" i="5" s="1"/>
  <c r="BN30" i="7" a="1"/>
  <c r="BN30" i="7" s="1"/>
  <c r="P10" i="7" a="1"/>
  <c r="P10" i="7" s="1"/>
  <c r="V14" i="19" a="1"/>
  <c r="V14" i="19" s="1"/>
  <c r="BF42" i="5" a="1"/>
  <c r="BF42" i="5" s="1"/>
  <c r="BH42" i="5" s="1"/>
  <c r="M10" i="6" a="1"/>
  <c r="M10" i="6" s="1"/>
  <c r="AC23" i="19" a="1"/>
  <c r="AC23" i="19" s="1"/>
  <c r="R28" i="5" a="1"/>
  <c r="R28" i="5" s="1"/>
  <c r="AJ38" i="7" a="1"/>
  <c r="AJ38" i="7" s="1"/>
  <c r="AA16" i="7" a="1"/>
  <c r="AA16" i="7" s="1"/>
  <c r="AN42" i="7" a="1"/>
  <c r="AN42" i="7" s="1"/>
  <c r="BF34" i="5" a="1"/>
  <c r="BF34" i="5" s="1"/>
  <c r="BH34" i="5" s="1"/>
  <c r="N13" i="5" a="1"/>
  <c r="N13" i="5" s="1"/>
  <c r="BN21" i="7" a="1"/>
  <c r="BN21" i="7" s="1"/>
  <c r="BF42" i="7" a="1"/>
  <c r="BF42" i="7" s="1"/>
  <c r="BH42" i="7" s="1"/>
  <c r="AH17" i="5" a="1"/>
  <c r="AH17" i="5" s="1"/>
  <c r="W11" i="7" a="1"/>
  <c r="W11" i="7" s="1"/>
  <c r="T20" i="19" a="1"/>
  <c r="T20" i="19" s="1"/>
  <c r="P39" i="7" a="1"/>
  <c r="P39" i="7" s="1"/>
  <c r="AA18" i="19" a="1"/>
  <c r="AA18" i="19" s="1"/>
  <c r="R29" i="7" a="1"/>
  <c r="R29" i="7" s="1"/>
  <c r="Z22" i="5" a="1"/>
  <c r="Z22" i="5" s="1"/>
  <c r="X15" i="7" a="1"/>
  <c r="X15" i="7" s="1"/>
  <c r="BV14" i="19" a="1"/>
  <c r="BV14" i="19" s="1"/>
  <c r="AB34" i="7" a="1"/>
  <c r="AB34" i="7" s="1"/>
  <c r="AM42" i="19" a="1"/>
  <c r="AM42" i="19" s="1"/>
  <c r="BB42" i="7" a="1"/>
  <c r="BB42" i="7" s="1"/>
  <c r="BD42" i="7" s="1"/>
  <c r="BB25" i="5" a="1"/>
  <c r="BB25" i="5" s="1"/>
  <c r="BD25" i="5" s="1"/>
  <c r="R24" i="19" a="1"/>
  <c r="R24" i="19" s="1"/>
  <c r="W28" i="5" a="1"/>
  <c r="W28" i="5" s="1"/>
  <c r="AN41" i="19" a="1"/>
  <c r="AN41" i="19" s="1"/>
  <c r="AF28" i="5" a="1"/>
  <c r="AF28" i="5" s="1"/>
  <c r="BJ29" i="5" a="1"/>
  <c r="BJ29" i="5" s="1"/>
  <c r="BB16" i="19" a="1"/>
  <c r="BB16" i="19" s="1"/>
  <c r="BD16" i="19" s="1"/>
  <c r="W34" i="7" a="1"/>
  <c r="W34" i="7" s="1"/>
  <c r="AG30" i="19" a="1"/>
  <c r="AG30" i="19" s="1"/>
  <c r="AC35" i="19" a="1"/>
  <c r="AC35" i="19" s="1"/>
  <c r="W31" i="7" a="1"/>
  <c r="W31" i="7" s="1"/>
  <c r="N19" i="19" a="1"/>
  <c r="N19" i="19" s="1"/>
  <c r="AI9" i="7" a="1"/>
  <c r="AI9" i="7" s="1"/>
  <c r="BJ47" i="19" a="1"/>
  <c r="BJ47" i="19" s="1"/>
  <c r="BL47" i="19" s="1"/>
  <c r="AJ35" i="7" a="1"/>
  <c r="AJ35" i="7" s="1"/>
  <c r="BF28" i="7" a="1"/>
  <c r="BF28" i="7" s="1"/>
  <c r="BH28" i="7" s="1"/>
  <c r="AD38" i="7" a="1"/>
  <c r="AD38" i="7" s="1"/>
  <c r="BJ46" i="19" a="1"/>
  <c r="BJ46" i="19" s="1"/>
  <c r="BL46" i="19" s="1"/>
  <c r="O25" i="19" a="1"/>
  <c r="O25" i="19" s="1"/>
  <c r="P34" i="5" a="1"/>
  <c r="P34" i="5" s="1"/>
  <c r="Y29" i="7" a="1"/>
  <c r="Y29" i="7" s="1"/>
  <c r="BV9" i="7" a="1"/>
  <c r="BV9" i="7" s="1"/>
  <c r="V38" i="7" a="1"/>
  <c r="V38" i="7" s="1"/>
  <c r="AG17" i="7" a="1"/>
  <c r="AG17" i="7" s="1"/>
  <c r="S34" i="7" a="1"/>
  <c r="S34" i="7" s="1"/>
  <c r="BN25" i="7" a="1"/>
  <c r="BN25" i="7" s="1"/>
  <c r="AL37" i="5" a="1"/>
  <c r="AL37" i="5" s="1"/>
  <c r="AG30" i="7" a="1"/>
  <c r="AG30" i="7" s="1"/>
  <c r="BV26" i="7" a="1"/>
  <c r="BV26" i="7" s="1"/>
  <c r="BJ24" i="19" a="1"/>
  <c r="BJ24" i="19" s="1"/>
  <c r="BL24" i="19" s="1"/>
  <c r="Q11" i="7" a="1"/>
  <c r="Q11" i="7" s="1"/>
  <c r="AI41" i="19" a="1"/>
  <c r="AI41" i="19" s="1"/>
  <c r="AE32" i="7" a="1"/>
  <c r="AE32" i="7" s="1"/>
  <c r="P18" i="7" a="1"/>
  <c r="P18" i="7" s="1"/>
  <c r="AL22" i="7" a="1"/>
  <c r="AL22" i="7" s="1"/>
  <c r="AB36" i="7" a="1"/>
  <c r="AB36" i="7" s="1"/>
  <c r="BR17" i="19" a="1"/>
  <c r="BR17" i="19" s="1"/>
  <c r="BT17" i="19" s="1"/>
  <c r="L25" i="5" a="1"/>
  <c r="L25" i="5" s="1"/>
  <c r="M26" i="7" a="1"/>
  <c r="M26" i="7" s="1"/>
  <c r="W30" i="19" a="1"/>
  <c r="W30" i="19" s="1"/>
  <c r="Y48" i="19" a="1"/>
  <c r="Y48" i="19" s="1"/>
  <c r="S39" i="7" a="1"/>
  <c r="S39" i="7" s="1"/>
  <c r="Z25" i="7" a="1"/>
  <c r="Z25" i="7" s="1"/>
  <c r="AO42" i="5" a="1"/>
  <c r="AO42" i="5" s="1"/>
  <c r="AD35" i="5" a="1"/>
  <c r="AD35" i="5" s="1"/>
  <c r="X43" i="7" a="1"/>
  <c r="X43" i="7" s="1"/>
  <c r="BB25" i="7" a="1"/>
  <c r="BB25" i="7" s="1"/>
  <c r="BD25" i="7" s="1"/>
  <c r="BV45" i="5" a="1"/>
  <c r="BV45" i="5" s="1"/>
  <c r="BB12" i="19" a="1"/>
  <c r="BB12" i="19" s="1"/>
  <c r="BD12" i="19" s="1"/>
  <c r="BB39" i="7" a="1"/>
  <c r="BB39" i="7" s="1"/>
  <c r="BD39" i="7" s="1"/>
  <c r="AJ14" i="19" a="1"/>
  <c r="AJ14" i="19" s="1"/>
  <c r="O31" i="19" a="1"/>
  <c r="O31" i="19" s="1"/>
  <c r="V27" i="6" a="1"/>
  <c r="V27" i="6" s="1"/>
  <c r="Y46" i="19" a="1"/>
  <c r="Y46" i="19" s="1"/>
  <c r="BB21" i="7" a="1"/>
  <c r="BB21" i="7" s="1"/>
  <c r="BD21" i="7" s="1"/>
  <c r="AH43" i="19" a="1"/>
  <c r="AH43" i="19" s="1"/>
  <c r="AP14" i="5" a="1"/>
  <c r="AP14" i="5" s="1"/>
  <c r="T31" i="7" a="1"/>
  <c r="T31" i="7" s="1"/>
  <c r="R9" i="5" a="1"/>
  <c r="R9" i="5" s="1"/>
  <c r="Y37" i="7" a="1"/>
  <c r="Y37" i="7" s="1"/>
  <c r="AI44" i="5" a="1"/>
  <c r="AI44" i="5" s="1"/>
  <c r="AL15" i="7" a="1"/>
  <c r="AL15" i="7" s="1"/>
  <c r="AN43" i="7" a="1"/>
  <c r="AN43" i="7" s="1"/>
  <c r="Z23" i="19" a="1"/>
  <c r="Z23" i="19" s="1"/>
  <c r="BF21" i="7" a="1"/>
  <c r="BF21" i="7" s="1"/>
  <c r="BH21" i="7" s="1"/>
  <c r="N12" i="5" a="1"/>
  <c r="N12" i="5" s="1"/>
  <c r="U10" i="6" a="1"/>
  <c r="U10" i="6" s="1"/>
  <c r="AG18" i="7" a="1"/>
  <c r="AG18" i="7" s="1"/>
  <c r="X32" i="7" a="1"/>
  <c r="X32" i="7" s="1"/>
  <c r="BF42" i="19" a="1"/>
  <c r="BF42" i="19" s="1"/>
  <c r="BH42" i="19" s="1"/>
  <c r="BJ29" i="19" a="1"/>
  <c r="BJ29" i="19" s="1"/>
  <c r="BL29" i="19" s="1"/>
  <c r="AB47" i="19" a="1"/>
  <c r="AB47" i="19" s="1"/>
  <c r="AF39" i="7" a="1"/>
  <c r="AF39" i="7" s="1"/>
  <c r="AE12" i="5" a="1"/>
  <c r="AE12" i="5" s="1"/>
  <c r="T32" i="7" a="1"/>
  <c r="T32" i="7" s="1"/>
  <c r="W12" i="19" a="1"/>
  <c r="W12" i="19" s="1"/>
  <c r="M42" i="5" a="1"/>
  <c r="M42" i="5" s="1"/>
  <c r="AM34" i="7" a="1"/>
  <c r="AM34" i="7" s="1"/>
  <c r="S44" i="7" a="1"/>
  <c r="S44" i="7" s="1"/>
  <c r="X47" i="19" a="1"/>
  <c r="X47" i="19" s="1"/>
  <c r="Z16" i="5" a="1"/>
  <c r="Z16" i="5" s="1"/>
  <c r="AM21" i="5" a="1"/>
  <c r="AM21" i="5" s="1"/>
  <c r="U15" i="7" a="1"/>
  <c r="U15" i="7" s="1"/>
  <c r="S15" i="6" a="1"/>
  <c r="S15" i="6" s="1"/>
  <c r="AL35" i="7" a="1"/>
  <c r="AL35" i="7" s="1"/>
  <c r="AB42" i="5" a="1"/>
  <c r="AB42" i="5" s="1"/>
  <c r="AJ18" i="19" a="1"/>
  <c r="AJ18" i="19" s="1"/>
  <c r="AH26" i="7" a="1"/>
  <c r="AH26" i="7" s="1"/>
  <c r="AC46" i="19" a="1"/>
  <c r="AC46" i="19" s="1"/>
  <c r="AM30" i="19" a="1"/>
  <c r="AM30" i="19" s="1"/>
  <c r="L31" i="7" a="1"/>
  <c r="L31" i="7" s="1"/>
  <c r="S35" i="19" a="1"/>
  <c r="S35" i="19" s="1"/>
  <c r="O17" i="7" a="1"/>
  <c r="O17" i="7" s="1"/>
  <c r="O14" i="7" a="1"/>
  <c r="O14" i="7" s="1"/>
  <c r="U36" i="7" a="1"/>
  <c r="U36" i="7" s="1"/>
  <c r="AA13" i="5" a="1"/>
  <c r="AA13" i="5" s="1"/>
  <c r="W13" i="19" a="1"/>
  <c r="W13" i="19" s="1"/>
  <c r="R22" i="7" a="1"/>
  <c r="R22" i="7" s="1"/>
  <c r="R15" i="19" a="1"/>
  <c r="R15" i="19" s="1"/>
  <c r="O26" i="6" a="1"/>
  <c r="O26" i="6" s="1"/>
  <c r="AM43" i="19" a="1"/>
  <c r="AM43" i="19" s="1"/>
  <c r="Y19" i="6" a="1"/>
  <c r="Y19" i="6" s="1"/>
  <c r="AB37" i="7" a="1"/>
  <c r="AB37" i="7" s="1"/>
  <c r="AB14" i="19" a="1"/>
  <c r="AB14" i="19" s="1"/>
  <c r="T35" i="5" a="1"/>
  <c r="T35" i="5" s="1"/>
  <c r="M44" i="5" a="1"/>
  <c r="M44" i="5" s="1"/>
  <c r="S35" i="7" a="1"/>
  <c r="S35" i="7" s="1"/>
  <c r="AB22" i="7" a="1"/>
  <c r="AB22" i="7" s="1"/>
  <c r="T29" i="7" a="1"/>
  <c r="T29" i="7" s="1"/>
  <c r="AG29" i="19" a="1"/>
  <c r="AG29" i="19" s="1"/>
  <c r="AD35" i="7" a="1"/>
  <c r="AD35" i="7" s="1"/>
  <c r="P22" i="7" a="1"/>
  <c r="P22" i="7" s="1"/>
  <c r="M25" i="6" a="1"/>
  <c r="M25" i="6" s="1"/>
  <c r="W35" i="7" a="1"/>
  <c r="W35" i="7" s="1"/>
  <c r="Q13" i="6" a="1"/>
  <c r="Q13" i="6" s="1"/>
  <c r="AB43" i="7" a="1"/>
  <c r="AB43" i="7" s="1"/>
  <c r="U27" i="6" a="1"/>
  <c r="U27" i="6" s="1"/>
  <c r="AA35" i="19" a="1"/>
  <c r="AA35" i="19" s="1"/>
  <c r="L31" i="19" a="1"/>
  <c r="L31" i="19" s="1"/>
  <c r="AL12" i="5" a="1"/>
  <c r="AL12" i="5" s="1"/>
  <c r="S13" i="5" a="1"/>
  <c r="S13" i="5" s="1"/>
  <c r="T12" i="19" a="1"/>
  <c r="T12" i="19" s="1"/>
  <c r="AF15" i="19" a="1"/>
  <c r="AF15" i="19" s="1"/>
  <c r="AB40" i="19" a="1"/>
  <c r="AB40" i="19" s="1"/>
  <c r="AI10" i="5" a="1"/>
  <c r="AI10" i="5" s="1"/>
  <c r="W43" i="19" a="1"/>
  <c r="W43" i="19" s="1"/>
  <c r="AC39" i="5" a="1"/>
  <c r="AC39" i="5" s="1"/>
  <c r="U25" i="19" a="1"/>
  <c r="U25" i="19" s="1"/>
  <c r="O18" i="5" a="1"/>
  <c r="O18" i="5" s="1"/>
  <c r="AN44" i="7" a="1"/>
  <c r="AN44" i="7" s="1"/>
  <c r="AA41" i="19" a="1"/>
  <c r="AA41" i="19" s="1"/>
  <c r="BF43" i="5" a="1"/>
  <c r="BF43" i="5" s="1"/>
  <c r="BH43" i="5" s="1"/>
  <c r="AE27" i="7" a="1"/>
  <c r="AE27" i="7" s="1"/>
  <c r="T37" i="5" a="1"/>
  <c r="T37" i="5" s="1"/>
  <c r="AJ37" i="7" a="1"/>
  <c r="AJ37" i="7" s="1"/>
  <c r="AB44" i="7" a="1"/>
  <c r="AB44" i="7" s="1"/>
  <c r="AK18" i="19" a="1"/>
  <c r="AK18" i="19" s="1"/>
  <c r="AL18" i="5" a="1"/>
  <c r="AL18" i="5" s="1"/>
  <c r="L36" i="7" a="1"/>
  <c r="L36" i="7" s="1"/>
  <c r="AC31" i="7" a="1"/>
  <c r="AC31" i="7" s="1"/>
  <c r="U16" i="19" a="1"/>
  <c r="U16" i="19" s="1"/>
  <c r="BV31" i="5" a="1"/>
  <c r="BV31" i="5" s="1"/>
  <c r="N21" i="5" a="1"/>
  <c r="N21" i="5" s="1"/>
  <c r="W10" i="5" a="1"/>
  <c r="W10" i="5" s="1"/>
  <c r="BB22" i="7" a="1"/>
  <c r="BB22" i="7" s="1"/>
  <c r="BD22" i="7" s="1"/>
  <c r="AD10" i="7" a="1"/>
  <c r="AD10" i="7" s="1"/>
  <c r="N26" i="19" a="1"/>
  <c r="N26" i="19" s="1"/>
  <c r="O34" i="5" a="1"/>
  <c r="O34" i="5" s="1"/>
  <c r="BB38" i="7" a="1"/>
  <c r="BB38" i="7" s="1"/>
  <c r="BD38" i="7" s="1"/>
  <c r="AF35" i="5" a="1"/>
  <c r="AF35" i="5" s="1"/>
  <c r="AC24" i="19" a="1"/>
  <c r="AC24" i="19" s="1"/>
  <c r="R22" i="6" a="1"/>
  <c r="R22" i="6" s="1"/>
  <c r="BB44" i="7" a="1"/>
  <c r="BB44" i="7" s="1"/>
  <c r="BD44" i="7" s="1"/>
  <c r="AN29" i="5" a="1"/>
  <c r="AN29" i="5" s="1"/>
  <c r="AE31" i="19" a="1"/>
  <c r="AE31" i="19" s="1"/>
  <c r="O35" i="5" a="1"/>
  <c r="O35" i="5" s="1"/>
  <c r="BJ30" i="19" a="1"/>
  <c r="BJ30" i="19" s="1"/>
  <c r="BL30" i="19" s="1"/>
  <c r="AC14" i="19" a="1"/>
  <c r="AC14" i="19" s="1"/>
  <c r="Q44" i="5" a="1"/>
  <c r="Q44" i="5" s="1"/>
  <c r="AM13" i="19" a="1"/>
  <c r="AM13" i="19" s="1"/>
  <c r="BB14" i="19" a="1"/>
  <c r="BB14" i="19" s="1"/>
  <c r="BD14" i="19" s="1"/>
  <c r="BV36" i="5" a="1"/>
  <c r="BV36" i="5" s="1"/>
  <c r="M21" i="7" a="1"/>
  <c r="M21" i="7" s="1"/>
  <c r="BB29" i="5" a="1"/>
  <c r="BB29" i="5" s="1"/>
  <c r="BD29" i="5" s="1"/>
  <c r="AE44" i="7" a="1"/>
  <c r="AE44" i="7" s="1"/>
  <c r="BJ21" i="5" a="1"/>
  <c r="BJ21" i="5" s="1"/>
  <c r="BL21" i="5" s="1"/>
  <c r="AB12" i="19" a="1"/>
  <c r="AB12" i="19" s="1"/>
  <c r="AB18" i="19" a="1"/>
  <c r="AB18" i="19" s="1"/>
  <c r="AN45" i="5" a="1"/>
  <c r="AN45" i="5" s="1"/>
  <c r="BF24" i="5" a="1"/>
  <c r="BF24" i="5" s="1"/>
  <c r="BH24" i="5" s="1"/>
  <c r="X15" i="19" a="1"/>
  <c r="X15" i="19" s="1"/>
  <c r="U11" i="7" a="1"/>
  <c r="U11" i="7" s="1"/>
  <c r="AM35" i="19" a="1"/>
  <c r="AM35" i="19" s="1"/>
  <c r="Z15" i="19" a="1"/>
  <c r="Z15" i="19" s="1"/>
  <c r="Z19" i="19" a="1"/>
  <c r="Z19" i="19" s="1"/>
  <c r="AA11" i="7" a="1"/>
  <c r="AA11" i="7" s="1"/>
  <c r="BN20" i="19" a="1"/>
  <c r="BN20" i="19" s="1"/>
  <c r="BF27" i="7" a="1"/>
  <c r="BF27" i="7" s="1"/>
  <c r="BH27" i="7" s="1"/>
  <c r="BV21" i="7" a="1"/>
  <c r="BV21" i="7" s="1"/>
  <c r="BV30" i="5" a="1"/>
  <c r="BV30" i="5" s="1"/>
  <c r="R37" i="5" a="1"/>
  <c r="R37" i="5" s="1"/>
  <c r="AL23" i="5" a="1"/>
  <c r="AL23" i="5" s="1"/>
  <c r="AL17" i="5" a="1"/>
  <c r="AL17" i="5" s="1"/>
  <c r="AO10" i="5" a="1"/>
  <c r="AO10" i="5" s="1"/>
  <c r="X25" i="5" a="1"/>
  <c r="X25" i="5" s="1"/>
  <c r="V19" i="19" a="1"/>
  <c r="V19" i="19" s="1"/>
  <c r="M25" i="5" a="1"/>
  <c r="M25" i="5" s="1"/>
  <c r="BJ25" i="19" a="1"/>
  <c r="BJ25" i="19" s="1"/>
  <c r="BL25" i="19" s="1"/>
  <c r="AG42" i="19" a="1"/>
  <c r="AG42" i="19" s="1"/>
  <c r="U33" i="7" a="1"/>
  <c r="U33" i="7" s="1"/>
  <c r="N18" i="6" a="1"/>
  <c r="N18" i="6" s="1"/>
  <c r="Y37" i="5" a="1"/>
  <c r="Y37" i="5" s="1"/>
  <c r="O42" i="7" a="1"/>
  <c r="O42" i="7" s="1"/>
  <c r="AA16" i="5" a="1"/>
  <c r="AA16" i="5" s="1"/>
  <c r="AI23" i="19" a="1"/>
  <c r="AI23" i="19" s="1"/>
  <c r="R12" i="19" a="1"/>
  <c r="R12" i="19" s="1"/>
  <c r="AK26" i="19" a="1"/>
  <c r="AK26" i="19" s="1"/>
  <c r="BV37" i="19" a="1"/>
  <c r="BV37" i="19" s="1"/>
  <c r="BJ31" i="19" a="1"/>
  <c r="BJ31" i="19" s="1"/>
  <c r="BL31" i="19" s="1"/>
  <c r="P28" i="5" a="1"/>
  <c r="P28" i="5" s="1"/>
  <c r="X30" i="7" a="1"/>
  <c r="X30" i="7" s="1"/>
  <c r="P35" i="19" a="1"/>
  <c r="P35" i="19" s="1"/>
  <c r="AJ22" i="7" a="1"/>
  <c r="AJ22" i="7" s="1"/>
  <c r="AA9" i="6" a="1"/>
  <c r="AA9" i="6" s="1"/>
  <c r="AA25" i="7" a="1"/>
  <c r="AA25" i="7" s="1"/>
  <c r="O36" i="5" a="1"/>
  <c r="O36" i="5" s="1"/>
  <c r="Y11" i="5" a="1"/>
  <c r="Y11" i="5" s="1"/>
  <c r="Y37" i="19" a="1"/>
  <c r="Y37" i="19" s="1"/>
  <c r="O45" i="5" a="1"/>
  <c r="O45" i="5" s="1"/>
  <c r="BN28" i="5" a="1"/>
  <c r="BN28" i="5" s="1"/>
  <c r="AA43" i="19" a="1"/>
  <c r="AA43" i="19" s="1"/>
  <c r="Q34" i="7" a="1"/>
  <c r="Q34" i="7" s="1"/>
  <c r="AC35" i="5" a="1"/>
  <c r="AC35" i="5" s="1"/>
  <c r="AC9" i="7" a="1"/>
  <c r="AC9" i="7" s="1"/>
  <c r="AG31" i="5" a="1"/>
  <c r="AG31" i="5" s="1"/>
  <c r="AF21" i="7" a="1"/>
  <c r="AF21" i="7" s="1"/>
  <c r="O33" i="7" a="1"/>
  <c r="O33" i="7" s="1"/>
  <c r="AH25" i="5" a="1"/>
  <c r="AH25" i="5" s="1"/>
  <c r="W12" i="5" a="1"/>
  <c r="W12" i="5" s="1"/>
  <c r="AH46" i="19" a="1"/>
  <c r="AH46" i="19" s="1"/>
  <c r="AE9" i="7" a="1"/>
  <c r="AE9" i="7" s="1"/>
  <c r="S22" i="7" a="1"/>
  <c r="S22" i="7" s="1"/>
  <c r="BB25" i="19" a="1"/>
  <c r="BB25" i="19" s="1"/>
  <c r="BD25" i="19" s="1"/>
  <c r="BF33" i="7" a="1"/>
  <c r="BF33" i="7" s="1"/>
  <c r="BH33" i="7" s="1"/>
  <c r="P10" i="5" a="1"/>
  <c r="P10" i="5" s="1"/>
  <c r="BF44" i="7" a="1"/>
  <c r="BF44" i="7" s="1"/>
  <c r="BH44" i="7" s="1"/>
  <c r="V25" i="5" a="1"/>
  <c r="V25" i="5" s="1"/>
  <c r="O37" i="7" a="1"/>
  <c r="O37" i="7" s="1"/>
  <c r="AP30" i="5" a="1"/>
  <c r="AP30" i="5" s="1"/>
  <c r="Q14" i="6" a="1"/>
  <c r="Q14" i="6" s="1"/>
  <c r="N13" i="6" a="1"/>
  <c r="N13" i="6" s="1"/>
  <c r="Y25" i="7" a="1"/>
  <c r="Y25" i="7" s="1"/>
  <c r="V9" i="5" a="1"/>
  <c r="V9" i="5" s="1"/>
  <c r="BN37" i="19" a="1"/>
  <c r="BN37" i="19" s="1"/>
  <c r="BJ25" i="5" a="1"/>
  <c r="BJ25" i="5" s="1"/>
  <c r="BL25" i="5" s="1"/>
  <c r="AK40" i="19" a="1"/>
  <c r="AK40" i="19" s="1"/>
  <c r="AJ36" i="7" a="1"/>
  <c r="AJ36" i="7" s="1"/>
  <c r="AO30" i="5" a="1"/>
  <c r="AO30" i="5" s="1"/>
  <c r="AG41" i="19" a="1"/>
  <c r="AG41" i="19" s="1"/>
  <c r="AH14" i="7" a="1"/>
  <c r="AH14" i="7" s="1"/>
  <c r="AH34" i="5" a="1"/>
  <c r="AH34" i="5" s="1"/>
  <c r="AF29" i="19" a="1"/>
  <c r="AF29" i="19" s="1"/>
  <c r="AH11" i="5" a="1"/>
  <c r="AH11" i="5" s="1"/>
  <c r="Z18" i="19" a="1"/>
  <c r="Z18" i="19" s="1"/>
  <c r="BF14" i="19" a="1"/>
  <c r="BF14" i="19" s="1"/>
  <c r="BH14" i="19" s="1"/>
  <c r="Y19" i="19" a="1"/>
  <c r="Y19" i="19" s="1"/>
  <c r="U21" i="5" a="1"/>
  <c r="U21" i="5" s="1"/>
  <c r="X23" i="6" a="1"/>
  <c r="X23" i="6" s="1"/>
  <c r="S29" i="7" a="1"/>
  <c r="S29" i="7" s="1"/>
  <c r="BJ23" i="19" a="1"/>
  <c r="BJ23" i="19" s="1"/>
  <c r="BL23" i="19" s="1"/>
  <c r="BF30" i="5" a="1"/>
  <c r="BF30" i="5" s="1"/>
  <c r="AN19" i="19" a="1"/>
  <c r="AN19" i="19" s="1"/>
  <c r="V12" i="5" a="1"/>
  <c r="V12" i="5" s="1"/>
  <c r="AB17" i="19" a="1"/>
  <c r="AB17" i="19" s="1"/>
  <c r="AP39" i="7" a="1"/>
  <c r="AP39" i="7" s="1"/>
  <c r="BR28" i="7" a="1"/>
  <c r="BR28" i="7" s="1"/>
  <c r="BT28" i="7" s="1"/>
  <c r="BN9" i="7" a="1"/>
  <c r="BN9" i="7" s="1"/>
  <c r="AK27" i="7" a="1"/>
  <c r="AK27" i="7" s="1"/>
  <c r="AJ18" i="7" a="1"/>
  <c r="AJ18" i="7" s="1"/>
  <c r="Y11" i="7" a="1"/>
  <c r="Y11" i="7" s="1"/>
  <c r="AE17" i="5" a="1"/>
  <c r="AE17" i="5" s="1"/>
  <c r="T30" i="19" a="1"/>
  <c r="T30" i="19" s="1"/>
  <c r="W23" i="6" a="1"/>
  <c r="W23" i="6" s="1"/>
  <c r="BJ11" i="7" a="1"/>
  <c r="BJ11" i="7" s="1"/>
  <c r="BL11" i="7" s="1"/>
  <c r="AF45" i="5" a="1"/>
  <c r="AF45" i="5" s="1"/>
  <c r="AC35" i="7" a="1"/>
  <c r="AC35" i="7" s="1"/>
  <c r="BF38" i="7" a="1"/>
  <c r="BF38" i="7" s="1"/>
  <c r="BH38" i="7" s="1"/>
  <c r="AC37" i="7" a="1"/>
  <c r="AC37" i="7" s="1"/>
  <c r="Y14" i="7" a="1"/>
  <c r="Y14" i="7" s="1"/>
  <c r="BV16" i="19" a="1"/>
  <c r="BV16" i="19" s="1"/>
  <c r="N34" i="5" a="1"/>
  <c r="N34" i="5" s="1"/>
  <c r="AL37" i="7" a="1"/>
  <c r="AL37" i="7" s="1"/>
  <c r="BJ34" i="7" a="1"/>
  <c r="BJ34" i="7" s="1"/>
  <c r="BL34" i="7" s="1"/>
  <c r="AL36" i="19" a="1"/>
  <c r="AL36" i="19" s="1"/>
  <c r="BJ13" i="5" a="1"/>
  <c r="BJ13" i="5" s="1"/>
  <c r="BL13" i="5" s="1"/>
  <c r="AB18" i="7" a="1"/>
  <c r="AB18" i="7" s="1"/>
  <c r="AG39" i="7" a="1"/>
  <c r="AG39" i="7" s="1"/>
  <c r="AI33" i="7" a="1"/>
  <c r="AI33" i="7" s="1"/>
  <c r="AO33" i="7" a="1"/>
  <c r="AO33" i="7" s="1"/>
  <c r="U9" i="7" a="1"/>
  <c r="U9" i="7" s="1"/>
  <c r="AO28" i="7" a="1"/>
  <c r="AO28" i="7" s="1"/>
  <c r="AE20" i="19" a="1"/>
  <c r="AE20" i="19" s="1"/>
  <c r="BN16" i="5" a="1"/>
  <c r="BN16" i="5" s="1"/>
  <c r="AK36" i="7" a="1"/>
  <c r="AK36" i="7" s="1"/>
  <c r="Q13" i="5" a="1"/>
  <c r="Q13" i="5" s="1"/>
  <c r="BV10" i="5" a="1"/>
  <c r="BV10" i="5" s="1"/>
  <c r="P17" i="5" a="1"/>
  <c r="P17" i="5" s="1"/>
  <c r="AP34" i="5" a="1"/>
  <c r="AP34" i="5" s="1"/>
  <c r="S45" i="5" a="1"/>
  <c r="S45" i="5" s="1"/>
  <c r="Y24" i="6" a="1"/>
  <c r="Y24" i="6" s="1"/>
  <c r="Z43" i="19" a="1"/>
  <c r="Z43" i="19" s="1"/>
  <c r="P15" i="7" a="1"/>
  <c r="P15" i="7" s="1"/>
  <c r="AC34" i="7" a="1"/>
  <c r="AC34" i="7" s="1"/>
  <c r="BB20" i="19" a="1"/>
  <c r="BB20" i="19" s="1"/>
  <c r="BD20" i="19" s="1"/>
  <c r="AL32" i="7" a="1"/>
  <c r="AL32" i="7" s="1"/>
  <c r="Z29" i="5" a="1"/>
  <c r="Z29" i="5" s="1"/>
  <c r="AD31" i="5" a="1"/>
  <c r="AD31" i="5" s="1"/>
  <c r="AN22" i="7" a="1"/>
  <c r="AN22" i="7" s="1"/>
  <c r="AC13" i="5" a="1"/>
  <c r="AC13" i="5" s="1"/>
  <c r="P43" i="7" a="1"/>
  <c r="P43" i="7" s="1"/>
  <c r="V42" i="7" a="1"/>
  <c r="V42" i="7" s="1"/>
  <c r="Z34" i="7" a="1"/>
  <c r="Z34" i="7" s="1"/>
  <c r="Y10" i="6" a="1"/>
  <c r="Y10" i="6" s="1"/>
  <c r="P25" i="19" a="1"/>
  <c r="P25" i="19" s="1"/>
  <c r="AF40" i="19" a="1"/>
  <c r="AF40" i="19" s="1"/>
  <c r="AN27" i="7" a="1"/>
  <c r="AN27" i="7" s="1"/>
  <c r="AB48" i="19" a="1"/>
  <c r="AB48" i="19" s="1"/>
  <c r="O12" i="5" a="1"/>
  <c r="O12" i="5" s="1"/>
  <c r="AN44" i="5" a="1"/>
  <c r="AN44" i="5" s="1"/>
  <c r="BR29" i="7" a="1"/>
  <c r="BR29" i="7" s="1"/>
  <c r="BT29" i="7" s="1"/>
  <c r="R25" i="19" a="1"/>
  <c r="R25" i="19" s="1"/>
  <c r="AJ35" i="19" a="1"/>
  <c r="AJ35" i="19" s="1"/>
  <c r="Q9" i="5" a="1"/>
  <c r="Q9" i="5" s="1"/>
  <c r="AA22" i="5" a="1"/>
  <c r="AA22" i="5" s="1"/>
  <c r="AL43" i="7" a="1"/>
  <c r="AL43" i="7" s="1"/>
  <c r="O20" i="19" a="1"/>
  <c r="O20" i="19" s="1"/>
  <c r="S17" i="5" a="1"/>
  <c r="S17" i="5" s="1"/>
  <c r="AA45" i="5" a="1"/>
  <c r="AA45" i="5" s="1"/>
  <c r="R37" i="7" a="1"/>
  <c r="R37" i="7" s="1"/>
  <c r="AA9" i="7" a="1"/>
  <c r="AA9" i="7" s="1"/>
  <c r="AB9" i="5" a="1"/>
  <c r="AB9" i="5" s="1"/>
  <c r="Y24" i="19" a="1"/>
  <c r="Y24" i="19" s="1"/>
  <c r="AI25" i="5" a="1"/>
  <c r="AI25" i="5" s="1"/>
  <c r="V26" i="7" a="1"/>
  <c r="V26" i="7" s="1"/>
  <c r="U23" i="6" a="1"/>
  <c r="U23" i="6" s="1"/>
  <c r="O22" i="7" a="1"/>
  <c r="O22" i="7" s="1"/>
  <c r="AC18" i="5" a="1"/>
  <c r="AC18" i="5" s="1"/>
  <c r="V34" i="7" a="1"/>
  <c r="V34" i="7" s="1"/>
  <c r="BJ35" i="5" a="1"/>
  <c r="BJ35" i="5" s="1"/>
  <c r="BL35" i="5" s="1"/>
  <c r="AN35" i="19" a="1"/>
  <c r="AN35" i="19" s="1"/>
  <c r="AH16" i="5" a="1"/>
  <c r="AH16" i="5" s="1"/>
  <c r="AB37" i="5" a="1"/>
  <c r="AB37" i="5" s="1"/>
  <c r="BR9" i="6" a="1"/>
  <c r="BR9" i="6" s="1"/>
  <c r="BT9" i="6" s="1"/>
  <c r="AK25" i="7" a="1"/>
  <c r="AK25" i="7" s="1"/>
  <c r="AM30" i="5" a="1"/>
  <c r="AM30" i="5" s="1"/>
  <c r="AL27" i="7" a="1"/>
  <c r="AL27" i="7" s="1"/>
  <c r="L25" i="7" a="1"/>
  <c r="L25" i="7" s="1"/>
  <c r="S18" i="7" a="1"/>
  <c r="S18" i="7" s="1"/>
  <c r="P13" i="5" a="1"/>
  <c r="P13" i="5" s="1"/>
  <c r="AK37" i="7" a="1"/>
  <c r="AK37" i="7" s="1"/>
  <c r="AA16" i="19" a="1"/>
  <c r="AA16" i="19" s="1"/>
  <c r="AM26" i="19" a="1"/>
  <c r="AM26" i="19" s="1"/>
  <c r="AF32" i="7" a="1"/>
  <c r="AF32" i="7" s="1"/>
  <c r="BV11" i="5" a="1"/>
  <c r="BV11" i="5" s="1"/>
  <c r="Y23" i="6" a="1"/>
  <c r="Y23" i="6" s="1"/>
  <c r="M13" i="19" a="1"/>
  <c r="M13" i="19" s="1"/>
  <c r="BJ41" i="19" a="1"/>
  <c r="BJ41" i="19" s="1"/>
  <c r="BL41" i="19" s="1"/>
  <c r="BN11" i="7" a="1"/>
  <c r="BN11" i="7" s="1"/>
  <c r="AD26" i="19" a="1"/>
  <c r="AD26" i="19" s="1"/>
  <c r="AK16" i="5" a="1"/>
  <c r="AK16" i="5" s="1"/>
  <c r="M14" i="5" a="1"/>
  <c r="M14" i="5" s="1"/>
  <c r="Y40" i="19" a="1"/>
  <c r="Y40" i="19" s="1"/>
  <c r="AD16" i="19" a="1"/>
  <c r="AD16" i="19" s="1"/>
  <c r="AF25" i="7" a="1"/>
  <c r="AF25" i="7" s="1"/>
  <c r="AH28" i="7" a="1"/>
  <c r="AH28" i="7" s="1"/>
  <c r="W10" i="7" a="1"/>
  <c r="W10" i="7" s="1"/>
  <c r="R18" i="7" a="1"/>
  <c r="R18" i="7" s="1"/>
  <c r="U10" i="5" a="1"/>
  <c r="U10" i="5" s="1"/>
  <c r="L11" i="5" a="1"/>
  <c r="L11" i="5" s="1"/>
  <c r="BN31" i="19" a="1"/>
  <c r="BN31" i="19" s="1"/>
  <c r="AE18" i="7" a="1"/>
  <c r="AE18" i="7" s="1"/>
  <c r="AF15" i="7" a="1"/>
  <c r="AF15" i="7" s="1"/>
  <c r="T35" i="19" a="1"/>
  <c r="T35" i="19" s="1"/>
  <c r="N29" i="19" a="1"/>
  <c r="N29" i="19" s="1"/>
  <c r="P21" i="7" a="1"/>
  <c r="P21" i="7" s="1"/>
  <c r="U31" i="19" a="1"/>
  <c r="U31" i="19" s="1"/>
  <c r="AG44" i="5" a="1"/>
  <c r="AG44" i="5" s="1"/>
  <c r="AD16" i="5" a="1"/>
  <c r="AD16" i="5" s="1"/>
  <c r="N26" i="6" a="1"/>
  <c r="N26" i="6" s="1"/>
  <c r="N23" i="6" a="1"/>
  <c r="N23" i="6" s="1"/>
  <c r="V31" i="5" a="1"/>
  <c r="V31" i="5" s="1"/>
  <c r="S23" i="6" a="1"/>
  <c r="S23" i="6" s="1"/>
  <c r="N12" i="19" a="1"/>
  <c r="N12" i="19" s="1"/>
  <c r="P18" i="6" a="1"/>
  <c r="P18" i="6" s="1"/>
  <c r="BN10" i="7" a="1"/>
  <c r="BN10" i="7" s="1"/>
  <c r="BJ43" i="5" a="1"/>
  <c r="BJ43" i="5" s="1"/>
  <c r="BL43" i="5" s="1"/>
  <c r="T31" i="5" a="1"/>
  <c r="T31" i="5" s="1"/>
  <c r="BF29" i="5" a="1"/>
  <c r="BF29" i="5" s="1"/>
  <c r="X23" i="19" a="1"/>
  <c r="X23" i="19" s="1"/>
  <c r="P13" i="19" a="1"/>
  <c r="P13" i="19" s="1"/>
  <c r="U9" i="5" a="1"/>
  <c r="U9" i="5" s="1"/>
  <c r="Y34" i="5" a="1"/>
  <c r="Y34" i="5" s="1"/>
  <c r="AC12" i="5" a="1"/>
  <c r="AC12" i="5" s="1"/>
  <c r="AE33" i="7" a="1"/>
  <c r="AE33" i="7" s="1"/>
  <c r="S37" i="7" a="1"/>
  <c r="S37" i="7" s="1"/>
  <c r="Z47" i="19" a="1"/>
  <c r="Z47" i="19" s="1"/>
  <c r="R34" i="5" a="1"/>
  <c r="R34" i="5" s="1"/>
  <c r="U15" i="6" a="1"/>
  <c r="U15" i="6" s="1"/>
  <c r="AB39" i="5" a="1"/>
  <c r="AB39" i="5" s="1"/>
  <c r="Y16" i="19" a="1"/>
  <c r="Y16" i="19" s="1"/>
  <c r="Y18" i="6" a="1"/>
  <c r="Y18" i="6" s="1"/>
  <c r="T19" i="6" a="1"/>
  <c r="T19" i="6" s="1"/>
  <c r="AE37" i="19" a="1"/>
  <c r="AE37" i="19" s="1"/>
  <c r="AO45" i="5" a="1"/>
  <c r="AO45" i="5" s="1"/>
  <c r="AJ24" i="19" a="1"/>
  <c r="AJ24" i="19" s="1"/>
  <c r="Z41" i="19" a="1"/>
  <c r="Z41" i="19" s="1"/>
  <c r="AA17" i="5" a="1"/>
  <c r="AA17" i="5" s="1"/>
  <c r="O29" i="19" a="1"/>
  <c r="O29" i="19" s="1"/>
  <c r="Q30" i="7" a="1"/>
  <c r="Q30" i="7" s="1"/>
  <c r="AE30" i="7" a="1"/>
  <c r="AE30" i="7" s="1"/>
  <c r="AE23" i="19" a="1"/>
  <c r="AE23" i="19" s="1"/>
  <c r="AM47" i="19" a="1"/>
  <c r="AM47" i="19" s="1"/>
  <c r="AP11" i="5" a="1"/>
  <c r="AP11" i="5" s="1"/>
  <c r="AB16" i="19" a="1"/>
  <c r="AB16" i="19" s="1"/>
  <c r="AE14" i="7" a="1"/>
  <c r="AE14" i="7" s="1"/>
  <c r="AH30" i="5" a="1"/>
  <c r="AH30" i="5" s="1"/>
  <c r="AF47" i="19" a="1"/>
  <c r="AF47" i="19" s="1"/>
  <c r="X26" i="7" a="1"/>
  <c r="X26" i="7" s="1"/>
  <c r="BN39" i="7" a="1"/>
  <c r="BN39" i="7" s="1"/>
  <c r="O18" i="19" a="1"/>
  <c r="O18" i="19" s="1"/>
  <c r="L17" i="19" a="1"/>
  <c r="L17" i="19" s="1"/>
  <c r="N39" i="5" a="1"/>
  <c r="N39" i="5" s="1"/>
  <c r="BF16" i="7" a="1"/>
  <c r="BF16" i="7" s="1"/>
  <c r="BH16" i="7" s="1"/>
  <c r="BJ10" i="5" a="1"/>
  <c r="BJ10" i="5" s="1"/>
  <c r="BL10" i="5" s="1"/>
  <c r="T10" i="6" a="1"/>
  <c r="T10" i="6" s="1"/>
  <c r="AA38" i="7" a="1"/>
  <c r="AA38" i="7" s="1"/>
  <c r="S35" i="5" a="1"/>
  <c r="S35" i="5" s="1"/>
  <c r="P36" i="19" a="1"/>
  <c r="P36" i="19" s="1"/>
  <c r="AI43" i="19" a="1"/>
  <c r="AI43" i="19" s="1"/>
  <c r="N15" i="6" a="1"/>
  <c r="N15" i="6" s="1"/>
  <c r="AG35" i="19" a="1"/>
  <c r="AG35" i="19" s="1"/>
  <c r="AF10" i="7" a="1"/>
  <c r="AF10" i="7" s="1"/>
  <c r="M21" i="5" a="1"/>
  <c r="M21" i="5" s="1"/>
  <c r="M34" i="5" a="1"/>
  <c r="M34" i="5" s="1"/>
  <c r="S14" i="5" a="1"/>
  <c r="S14" i="5" s="1"/>
  <c r="P27" i="7" a="1"/>
  <c r="P27" i="7" s="1"/>
  <c r="W26" i="7" a="1"/>
  <c r="W26" i="7" s="1"/>
  <c r="L19" i="6" a="1"/>
  <c r="L19" i="6" s="1"/>
  <c r="Z15" i="6" a="1"/>
  <c r="Z15" i="6" s="1"/>
  <c r="N28" i="5" a="1"/>
  <c r="N28" i="5" s="1"/>
  <c r="M9" i="6" a="1"/>
  <c r="M9" i="6" s="1"/>
  <c r="AJ16" i="19" a="1"/>
  <c r="AJ16" i="19" s="1"/>
  <c r="T14" i="19" a="1"/>
  <c r="T14" i="19" s="1"/>
  <c r="V23" i="19" a="1"/>
  <c r="V23" i="19" s="1"/>
  <c r="X28" i="7" a="1"/>
  <c r="X28" i="7" s="1"/>
  <c r="BB37" i="7" a="1"/>
  <c r="BB37" i="7" s="1"/>
  <c r="BD37" i="7" s="1"/>
  <c r="AL42" i="5" a="1"/>
  <c r="AL42" i="5" s="1"/>
  <c r="BB30" i="19" a="1"/>
  <c r="BB30" i="19" s="1"/>
  <c r="BD30" i="19" s="1"/>
  <c r="AC40" i="19" a="1"/>
  <c r="AC40" i="19" s="1"/>
  <c r="AI38" i="7" a="1"/>
  <c r="AI38" i="7" s="1"/>
  <c r="AK13" i="19" a="1"/>
  <c r="AK13" i="19" s="1"/>
  <c r="S13" i="19" a="1"/>
  <c r="S13" i="19" s="1"/>
  <c r="P25" i="7" a="1"/>
  <c r="P25" i="7" s="1"/>
  <c r="M37" i="5" a="1"/>
  <c r="M37" i="5" s="1"/>
  <c r="AI31" i="5" a="1"/>
  <c r="AI31" i="5" s="1"/>
  <c r="S18" i="5" a="1"/>
  <c r="S18" i="5" s="1"/>
  <c r="BF32" i="19" a="1"/>
  <c r="BF32" i="19" s="1"/>
  <c r="BH32" i="19" s="1"/>
  <c r="V21" i="7" a="1"/>
  <c r="V21" i="7" s="1"/>
  <c r="BR40" i="19" a="1"/>
  <c r="BR40" i="19" s="1"/>
  <c r="BT40" i="19" s="1"/>
  <c r="X46" i="19" a="1"/>
  <c r="X46" i="19" s="1"/>
  <c r="Y25" i="19" a="1"/>
  <c r="Y25" i="19" s="1"/>
  <c r="AA26" i="7" a="1"/>
  <c r="AA26" i="7" s="1"/>
  <c r="N25" i="7" a="1"/>
  <c r="N25" i="7" s="1"/>
  <c r="W37" i="7" a="1"/>
  <c r="W37" i="7" s="1"/>
  <c r="AM20" i="19" a="1"/>
  <c r="AM20" i="19" s="1"/>
  <c r="N11" i="7" a="1"/>
  <c r="N11" i="7" s="1"/>
  <c r="AN16" i="5" a="1"/>
  <c r="AN16" i="5" s="1"/>
  <c r="U24" i="6" a="1"/>
  <c r="U24" i="6" s="1"/>
  <c r="BB28" i="5" a="1"/>
  <c r="BB28" i="5" s="1"/>
  <c r="BD28" i="5" s="1"/>
  <c r="U19" i="19" a="1"/>
  <c r="U19" i="19" s="1"/>
  <c r="BJ14" i="19" a="1"/>
  <c r="BJ14" i="19" s="1"/>
  <c r="BL14" i="19" s="1"/>
  <c r="AE42" i="7" a="1"/>
  <c r="AE42" i="7" s="1"/>
  <c r="W29" i="5" a="1"/>
  <c r="W29" i="5" s="1"/>
  <c r="AJ21" i="5" a="1"/>
  <c r="AJ21" i="5" s="1"/>
  <c r="Q35" i="5" a="1"/>
  <c r="Q35" i="5" s="1"/>
  <c r="AD9" i="7" a="1"/>
  <c r="AD9" i="7" s="1"/>
  <c r="O16" i="19" a="1"/>
  <c r="O16" i="19" s="1"/>
  <c r="BF36" i="5" a="1"/>
  <c r="BF36" i="5" s="1"/>
  <c r="BH36" i="5" s="1"/>
  <c r="AB11" i="7" a="1"/>
  <c r="AB11" i="7" s="1"/>
  <c r="AK25" i="5" a="1"/>
  <c r="AK25" i="5" s="1"/>
  <c r="AI30" i="7" a="1"/>
  <c r="AI30" i="7" s="1"/>
  <c r="N16" i="5" a="1"/>
  <c r="N16" i="5" s="1"/>
  <c r="T13" i="5" a="1"/>
  <c r="T13" i="5" s="1"/>
  <c r="BF39" i="5" a="1"/>
  <c r="BF39" i="5" s="1"/>
  <c r="BH39" i="5" s="1"/>
  <c r="BN12" i="5" a="1"/>
  <c r="BN12" i="5" s="1"/>
  <c r="X33" i="7" a="1"/>
  <c r="X33" i="7" s="1"/>
  <c r="BB16" i="7" a="1"/>
  <c r="BB16" i="7" s="1"/>
  <c r="BD16" i="7" s="1"/>
  <c r="AB15" i="19" a="1"/>
  <c r="AB15" i="19" s="1"/>
  <c r="V29" i="5" a="1"/>
  <c r="V29" i="5" s="1"/>
  <c r="AG14" i="19" a="1"/>
  <c r="AG14" i="19" s="1"/>
  <c r="AG13" i="19" a="1"/>
  <c r="AG13" i="19" s="1"/>
  <c r="AF32" i="19" a="1"/>
  <c r="AF32" i="19" s="1"/>
  <c r="AH17" i="19" a="1"/>
  <c r="AH17" i="19" s="1"/>
  <c r="O21" i="5" a="1"/>
  <c r="O21" i="5" s="1"/>
  <c r="BF32" i="7" a="1"/>
  <c r="BF32" i="7" s="1"/>
  <c r="BH32" i="7" s="1"/>
  <c r="N39" i="7" a="1"/>
  <c r="N39" i="7" s="1"/>
  <c r="Q35" i="7" a="1"/>
  <c r="Q35" i="7" s="1"/>
  <c r="AH33" i="7" a="1"/>
  <c r="AH33" i="7" s="1"/>
  <c r="S38" i="7" a="1"/>
  <c r="S38" i="7" s="1"/>
  <c r="AC14" i="5" a="1"/>
  <c r="AC14" i="5" s="1"/>
  <c r="AB9" i="19" a="1"/>
  <c r="AB9" i="19" s="1"/>
  <c r="AK14" i="7" a="1"/>
  <c r="AK14" i="7" s="1"/>
  <c r="AC45" i="5" a="1"/>
  <c r="AC45" i="5" s="1"/>
  <c r="AH37" i="5" a="1"/>
  <c r="AH37" i="5" s="1"/>
  <c r="AK14" i="19" a="1"/>
  <c r="AK14" i="19" s="1"/>
  <c r="AC22" i="5" a="1"/>
  <c r="AC22" i="5" s="1"/>
  <c r="R14" i="6" a="1"/>
  <c r="R14" i="6" s="1"/>
  <c r="BN42" i="7" a="1"/>
  <c r="BN42" i="7" s="1"/>
  <c r="T17" i="19" a="1"/>
  <c r="T17" i="19" s="1"/>
  <c r="AJ15" i="19" a="1"/>
  <c r="AJ15" i="19" s="1"/>
  <c r="M43" i="7" a="1"/>
  <c r="M43" i="7" s="1"/>
  <c r="V43" i="5" a="1"/>
  <c r="V43" i="5" s="1"/>
  <c r="P37" i="5" a="1"/>
  <c r="P37" i="5" s="1"/>
  <c r="BB17" i="7" a="1"/>
  <c r="BB17" i="7" s="1"/>
  <c r="BD17" i="7" s="1"/>
  <c r="AE43" i="7" a="1"/>
  <c r="AE43" i="7" s="1"/>
  <c r="L12" i="5" a="1"/>
  <c r="L12" i="5" s="1"/>
  <c r="X10" i="6" a="1"/>
  <c r="X10" i="6" s="1"/>
  <c r="AD29" i="5" a="1"/>
  <c r="AD29" i="5" s="1"/>
  <c r="Z13" i="5" a="1"/>
  <c r="Z13" i="5" s="1"/>
  <c r="O31" i="5" a="1"/>
  <c r="O31" i="5" s="1"/>
  <c r="Y22" i="5" a="1"/>
  <c r="Y22" i="5" s="1"/>
  <c r="T39" i="5" a="1"/>
  <c r="T39" i="5" s="1"/>
  <c r="AJ30" i="5" a="1"/>
  <c r="AJ30" i="5" s="1"/>
  <c r="N18" i="7" a="1"/>
  <c r="N18" i="7" s="1"/>
  <c r="P17" i="7" a="1"/>
  <c r="P17" i="7" s="1"/>
  <c r="W36" i="5" a="1"/>
  <c r="W36" i="5" s="1"/>
  <c r="BV36" i="19" a="1"/>
  <c r="BV36" i="19" s="1"/>
  <c r="V36" i="19" a="1"/>
  <c r="V36" i="19" s="1"/>
  <c r="BB27" i="7" a="1"/>
  <c r="BB27" i="7" s="1"/>
  <c r="BD27" i="7" s="1"/>
  <c r="AL45" i="5" a="1"/>
  <c r="AL45" i="5" s="1"/>
  <c r="T26" i="7" a="1"/>
  <c r="T26" i="7" s="1"/>
  <c r="AJ41" i="19" a="1"/>
  <c r="AJ41" i="19" s="1"/>
  <c r="AP13" i="5" a="1"/>
  <c r="AP13" i="5" s="1"/>
  <c r="AI46" i="19" a="1"/>
  <c r="AI46" i="19" s="1"/>
  <c r="AC18" i="7" a="1"/>
  <c r="AC18" i="7" s="1"/>
  <c r="AO42" i="7" a="1"/>
  <c r="AO42" i="7" s="1"/>
  <c r="X25" i="7" a="1"/>
  <c r="X25" i="7" s="1"/>
  <c r="AH44" i="7" a="1"/>
  <c r="AH44" i="7" s="1"/>
  <c r="V30" i="5" a="1"/>
  <c r="V30" i="5" s="1"/>
  <c r="BF21" i="5" a="1"/>
  <c r="BF21" i="5" s="1"/>
  <c r="BH21" i="5" s="1"/>
  <c r="L23" i="5" a="1"/>
  <c r="L23" i="5" s="1"/>
  <c r="Y30" i="5" a="1"/>
  <c r="Y30" i="5" s="1"/>
  <c r="Z14" i="7" a="1"/>
  <c r="Z14" i="7" s="1"/>
  <c r="BF36" i="7" a="1"/>
  <c r="BF36" i="7" s="1"/>
  <c r="BH36" i="7" s="1"/>
  <c r="AO44" i="7" a="1"/>
  <c r="AO44" i="7" s="1"/>
  <c r="L44" i="7" a="1"/>
  <c r="L44" i="7" s="1"/>
  <c r="AM29" i="19" a="1"/>
  <c r="AM29" i="19" s="1"/>
  <c r="BF19" i="19" a="1"/>
  <c r="BF19" i="19" s="1"/>
  <c r="BH19" i="19" s="1"/>
  <c r="Z17" i="19" a="1"/>
  <c r="Z17" i="19" s="1"/>
  <c r="AP42" i="5" a="1"/>
  <c r="AP42" i="5" s="1"/>
  <c r="V16" i="19" a="1"/>
  <c r="V16" i="19" s="1"/>
  <c r="Z13" i="6" a="1"/>
  <c r="Z13" i="6" s="1"/>
  <c r="Z30" i="5" a="1"/>
  <c r="Z30" i="5" s="1"/>
  <c r="AE39" i="5" a="1"/>
  <c r="AE39" i="5" s="1"/>
  <c r="BJ31" i="5" a="1"/>
  <c r="BJ31" i="5" s="1"/>
  <c r="BN17" i="7" a="1"/>
  <c r="BN17" i="7" s="1"/>
  <c r="M15" i="19" a="1"/>
  <c r="M15" i="19" s="1"/>
  <c r="AJ23" i="19" a="1"/>
  <c r="AJ23" i="19" s="1"/>
  <c r="S11" i="5" a="1"/>
  <c r="S11" i="5" s="1"/>
  <c r="T28" i="7" a="1"/>
  <c r="T28" i="7" s="1"/>
  <c r="AL9" i="5" a="1"/>
  <c r="AL9" i="5" s="1"/>
  <c r="AM36" i="5" a="1"/>
  <c r="AM36" i="5" s="1"/>
  <c r="AE47" i="19" a="1"/>
  <c r="AE47" i="19" s="1"/>
  <c r="S31" i="19" a="1"/>
  <c r="S31" i="19" s="1"/>
  <c r="BN18" i="19" a="1"/>
  <c r="BN18" i="19" s="1"/>
  <c r="AI15" i="19" a="1"/>
  <c r="AI15" i="19" s="1"/>
  <c r="BN35" i="5" a="1"/>
  <c r="BN35" i="5" s="1"/>
  <c r="Y20" i="19" a="1"/>
  <c r="Y20" i="19" s="1"/>
  <c r="BN14" i="19" a="1"/>
  <c r="BN14" i="19" s="1"/>
  <c r="V45" i="5" a="1"/>
  <c r="V45" i="5" s="1"/>
  <c r="AD23" i="19" a="1"/>
  <c r="AD23" i="19" s="1"/>
  <c r="BF15" i="19" a="1"/>
  <c r="BF15" i="19" s="1"/>
  <c r="BH15" i="19" s="1"/>
  <c r="BN39" i="5" a="1"/>
  <c r="BN39" i="5" s="1"/>
  <c r="W11" i="5" a="1"/>
  <c r="W11" i="5" s="1"/>
  <c r="W9" i="5" a="1"/>
  <c r="W9" i="5" s="1"/>
  <c r="AM23" i="5" a="1"/>
  <c r="AM23" i="5" s="1"/>
  <c r="Y29" i="5" a="1"/>
  <c r="Y29" i="5" s="1"/>
  <c r="AE14" i="19" a="1"/>
  <c r="AE14" i="19" s="1"/>
  <c r="BV32" i="7" a="1"/>
  <c r="BV32" i="7" s="1"/>
  <c r="BN18" i="7" a="1"/>
  <c r="BN18" i="7" s="1"/>
  <c r="N25" i="19" a="1"/>
  <c r="N25" i="19" s="1"/>
  <c r="BF10" i="5" a="1"/>
  <c r="BF10" i="5" s="1"/>
  <c r="BH10" i="5" s="1"/>
  <c r="Q25" i="7" a="1"/>
  <c r="Q25" i="7" s="1"/>
  <c r="P30" i="5" a="1"/>
  <c r="P30" i="5" s="1"/>
  <c r="P31" i="5" a="1"/>
  <c r="P31" i="5" s="1"/>
  <c r="BJ36" i="19" a="1"/>
  <c r="BJ36" i="19" s="1"/>
  <c r="BL36" i="19" s="1"/>
  <c r="BV39" i="7" a="1"/>
  <c r="BV39" i="7" s="1"/>
  <c r="V36" i="7" a="1"/>
  <c r="V36" i="7" s="1"/>
  <c r="P33" i="7" a="1"/>
  <c r="P33" i="7" s="1"/>
  <c r="L32" i="19" a="1"/>
  <c r="L32" i="19" s="1"/>
  <c r="AK12" i="19" a="1"/>
  <c r="AK12" i="19" s="1"/>
  <c r="BN22" i="5" a="1"/>
  <c r="BN22" i="5" s="1"/>
  <c r="M16" i="7" a="1"/>
  <c r="M16" i="7" s="1"/>
  <c r="AP38" i="7" a="1"/>
  <c r="AP38" i="7" s="1"/>
  <c r="AH17" i="7" a="1"/>
  <c r="AH17" i="7" s="1"/>
  <c r="AM33" i="7" a="1"/>
  <c r="AM33" i="7" s="1"/>
  <c r="AD46" i="19" a="1"/>
  <c r="AD46" i="19" s="1"/>
  <c r="P18" i="5" a="1"/>
  <c r="P18" i="5" s="1"/>
  <c r="Y36" i="7" a="1"/>
  <c r="Y36" i="7" s="1"/>
  <c r="AL11" i="5" a="1"/>
  <c r="AL11" i="5" s="1"/>
  <c r="BV35" i="5" a="1"/>
  <c r="BV35" i="5" s="1"/>
  <c r="O39" i="5" a="1"/>
  <c r="O39" i="5" s="1"/>
  <c r="AP36" i="5" a="1"/>
  <c r="AP36" i="5" s="1"/>
  <c r="AH21" i="5" a="1"/>
  <c r="AH21" i="5" s="1"/>
  <c r="V30" i="7" a="1"/>
  <c r="V30" i="7" s="1"/>
  <c r="Z12" i="5" a="1"/>
  <c r="Z12" i="5" s="1"/>
  <c r="P9" i="7" a="1"/>
  <c r="P9" i="7" s="1"/>
  <c r="BB35" i="19" a="1"/>
  <c r="BB35" i="19" s="1"/>
  <c r="BD35" i="19" s="1"/>
  <c r="AO28" i="5" a="1"/>
  <c r="AO28" i="5" s="1"/>
  <c r="X17" i="5" a="1"/>
  <c r="X17" i="5" s="1"/>
  <c r="AA17" i="7" a="1"/>
  <c r="AA17" i="7" s="1"/>
  <c r="AM44" i="5" a="1"/>
  <c r="AM44" i="5" s="1"/>
  <c r="AO36" i="7" a="1"/>
  <c r="AO36" i="7" s="1"/>
  <c r="BJ35" i="7" a="1"/>
  <c r="BJ35" i="7" s="1"/>
  <c r="BL35" i="7" s="1"/>
  <c r="T10" i="5" a="1"/>
  <c r="T10" i="5" s="1"/>
  <c r="AN43" i="5" a="1"/>
  <c r="AN43" i="5" s="1"/>
  <c r="BR42" i="7" a="1"/>
  <c r="BR42" i="7" s="1"/>
  <c r="BT42" i="7" s="1"/>
  <c r="AA26" i="19" a="1"/>
  <c r="AA26" i="19" s="1"/>
  <c r="AP16" i="5" a="1"/>
  <c r="AP16" i="5" s="1"/>
  <c r="AN47" i="19" a="1"/>
  <c r="AN47" i="19" s="1"/>
  <c r="AG23" i="19" a="1"/>
  <c r="AG23" i="19" s="1"/>
  <c r="AK35" i="7" a="1"/>
  <c r="AK35" i="7" s="1"/>
  <c r="W35" i="19" a="1"/>
  <c r="W35" i="19" s="1"/>
  <c r="BB43" i="7" a="1"/>
  <c r="BB43" i="7" s="1"/>
  <c r="BD43" i="7" s="1"/>
  <c r="AJ42" i="7" a="1"/>
  <c r="AJ42" i="7" s="1"/>
  <c r="L15" i="6" a="1"/>
  <c r="L15" i="6" s="1"/>
  <c r="AI29" i="19" a="1"/>
  <c r="AI29" i="19" s="1"/>
  <c r="AD35" i="19" a="1"/>
  <c r="AD35" i="19" s="1"/>
  <c r="BR31" i="19" a="1"/>
  <c r="BR31" i="19" s="1"/>
  <c r="BT31" i="19" s="1"/>
  <c r="O24" i="6" a="1"/>
  <c r="O24" i="6" s="1"/>
  <c r="AK37" i="19" a="1"/>
  <c r="AK37" i="19" s="1"/>
  <c r="BF47" i="19" a="1"/>
  <c r="BF47" i="19" s="1"/>
  <c r="BH47" i="19" s="1"/>
  <c r="BJ22" i="5" a="1"/>
  <c r="BJ22" i="5" s="1"/>
  <c r="BL22" i="5" s="1"/>
  <c r="O25" i="6" a="1"/>
  <c r="O25" i="6" s="1"/>
  <c r="S30" i="5" a="1"/>
  <c r="S30" i="5" s="1"/>
  <c r="AH38" i="7" a="1"/>
  <c r="AH38" i="7" s="1"/>
  <c r="AK23" i="5" a="1"/>
  <c r="AK23" i="5" s="1"/>
  <c r="AD44" i="7" a="1"/>
  <c r="AD44" i="7" s="1"/>
  <c r="V35" i="5" a="1"/>
  <c r="V35" i="5" s="1"/>
  <c r="BJ23" i="5" a="1"/>
  <c r="BJ23" i="5" s="1"/>
  <c r="BL23" i="5" s="1"/>
  <c r="M35" i="5" a="1"/>
  <c r="M35" i="5" s="1"/>
  <c r="BN19" i="19" a="1"/>
  <c r="BN19" i="19" s="1"/>
  <c r="AG29" i="5" a="1"/>
  <c r="AG29" i="5" s="1"/>
  <c r="X28" i="5" a="1"/>
  <c r="X28" i="5" s="1"/>
  <c r="AH11" i="7" a="1"/>
  <c r="AH11" i="7" s="1"/>
  <c r="Y23" i="5" a="1"/>
  <c r="Y23" i="5" s="1"/>
  <c r="O22" i="5" a="1"/>
  <c r="O22" i="5" s="1"/>
  <c r="AH48" i="19" a="1"/>
  <c r="AH48" i="19" s="1"/>
  <c r="AB27" i="7" a="1"/>
  <c r="AB27" i="7" s="1"/>
  <c r="AI45" i="5" a="1"/>
  <c r="AI45" i="5" s="1"/>
  <c r="BV12" i="19" a="1"/>
  <c r="BV12" i="19" s="1"/>
  <c r="Q31" i="5" a="1"/>
  <c r="Q31" i="5" s="1"/>
  <c r="AK32" i="19" a="1"/>
  <c r="AK32" i="19" s="1"/>
  <c r="N16" i="7" a="1"/>
  <c r="N16" i="7" s="1"/>
  <c r="R17" i="7" a="1"/>
  <c r="R17" i="7" s="1"/>
  <c r="AE18" i="19" a="1"/>
  <c r="AE18" i="19" s="1"/>
  <c r="AB33" i="7" a="1"/>
  <c r="AB33" i="7" s="1"/>
  <c r="AG35" i="7" a="1"/>
  <c r="AG35" i="7" s="1"/>
  <c r="L26" i="19" a="1"/>
  <c r="L26" i="19" s="1"/>
  <c r="Y43" i="7" a="1"/>
  <c r="Y43" i="7" s="1"/>
  <c r="AH25" i="7" a="1"/>
  <c r="AH25" i="7" s="1"/>
  <c r="BN14" i="7" a="1"/>
  <c r="BN14" i="7" s="1"/>
  <c r="AA22" i="7" a="1"/>
  <c r="AA22" i="7" s="1"/>
  <c r="T21" i="5" a="1"/>
  <c r="T21" i="5" s="1"/>
  <c r="Z25" i="5" a="1"/>
  <c r="Z25" i="5" s="1"/>
  <c r="Z39" i="5" a="1"/>
  <c r="Z39" i="5" s="1"/>
  <c r="M12" i="19" a="1"/>
  <c r="M12" i="19" s="1"/>
  <c r="AH37" i="7" a="1"/>
  <c r="AH37" i="7" s="1"/>
  <c r="S36" i="19" a="1"/>
  <c r="S36" i="19" s="1"/>
  <c r="BV44" i="7" a="1"/>
  <c r="BV44" i="7" s="1"/>
  <c r="AI37" i="7" a="1"/>
  <c r="AI37" i="7" s="1"/>
  <c r="BR20" i="19" a="1"/>
  <c r="BR20" i="19" s="1"/>
  <c r="BT20" i="19" s="1"/>
  <c r="Z14" i="6" a="1"/>
  <c r="Z14" i="6" s="1"/>
  <c r="R44" i="7" a="1"/>
  <c r="R44" i="7" s="1"/>
  <c r="AN18" i="7" a="1"/>
  <c r="AN18" i="7" s="1"/>
  <c r="M27" i="7" a="1"/>
  <c r="M27" i="7" s="1"/>
  <c r="P23" i="19" a="1"/>
  <c r="P23" i="19" s="1"/>
  <c r="AO43" i="7" a="1"/>
  <c r="AO43" i="7" s="1"/>
  <c r="AA33" i="7" a="1"/>
  <c r="AA33" i="7" s="1"/>
  <c r="AA34" i="7" a="1"/>
  <c r="AA34" i="7" s="1"/>
  <c r="Z16" i="19" a="1"/>
  <c r="Z16" i="19" s="1"/>
  <c r="X43" i="5" a="1"/>
  <c r="X43" i="5" s="1"/>
  <c r="AP12" i="5" a="1"/>
  <c r="AP12" i="5" s="1"/>
  <c r="AD37" i="5" a="1"/>
  <c r="AD37" i="5" s="1"/>
  <c r="L26" i="7" a="1"/>
  <c r="L26" i="7" s="1"/>
  <c r="W42" i="5" a="1"/>
  <c r="W42" i="5" s="1"/>
  <c r="AF23" i="19" a="1"/>
  <c r="AF23" i="19" s="1"/>
  <c r="AI32" i="19" a="1"/>
  <c r="AI32" i="19" s="1"/>
  <c r="U37" i="19" a="1"/>
  <c r="U37" i="19" s="1"/>
  <c r="AD21" i="7" a="1"/>
  <c r="AD21" i="7" s="1"/>
  <c r="AJ32" i="19" a="1"/>
  <c r="AJ32" i="19" s="1"/>
  <c r="AN42" i="19" a="1"/>
  <c r="AN42" i="19" s="1"/>
  <c r="T34" i="5" a="1"/>
  <c r="T34" i="5" s="1"/>
  <c r="AH44" i="5" a="1"/>
  <c r="AH44" i="5" s="1"/>
  <c r="AH24" i="5" a="1"/>
  <c r="AH24" i="5" s="1"/>
  <c r="BV34" i="7" a="1"/>
  <c r="BV34" i="7" s="1"/>
  <c r="BN38" i="7" a="1"/>
  <c r="BN38" i="7" s="1"/>
  <c r="M36" i="5" a="1"/>
  <c r="M36" i="5" s="1"/>
  <c r="BV48" i="19" a="1"/>
  <c r="BV48" i="19" s="1"/>
  <c r="AH30" i="19" a="1"/>
  <c r="AH30" i="19" s="1"/>
  <c r="AM42" i="7" a="1"/>
  <c r="AM42" i="7" s="1"/>
  <c r="AB24" i="5" a="1"/>
  <c r="AB24" i="5" s="1"/>
  <c r="L30" i="5" a="1"/>
  <c r="L30" i="5" s="1"/>
  <c r="AL33" i="7" a="1"/>
  <c r="AL33" i="7" s="1"/>
  <c r="BF29" i="19" a="1"/>
  <c r="BF29" i="19" s="1"/>
  <c r="BH29" i="19" s="1"/>
  <c r="O28" i="5" a="1"/>
  <c r="O28" i="5" s="1"/>
  <c r="AK36" i="5" a="1"/>
  <c r="AK36" i="5" s="1"/>
  <c r="S14" i="7" a="1"/>
  <c r="S14" i="7" s="1"/>
  <c r="BB10" i="7" a="1"/>
  <c r="BB10" i="7" s="1"/>
  <c r="BD10" i="7" s="1"/>
  <c r="AJ37" i="19" a="1"/>
  <c r="AJ37" i="19" s="1"/>
  <c r="AH34" i="7" a="1"/>
  <c r="AH34" i="7" s="1"/>
  <c r="Y12" i="5" a="1"/>
  <c r="Y12" i="5" s="1"/>
  <c r="AM18" i="19" a="1"/>
  <c r="AM18" i="19" s="1"/>
  <c r="AP36" i="7" a="1"/>
  <c r="AP36" i="7" s="1"/>
  <c r="X18" i="19" a="1"/>
  <c r="X18" i="19" s="1"/>
  <c r="N28" i="7" a="1"/>
  <c r="N28" i="7" s="1"/>
  <c r="P14" i="6" a="1"/>
  <c r="P14" i="6" s="1"/>
  <c r="AP24" i="5" a="1"/>
  <c r="AP24" i="5" s="1"/>
  <c r="AA25" i="6" a="1"/>
  <c r="AA25" i="6" s="1"/>
  <c r="AK9" i="5" a="1"/>
  <c r="AK9" i="5" s="1"/>
  <c r="Q25" i="5" a="1"/>
  <c r="Q25" i="5" s="1"/>
  <c r="X29" i="7" a="1"/>
  <c r="X29" i="7" s="1"/>
  <c r="O9" i="5" a="1"/>
  <c r="O9" i="5" s="1"/>
  <c r="AC36" i="19" a="1"/>
  <c r="AC36" i="19" s="1"/>
  <c r="AG37" i="5" a="1"/>
  <c r="AG37" i="5" s="1"/>
  <c r="Y9" i="19" a="1"/>
  <c r="Y9" i="19" s="1"/>
  <c r="AJ9" i="7" a="1"/>
  <c r="AJ9" i="7" s="1"/>
  <c r="BN46" i="19" a="1"/>
  <c r="BN46" i="19" s="1"/>
  <c r="AB26" i="19" a="1"/>
  <c r="AB26" i="19" s="1"/>
  <c r="R10" i="5" a="1"/>
  <c r="R10" i="5" s="1"/>
  <c r="AI25" i="19" a="1"/>
  <c r="AI25" i="19" s="1"/>
  <c r="N45" i="5" a="1"/>
  <c r="N45" i="5" s="1"/>
  <c r="AG16" i="7" a="1"/>
  <c r="AG16" i="7" s="1"/>
  <c r="AD42" i="19" a="1"/>
  <c r="AD42" i="19" s="1"/>
  <c r="Q32" i="19" a="1"/>
  <c r="Q32" i="19" s="1"/>
  <c r="AG16" i="5" a="1"/>
  <c r="AG16" i="5" s="1"/>
  <c r="AB20" i="19" a="1"/>
  <c r="AB20" i="19" s="1"/>
  <c r="Y14" i="5" a="1"/>
  <c r="Y14" i="5" s="1"/>
  <c r="W43" i="5" a="1"/>
  <c r="W43" i="5" s="1"/>
  <c r="BJ25" i="7" a="1"/>
  <c r="BJ25" i="7" s="1"/>
  <c r="BL25" i="7" s="1"/>
  <c r="U39" i="7" a="1"/>
  <c r="U39" i="7" s="1"/>
  <c r="AF22" i="5" a="1"/>
  <c r="AF22" i="5" s="1"/>
  <c r="T43" i="7" a="1"/>
  <c r="T43" i="7" s="1"/>
  <c r="BV42" i="7" a="1"/>
  <c r="BV42" i="7" s="1"/>
  <c r="Z40" i="19" a="1"/>
  <c r="Z40" i="19" s="1"/>
  <c r="BR37" i="5" a="1"/>
  <c r="BR37" i="5" s="1"/>
  <c r="BT37" i="5" s="1"/>
  <c r="Q31" i="7" a="1"/>
  <c r="Q31" i="7" s="1"/>
  <c r="N30" i="19" a="1"/>
  <c r="N30" i="19" s="1"/>
  <c r="X19" i="6" a="1"/>
  <c r="X19" i="6" s="1"/>
  <c r="M14" i="6" a="1"/>
  <c r="M14" i="6" s="1"/>
  <c r="S29" i="5" a="1"/>
  <c r="S29" i="5" s="1"/>
  <c r="AE36" i="7" a="1"/>
  <c r="AE36" i="7" s="1"/>
  <c r="R34" i="7" a="1"/>
  <c r="R34" i="7" s="1"/>
  <c r="AJ32" i="7" a="1"/>
  <c r="AJ32" i="7" s="1"/>
  <c r="AC25" i="19" a="1"/>
  <c r="AC25" i="19" s="1"/>
  <c r="AK44" i="7" a="1"/>
  <c r="AK44" i="7" s="1"/>
  <c r="AK12" i="5" a="1"/>
  <c r="AK12" i="5" s="1"/>
  <c r="AD20" i="19" a="1"/>
  <c r="AD20" i="19" s="1"/>
  <c r="BJ38" i="7" a="1"/>
  <c r="BJ38" i="7" s="1"/>
  <c r="BL38" i="7" s="1"/>
  <c r="R28" i="7" a="1"/>
  <c r="R28" i="7" s="1"/>
  <c r="AH24" i="19" a="1"/>
  <c r="AH24" i="19" s="1"/>
  <c r="AP39" i="5" a="1"/>
  <c r="AP39" i="5" s="1"/>
  <c r="X10" i="7" a="1"/>
  <c r="X10" i="7" s="1"/>
  <c r="AJ36" i="5" a="1"/>
  <c r="AJ36" i="5" s="1"/>
  <c r="AH12" i="19" a="1"/>
  <c r="AH12" i="19" s="1"/>
  <c r="U23" i="19" a="1"/>
  <c r="U23" i="19" s="1"/>
  <c r="AB23" i="6" a="1"/>
  <c r="AB23" i="6" s="1"/>
  <c r="AC30" i="19" a="1"/>
  <c r="AC30" i="19" s="1"/>
  <c r="AJ25" i="5" a="1"/>
  <c r="AJ25" i="5" s="1"/>
  <c r="AA21" i="7" a="1"/>
  <c r="AA21" i="7" s="1"/>
  <c r="L9" i="7" a="1"/>
  <c r="L9" i="7" s="1"/>
  <c r="AL26" i="19" a="1"/>
  <c r="AL26" i="19" s="1"/>
  <c r="AJ21" i="7" a="1"/>
  <c r="AJ21" i="7" s="1"/>
  <c r="AH42" i="5" a="1"/>
  <c r="AH42" i="5" s="1"/>
  <c r="S14" i="19" a="1"/>
  <c r="S14" i="19" s="1"/>
  <c r="AJ36" i="19" a="1"/>
  <c r="AJ36" i="19" s="1"/>
  <c r="S10" i="5" a="1"/>
  <c r="S10" i="5" s="1"/>
  <c r="X22" i="5" a="1"/>
  <c r="X22" i="5" s="1"/>
  <c r="AF26" i="19" a="1"/>
  <c r="AF26" i="19" s="1"/>
  <c r="BR26" i="19" a="1"/>
  <c r="BR26" i="19" s="1"/>
  <c r="BT26" i="19" s="1"/>
  <c r="AL25" i="7" a="1"/>
  <c r="AL25" i="7" s="1"/>
  <c r="M39" i="5" a="1"/>
  <c r="M39" i="5" s="1"/>
  <c r="W9" i="7" a="1"/>
  <c r="W9" i="7" s="1"/>
  <c r="AP37" i="7" a="1"/>
  <c r="AP37" i="7" s="1"/>
  <c r="N21" i="7" a="1"/>
  <c r="N21" i="7" s="1"/>
  <c r="BB29" i="19" a="1"/>
  <c r="BB29" i="19" s="1"/>
  <c r="BD29" i="19" s="1"/>
  <c r="AA40" i="19" a="1"/>
  <c r="AA40" i="19" s="1"/>
  <c r="BV9" i="19" a="1"/>
  <c r="BV9" i="19" s="1"/>
  <c r="X20" i="19" a="1"/>
  <c r="X20" i="19" s="1"/>
  <c r="AG17" i="5" a="1"/>
  <c r="AG17" i="5" s="1"/>
  <c r="BB33" i="7" a="1"/>
  <c r="BB33" i="7" s="1"/>
  <c r="BD33" i="7" s="1"/>
  <c r="AE16" i="7" a="1"/>
  <c r="AE16" i="7" s="1"/>
  <c r="L30" i="7" a="1"/>
  <c r="L30" i="7" s="1"/>
  <c r="BB30" i="7" a="1"/>
  <c r="BB30" i="7" s="1"/>
  <c r="BD30" i="7" s="1"/>
  <c r="M12" i="5" a="1"/>
  <c r="M12" i="5" s="1"/>
  <c r="T42" i="5" a="1"/>
  <c r="T42" i="5" s="1"/>
  <c r="AE35" i="19" a="1"/>
  <c r="AE35" i="19" s="1"/>
  <c r="Z37" i="5" a="1"/>
  <c r="Z37" i="5" s="1"/>
  <c r="BR34" i="7" a="1"/>
  <c r="BR34" i="7" s="1"/>
  <c r="BT34" i="7" s="1"/>
  <c r="T18" i="5" a="1"/>
  <c r="T18" i="5" s="1"/>
  <c r="AC11" i="5" a="1"/>
  <c r="AC11" i="5" s="1"/>
  <c r="M29" i="5" a="1"/>
  <c r="M29" i="5" s="1"/>
  <c r="AC36" i="7" a="1"/>
  <c r="AC36" i="7" s="1"/>
  <c r="O14" i="5" a="1"/>
  <c r="O14" i="5" s="1"/>
  <c r="P16" i="5" a="1"/>
  <c r="P16" i="5" s="1"/>
  <c r="AP10" i="5" a="1"/>
  <c r="AP10" i="5" s="1"/>
  <c r="BR38" i="7" a="1"/>
  <c r="BR38" i="7" s="1"/>
  <c r="BT38" i="7" s="1"/>
  <c r="Y44" i="5" a="1"/>
  <c r="Y44" i="5" s="1"/>
  <c r="S22" i="5" a="1"/>
  <c r="S22" i="5" s="1"/>
  <c r="M24" i="6" a="1"/>
  <c r="M24" i="6" s="1"/>
  <c r="AK33" i="7" a="1"/>
  <c r="AK33" i="7" s="1"/>
  <c r="AN24" i="5" a="1"/>
  <c r="AN24" i="5" s="1"/>
  <c r="AG9" i="7" a="1"/>
  <c r="AG9" i="7" s="1"/>
  <c r="AM22" i="5" a="1"/>
  <c r="AM22" i="5" s="1"/>
  <c r="BF35" i="5" a="1"/>
  <c r="BF35" i="5" s="1"/>
  <c r="BH35" i="5" s="1"/>
  <c r="N38" i="7" a="1"/>
  <c r="N38" i="7" s="1"/>
  <c r="AN13" i="19" a="1"/>
  <c r="AN13" i="19" s="1"/>
  <c r="AH43" i="7" a="1"/>
  <c r="AH43" i="7" s="1"/>
  <c r="AE26" i="19" a="1"/>
  <c r="AE26" i="19" s="1"/>
  <c r="AD14" i="5" a="1"/>
  <c r="AD14" i="5" s="1"/>
  <c r="AI16" i="19" a="1"/>
  <c r="AI16" i="19" s="1"/>
  <c r="O24" i="5" a="1"/>
  <c r="O24" i="5" s="1"/>
  <c r="AJ43" i="19" a="1"/>
  <c r="AJ43" i="19" s="1"/>
  <c r="BV20" i="19" a="1"/>
  <c r="BV20" i="19" s="1"/>
  <c r="U14" i="7" a="1"/>
  <c r="U14" i="7" s="1"/>
  <c r="P22" i="6" a="1"/>
  <c r="P22" i="6" s="1"/>
  <c r="V34" i="5" a="1"/>
  <c r="V34" i="5" s="1"/>
  <c r="AP34" i="7" a="1"/>
  <c r="AP34" i="7" s="1"/>
  <c r="W21" i="7" a="1"/>
  <c r="W21" i="7" s="1"/>
  <c r="T23" i="5" a="1"/>
  <c r="T23" i="5" s="1"/>
  <c r="O13" i="6" a="1"/>
  <c r="O13" i="6" s="1"/>
  <c r="M29" i="7" a="1"/>
  <c r="M29" i="7" s="1"/>
  <c r="M24" i="5" a="1"/>
  <c r="M24" i="5" s="1"/>
  <c r="V18" i="7" a="1"/>
  <c r="V18" i="7" s="1"/>
  <c r="M28" i="7" a="1"/>
  <c r="M28" i="7" s="1"/>
  <c r="S25" i="6" a="1"/>
  <c r="S25" i="6" s="1"/>
  <c r="BR9" i="19" a="1"/>
  <c r="BR9" i="19" s="1"/>
  <c r="BT9" i="19" s="1"/>
  <c r="T36" i="19" a="1"/>
  <c r="T36" i="19" s="1"/>
  <c r="AG43" i="7" a="1"/>
  <c r="AG43" i="7" s="1"/>
  <c r="U10" i="7" a="1"/>
  <c r="U10" i="7" s="1"/>
  <c r="R9" i="6" a="1"/>
  <c r="R9" i="6" s="1"/>
  <c r="AP29" i="5" a="1"/>
  <c r="AP29" i="5" s="1"/>
  <c r="AE36" i="5" a="1"/>
  <c r="AE36" i="5" s="1"/>
  <c r="AH35" i="5" a="1"/>
  <c r="AH35" i="5" s="1"/>
  <c r="V25" i="6" a="1"/>
  <c r="V25" i="6" s="1"/>
  <c r="Y30" i="7" a="1"/>
  <c r="Y30" i="7" s="1"/>
  <c r="L32" i="7" a="1"/>
  <c r="L32" i="7" s="1"/>
  <c r="AG21" i="7" a="1"/>
  <c r="AG21" i="7" s="1"/>
  <c r="Q14" i="7" a="1"/>
  <c r="Q14" i="7" s="1"/>
  <c r="W17" i="7" a="1"/>
  <c r="W17" i="7" s="1"/>
  <c r="M35" i="19" a="1"/>
  <c r="M35" i="19" s="1"/>
  <c r="O30" i="7" a="1"/>
  <c r="O30" i="7" s="1"/>
  <c r="L43" i="5" a="1"/>
  <c r="L43" i="5" s="1"/>
  <c r="AH10" i="7" a="1"/>
  <c r="AH10" i="7" s="1"/>
  <c r="AL25" i="5" a="1"/>
  <c r="AL25" i="5" s="1"/>
  <c r="BR13" i="19" a="1"/>
  <c r="BR13" i="19" s="1"/>
  <c r="BT13" i="19" s="1"/>
  <c r="S16" i="5" a="1"/>
  <c r="S16" i="5" s="1"/>
  <c r="AB19" i="19" a="1"/>
  <c r="AB19" i="19" s="1"/>
  <c r="P25" i="6" a="1"/>
  <c r="P25" i="6" s="1"/>
  <c r="AD36" i="7" a="1"/>
  <c r="AD36" i="7" s="1"/>
  <c r="X42" i="7" a="1"/>
  <c r="X42" i="7" s="1"/>
  <c r="R37" i="19" a="1"/>
  <c r="R37" i="19" s="1"/>
  <c r="AB42" i="7" a="1"/>
  <c r="AB42" i="7" s="1"/>
  <c r="Z37" i="7" a="1"/>
  <c r="Z37" i="7" s="1"/>
  <c r="AB17" i="7" a="1"/>
  <c r="AB17" i="7" s="1"/>
  <c r="BJ16" i="7" a="1"/>
  <c r="BJ16" i="7" s="1"/>
  <c r="BL16" i="7" s="1"/>
  <c r="T24" i="5" a="1"/>
  <c r="T24" i="5" s="1"/>
  <c r="AA14" i="5" a="1"/>
  <c r="AA14" i="5" s="1"/>
  <c r="U9" i="6" a="1"/>
  <c r="U9" i="6" s="1"/>
  <c r="BR24" i="19" a="1"/>
  <c r="BR24" i="19" s="1"/>
  <c r="BT24" i="19" s="1"/>
  <c r="AJ43" i="7" a="1"/>
  <c r="AJ43" i="7" s="1"/>
  <c r="AO37" i="5" a="1"/>
  <c r="AO37" i="5" s="1"/>
  <c r="AG32" i="7" a="1"/>
  <c r="AG32" i="7" s="1"/>
  <c r="M27" i="6" a="1"/>
  <c r="M27" i="6" s="1"/>
  <c r="BV31" i="7" a="1"/>
  <c r="BV31" i="7" s="1"/>
  <c r="Q26" i="6" a="1"/>
  <c r="Q26" i="6" s="1"/>
  <c r="L16" i="7" a="1"/>
  <c r="L16" i="7" s="1"/>
  <c r="BR13" i="5" a="1"/>
  <c r="BR13" i="5" s="1"/>
  <c r="BT13" i="5" s="1"/>
  <c r="BF17" i="7" a="1"/>
  <c r="BF17" i="7" s="1"/>
  <c r="BH17" i="7" s="1"/>
  <c r="Z35" i="7" a="1"/>
  <c r="Z35" i="7" s="1"/>
  <c r="BR42" i="5" a="1"/>
  <c r="BR42" i="5" s="1"/>
  <c r="BT42" i="5" s="1"/>
  <c r="T43" i="5" a="1"/>
  <c r="T43" i="5" s="1"/>
  <c r="BN23" i="5" a="1"/>
  <c r="BN23" i="5" s="1"/>
  <c r="M23" i="6" a="1"/>
  <c r="M23" i="6" s="1"/>
  <c r="AE31" i="5" a="1"/>
  <c r="AE31" i="5" s="1"/>
  <c r="BN15" i="7" a="1"/>
  <c r="BN15" i="7" s="1"/>
  <c r="BJ29" i="7" a="1"/>
  <c r="BJ29" i="7" s="1"/>
  <c r="BL29" i="7" s="1"/>
  <c r="AF30" i="5" a="1"/>
  <c r="AF30" i="5" s="1"/>
  <c r="Y18" i="5" a="1"/>
  <c r="Y18" i="5" s="1"/>
  <c r="U24" i="19" a="1"/>
  <c r="U24" i="19" s="1"/>
  <c r="O18" i="7" a="1"/>
  <c r="O18" i="7" s="1"/>
  <c r="AE31" i="7" a="1"/>
  <c r="AE31" i="7" s="1"/>
  <c r="R35" i="19" a="1"/>
  <c r="R35" i="19" s="1"/>
  <c r="AK42" i="7" a="1"/>
  <c r="AK42" i="7" s="1"/>
  <c r="O19" i="6" a="1"/>
  <c r="O19" i="6" s="1"/>
  <c r="BB42" i="19" a="1"/>
  <c r="BB42" i="19" s="1"/>
  <c r="BD42" i="19" s="1"/>
  <c r="AL16" i="19" a="1"/>
  <c r="AL16" i="19" s="1"/>
  <c r="M42" i="7" a="1"/>
  <c r="M42" i="7" s="1"/>
  <c r="AN43" i="19" a="1"/>
  <c r="AN43" i="19" s="1"/>
  <c r="AD12" i="19" a="1"/>
  <c r="AD12" i="19" s="1"/>
  <c r="BN36" i="7" a="1"/>
  <c r="BN36" i="7" s="1"/>
  <c r="T12" i="5" a="1"/>
  <c r="T12" i="5" s="1"/>
  <c r="T17" i="5" a="1"/>
  <c r="T17" i="5" s="1"/>
  <c r="BN31" i="5" a="1"/>
  <c r="BN31" i="5" s="1"/>
  <c r="Y29" i="19" a="1"/>
  <c r="Y29" i="19" s="1"/>
  <c r="L14" i="7" a="1"/>
  <c r="L14" i="7" s="1"/>
  <c r="R20" i="19" a="1"/>
  <c r="R20" i="19" s="1"/>
  <c r="N25" i="5" a="1"/>
  <c r="N25" i="5" s="1"/>
  <c r="BJ39" i="7" a="1"/>
  <c r="BJ39" i="7" s="1"/>
  <c r="BL39" i="7" s="1"/>
  <c r="AK14" i="5" a="1"/>
  <c r="AK14" i="5" s="1"/>
  <c r="BB31" i="7" a="1"/>
  <c r="BB31" i="7" s="1"/>
  <c r="BD31" i="7" s="1"/>
  <c r="AF13" i="19" a="1"/>
  <c r="AF13" i="19" s="1"/>
  <c r="X35" i="7" a="1"/>
  <c r="X35" i="7" s="1"/>
  <c r="P24" i="6" a="1"/>
  <c r="P24" i="6" s="1"/>
  <c r="AK9" i="7" a="1"/>
  <c r="AK9" i="7" s="1"/>
  <c r="AI47" i="19" a="1"/>
  <c r="AI47" i="19" s="1"/>
  <c r="X44" i="7" a="1"/>
  <c r="X44" i="7" s="1"/>
  <c r="AI29" i="5" a="1"/>
  <c r="AI29" i="5" s="1"/>
  <c r="BF31" i="5" a="1"/>
  <c r="BF31" i="5" s="1"/>
  <c r="Q30" i="19" a="1"/>
  <c r="Q30" i="19" s="1"/>
  <c r="N32" i="19" a="1"/>
  <c r="N32" i="19" s="1"/>
  <c r="R26" i="7" a="1"/>
  <c r="R26" i="7" s="1"/>
  <c r="T24" i="19" a="1"/>
  <c r="T24" i="19" s="1"/>
  <c r="T22" i="5" a="1"/>
  <c r="T22" i="5" s="1"/>
  <c r="AL32" i="19" a="1"/>
  <c r="AL32" i="19" s="1"/>
  <c r="Q15" i="19" a="1"/>
  <c r="Q15" i="19" s="1"/>
  <c r="AB10" i="5" a="1"/>
  <c r="AB10" i="5" s="1"/>
  <c r="AO25" i="5" a="1"/>
  <c r="AO25" i="5" s="1"/>
  <c r="AI16" i="7" a="1"/>
  <c r="AI16" i="7" s="1"/>
  <c r="AG45" i="5" a="1"/>
  <c r="AG45" i="5" s="1"/>
  <c r="Z45" i="5" a="1"/>
  <c r="Z45" i="5" s="1"/>
  <c r="M31" i="5" a="1"/>
  <c r="M31" i="5" s="1"/>
  <c r="V22" i="6" a="1"/>
  <c r="V22" i="6" s="1"/>
  <c r="AF31" i="5" a="1"/>
  <c r="AF31" i="5" s="1"/>
  <c r="AM44" i="7" a="1"/>
  <c r="AM44" i="7" s="1"/>
  <c r="AM27" i="7" a="1"/>
  <c r="AM27" i="7" s="1"/>
  <c r="AD43" i="19" a="1"/>
  <c r="AD43" i="19" s="1"/>
  <c r="U35" i="7" a="1"/>
  <c r="U35" i="7" s="1"/>
  <c r="AF21" i="5" a="1"/>
  <c r="AF21" i="5" s="1"/>
  <c r="AI23" i="5" a="1"/>
  <c r="AI23" i="5" s="1"/>
  <c r="Z14" i="5" a="1"/>
  <c r="Z14" i="5" s="1"/>
  <c r="R17" i="5" a="1"/>
  <c r="R17" i="5" s="1"/>
  <c r="Q18" i="6" a="1"/>
  <c r="Q18" i="6" s="1"/>
  <c r="V10" i="6" a="1"/>
  <c r="V10" i="6" s="1"/>
  <c r="R18" i="6" a="1"/>
  <c r="R18" i="6" s="1"/>
  <c r="X29" i="5" a="1"/>
  <c r="X29" i="5" s="1"/>
  <c r="U30" i="5" a="1"/>
  <c r="U30" i="5" s="1"/>
  <c r="V17" i="5" a="1"/>
  <c r="V17" i="5" s="1"/>
  <c r="AM35" i="5" a="1"/>
  <c r="AM35" i="5" s="1"/>
  <c r="AN29" i="7" a="1"/>
  <c r="AN29" i="7" s="1"/>
  <c r="W16" i="19" a="1"/>
  <c r="W16" i="19" s="1"/>
  <c r="AG24" i="5" a="1"/>
  <c r="AG24" i="5" s="1"/>
  <c r="AC12" i="19" a="1"/>
  <c r="AC12" i="19" s="1"/>
  <c r="AF25" i="5" a="1"/>
  <c r="AF25" i="5" s="1"/>
  <c r="AK39" i="7" a="1"/>
  <c r="AK39" i="7" s="1"/>
  <c r="M15" i="6" a="1"/>
  <c r="M15" i="6" s="1"/>
  <c r="AB19" i="6" a="1"/>
  <c r="AB19" i="6" s="1"/>
  <c r="V25" i="7" a="1"/>
  <c r="V25" i="7" s="1"/>
  <c r="AL43" i="19" a="1"/>
  <c r="AL43" i="19" s="1"/>
  <c r="BB47" i="19" a="1"/>
  <c r="BB47" i="19" s="1"/>
  <c r="BD47" i="19" s="1"/>
  <c r="AO11" i="5" a="1"/>
  <c r="AO11" i="5" s="1"/>
  <c r="M9" i="5" a="1"/>
  <c r="M9" i="5" s="1"/>
  <c r="Y13" i="6" a="1"/>
  <c r="Y13" i="6" s="1"/>
  <c r="N37" i="5" a="1"/>
  <c r="N37" i="5" s="1"/>
  <c r="P12" i="19" a="1"/>
  <c r="P12" i="19" s="1"/>
  <c r="BV32" i="19" a="1"/>
  <c r="BV32" i="19" s="1"/>
  <c r="V23" i="6" a="1"/>
  <c r="V23" i="6" s="1"/>
  <c r="Y15" i="7" a="1"/>
  <c r="Y15" i="7" s="1"/>
  <c r="AE29" i="19" a="1"/>
  <c r="AE29" i="19" s="1"/>
  <c r="AD18" i="5" a="1"/>
  <c r="AD18" i="5" s="1"/>
  <c r="Y31" i="5" a="1"/>
  <c r="Y31" i="5" s="1"/>
  <c r="M25" i="7" a="1"/>
  <c r="M25" i="7" s="1"/>
  <c r="BF25" i="19" a="1"/>
  <c r="BF25" i="19" s="1"/>
  <c r="BH25" i="19" s="1"/>
  <c r="BJ31" i="7" a="1"/>
  <c r="BJ31" i="7" s="1"/>
  <c r="BL31" i="7" s="1"/>
  <c r="O27" i="6" a="1"/>
  <c r="O27" i="6" s="1"/>
  <c r="BF23" i="19" a="1"/>
  <c r="BF23" i="19" s="1"/>
  <c r="BH23" i="19" s="1"/>
  <c r="Y39" i="7" a="1"/>
  <c r="Y39" i="7" s="1"/>
  <c r="V39" i="7" a="1"/>
  <c r="V39" i="7" s="1"/>
  <c r="BB13" i="19" a="1"/>
  <c r="BB13" i="19" s="1"/>
  <c r="BD13" i="19" s="1"/>
  <c r="AG39" i="5" a="1"/>
  <c r="AG39" i="5" s="1"/>
  <c r="AF27" i="7" a="1"/>
  <c r="AF27" i="7" s="1"/>
  <c r="T23" i="6" a="1"/>
  <c r="T23" i="6" s="1"/>
  <c r="AF30" i="19" a="1"/>
  <c r="AF30" i="19" s="1"/>
  <c r="AF46" i="19" a="1"/>
  <c r="AF46" i="19" s="1"/>
  <c r="AO37" i="7" a="1"/>
  <c r="AO37" i="7" s="1"/>
  <c r="M23" i="5" a="1"/>
  <c r="M23" i="5" s="1"/>
  <c r="Y44" i="7" a="1"/>
  <c r="Y44" i="7" s="1"/>
  <c r="AJ47" i="19" a="1"/>
  <c r="AJ47" i="19" s="1"/>
  <c r="P23" i="6" a="1"/>
  <c r="P23" i="6" s="1"/>
  <c r="AG37" i="7" a="1"/>
  <c r="AG37" i="7" s="1"/>
  <c r="X35" i="5" a="1"/>
  <c r="X35" i="5" s="1"/>
  <c r="AO21" i="5" a="1"/>
  <c r="AO21" i="5" s="1"/>
  <c r="Z31" i="19" a="1"/>
  <c r="Z31" i="19" s="1"/>
  <c r="O11" i="7" a="1"/>
  <c r="O11" i="7" s="1"/>
  <c r="AE16" i="19" a="1"/>
  <c r="AE16" i="19" s="1"/>
  <c r="AK44" i="5" a="1"/>
  <c r="AK44" i="5" s="1"/>
  <c r="BJ37" i="19" a="1"/>
  <c r="BJ37" i="19" s="1"/>
  <c r="BL37" i="19" s="1"/>
  <c r="AC10" i="5" a="1"/>
  <c r="AC10" i="5" s="1"/>
  <c r="T45" i="5" a="1"/>
  <c r="T45" i="5" s="1"/>
  <c r="AD42" i="7" a="1"/>
  <c r="AD42" i="7" s="1"/>
  <c r="AK37" i="5" a="1"/>
  <c r="AK37" i="5" s="1"/>
  <c r="AM43" i="5" a="1"/>
  <c r="AM43" i="5" s="1"/>
  <c r="AG25" i="7" a="1"/>
  <c r="AG25" i="7" s="1"/>
  <c r="V32" i="7" a="1"/>
  <c r="V32" i="7" s="1"/>
  <c r="AK11" i="5" a="1"/>
  <c r="AK11" i="5" s="1"/>
  <c r="BF35" i="7" a="1"/>
  <c r="BF35" i="7" s="1"/>
  <c r="BH35" i="7" s="1"/>
  <c r="N35" i="7" a="1"/>
  <c r="N35" i="7" s="1"/>
  <c r="BB23" i="19" a="1"/>
  <c r="BB23" i="19" s="1"/>
  <c r="BD23" i="19" s="1"/>
  <c r="L18" i="6" a="1"/>
  <c r="L18" i="6" s="1"/>
  <c r="BF39" i="7" a="1"/>
  <c r="BF39" i="7" s="1"/>
  <c r="BH39" i="7" s="1"/>
  <c r="S18" i="6" a="1"/>
  <c r="S18" i="6" s="1"/>
  <c r="AK43" i="7" a="1"/>
  <c r="AK43" i="7" s="1"/>
  <c r="AD29" i="19" a="1"/>
  <c r="AD29" i="19" s="1"/>
  <c r="Q12" i="19" a="1"/>
  <c r="Q12" i="19" s="1"/>
  <c r="AN36" i="7" a="1"/>
  <c r="AN36" i="7" s="1"/>
  <c r="BB37" i="19" a="1"/>
  <c r="BB37" i="19" s="1"/>
  <c r="BD37" i="19" s="1"/>
  <c r="S24" i="19" a="1"/>
  <c r="S24" i="19" s="1"/>
  <c r="AK17" i="5" a="1"/>
  <c r="AK17" i="5" s="1"/>
  <c r="AH47" i="19" a="1"/>
  <c r="AH47" i="19" s="1"/>
  <c r="AE22" i="7" a="1"/>
  <c r="AE22" i="7" s="1"/>
  <c r="AI11" i="7" a="1"/>
  <c r="AI11" i="7" s="1"/>
  <c r="AH22" i="5" a="1"/>
  <c r="AH22" i="5" s="1"/>
  <c r="AI40" i="19" a="1"/>
  <c r="AI40" i="19" s="1"/>
  <c r="AI35" i="7" a="1"/>
  <c r="AI35" i="7" s="1"/>
  <c r="M13" i="5" a="1"/>
  <c r="M13" i="5" s="1"/>
  <c r="AK25" i="19" a="1"/>
  <c r="AK25" i="19" s="1"/>
  <c r="AD25" i="7" a="1"/>
  <c r="AD25" i="7" s="1"/>
  <c r="BV31" i="19" a="1"/>
  <c r="BV31" i="19" s="1"/>
  <c r="BN17" i="5" a="1"/>
  <c r="BN17" i="5" s="1"/>
  <c r="AF36" i="19" a="1"/>
  <c r="AF36" i="19" s="1"/>
  <c r="X38" i="7" a="1"/>
  <c r="X38" i="7" s="1"/>
  <c r="X19" i="19" a="1"/>
  <c r="X19" i="19" s="1"/>
  <c r="L38" i="7" a="1"/>
  <c r="L38" i="7" s="1"/>
  <c r="N14" i="6" a="1"/>
  <c r="N14" i="6" s="1"/>
  <c r="AE10" i="5" a="1"/>
  <c r="AE10" i="5" s="1"/>
  <c r="P43" i="5" a="1"/>
  <c r="P43" i="5" s="1"/>
  <c r="AL46" i="19" a="1"/>
  <c r="AL46" i="19" s="1"/>
  <c r="V47" i="19" a="1"/>
  <c r="V47" i="19" s="1"/>
  <c r="AF42" i="5" a="1"/>
  <c r="AF42" i="5" s="1"/>
  <c r="AA24" i="19" a="1"/>
  <c r="AA24" i="19" s="1"/>
  <c r="N15" i="19" a="1"/>
  <c r="N15" i="19" s="1"/>
  <c r="BF14" i="5" a="1"/>
  <c r="BF14" i="5" s="1"/>
  <c r="BH14" i="5" s="1"/>
  <c r="Q15" i="7" a="1"/>
  <c r="Q15" i="7" s="1"/>
  <c r="Z22" i="7" a="1"/>
  <c r="Z22" i="7" s="1"/>
  <c r="AC24" i="5" a="1"/>
  <c r="AC24" i="5" s="1"/>
  <c r="Y35" i="5" a="1"/>
  <c r="Y35" i="5" s="1"/>
  <c r="W31" i="5" a="1"/>
  <c r="W31" i="5" s="1"/>
  <c r="AI42" i="5" a="1"/>
  <c r="AI42" i="5" s="1"/>
  <c r="AM39" i="5" a="1"/>
  <c r="AM39" i="5" s="1"/>
  <c r="L37" i="7" a="1"/>
  <c r="L37" i="7" s="1"/>
  <c r="AI27" i="7" a="1"/>
  <c r="AI27" i="7" s="1"/>
  <c r="AI17" i="19" a="1"/>
  <c r="AI17" i="19" s="1"/>
  <c r="BJ15" i="7" a="1"/>
  <c r="BJ15" i="7" s="1"/>
  <c r="BL15" i="7" s="1"/>
  <c r="Z9" i="19" a="1"/>
  <c r="Z9" i="19" s="1"/>
  <c r="AN26" i="19" a="1"/>
  <c r="AN26" i="19" s="1"/>
  <c r="BB44" i="5" a="1"/>
  <c r="BB44" i="5" s="1"/>
  <c r="BD44" i="5" s="1"/>
  <c r="M32" i="7" a="1"/>
  <c r="M32" i="7" s="1"/>
  <c r="AC10" i="7" a="1"/>
  <c r="AC10" i="7" s="1"/>
  <c r="V31" i="19" a="1"/>
  <c r="V31" i="19" s="1"/>
  <c r="R11" i="7" a="1"/>
  <c r="R11" i="7" s="1"/>
  <c r="L15" i="7" a="1"/>
  <c r="L15" i="7" s="1"/>
  <c r="BB9" i="19" a="1"/>
  <c r="BB9" i="19" s="1"/>
  <c r="BD9" i="19" s="1"/>
  <c r="U37" i="7" a="1"/>
  <c r="U37" i="7" s="1"/>
  <c r="O17" i="5" a="1"/>
  <c r="O17" i="5" s="1"/>
  <c r="BV41" i="19" a="1"/>
  <c r="BV41" i="19" s="1"/>
  <c r="Q37" i="19" a="1"/>
  <c r="Q37" i="19" s="1"/>
  <c r="AK10" i="5" a="1"/>
  <c r="AK10" i="5" s="1"/>
  <c r="BB30" i="5" a="1"/>
  <c r="BB30" i="5" s="1"/>
  <c r="BD30" i="5" s="1"/>
  <c r="AE44" i="5" a="1"/>
  <c r="AE44" i="5" s="1"/>
  <c r="N33" i="7" a="1"/>
  <c r="N33" i="7" s="1"/>
  <c r="V39" i="5" a="1"/>
  <c r="V39" i="5" s="1"/>
  <c r="AJ17" i="7" a="1"/>
  <c r="AJ17" i="7" s="1"/>
  <c r="L9" i="5" a="1"/>
  <c r="L9" i="5" s="1"/>
  <c r="AH39" i="5" a="1"/>
  <c r="AH39" i="5" s="1"/>
  <c r="AM10" i="5" a="1"/>
  <c r="AM10" i="5" s="1"/>
  <c r="AA18" i="6" a="1"/>
  <c r="AA18" i="6" s="1"/>
  <c r="O19" i="19" a="1"/>
  <c r="O19" i="19" s="1"/>
  <c r="M34" i="7" a="1"/>
  <c r="M34" i="7" s="1"/>
  <c r="N23" i="5" a="1"/>
  <c r="N23" i="5" s="1"/>
  <c r="AG21" i="5" a="1"/>
  <c r="AG21" i="5" s="1"/>
  <c r="R23" i="19" a="1"/>
  <c r="R23" i="19" s="1"/>
  <c r="T22" i="6" a="1"/>
  <c r="T22" i="6" s="1"/>
  <c r="X42" i="5" a="1"/>
  <c r="X42" i="5" s="1"/>
  <c r="AL12" i="19" a="1"/>
  <c r="AL12" i="19" s="1"/>
  <c r="AF30" i="7" a="1"/>
  <c r="AF30" i="7" s="1"/>
  <c r="BJ35" i="19" a="1"/>
  <c r="BJ35" i="19" s="1"/>
  <c r="BL35" i="19" s="1"/>
  <c r="AN22" i="5" a="1"/>
  <c r="AN22" i="5" s="1"/>
  <c r="BR27" i="7" a="1"/>
  <c r="BR27" i="7" s="1"/>
  <c r="BT27" i="7" s="1"/>
  <c r="AC36" i="5" a="1"/>
  <c r="AC36" i="5" s="1"/>
  <c r="AD15" i="19" a="1"/>
  <c r="AD15" i="19" s="1"/>
  <c r="U15" i="19" a="1"/>
  <c r="U15" i="19" s="1"/>
  <c r="S26" i="7" a="1"/>
  <c r="S26" i="7" s="1"/>
  <c r="BN44" i="5" a="1"/>
  <c r="BN44" i="5" s="1"/>
  <c r="AL24" i="5" a="1"/>
  <c r="AL24" i="5" s="1"/>
  <c r="AB26" i="6" a="1"/>
  <c r="AB26" i="6" s="1"/>
  <c r="Q42" i="5" a="1"/>
  <c r="Q42" i="5" s="1"/>
  <c r="AK38" i="7" a="1"/>
  <c r="AK38" i="7" s="1"/>
  <c r="AG11" i="7" a="1"/>
  <c r="AG11" i="7" s="1"/>
  <c r="M29" i="19" a="1"/>
  <c r="M29" i="19" s="1"/>
  <c r="X14" i="5" a="1"/>
  <c r="X14" i="5" s="1"/>
  <c r="AO12" i="5" a="1"/>
  <c r="AO12" i="5" s="1"/>
  <c r="BV24" i="19" a="1"/>
  <c r="BV24" i="19" s="1"/>
  <c r="Y43" i="19" a="1"/>
  <c r="Y43" i="19" s="1"/>
  <c r="AB32" i="7" a="1"/>
  <c r="AB32" i="7" s="1"/>
  <c r="M45" i="5" a="1"/>
  <c r="M45" i="5" s="1"/>
  <c r="BB34" i="5" a="1"/>
  <c r="BB34" i="5" s="1"/>
  <c r="BD34" i="5" s="1"/>
  <c r="AJ23" i="5" a="1"/>
  <c r="AJ23" i="5" s="1"/>
  <c r="AI39" i="5" a="1"/>
  <c r="AI39" i="5" s="1"/>
  <c r="AF43" i="5" a="1"/>
  <c r="AF43" i="5" s="1"/>
  <c r="V43" i="19" a="1"/>
  <c r="V43" i="19" s="1"/>
  <c r="M31" i="7" a="1"/>
  <c r="M31" i="7" s="1"/>
  <c r="AD11" i="7" a="1"/>
  <c r="AD11" i="7" s="1"/>
  <c r="AJ10" i="7" a="1"/>
  <c r="AJ10" i="7" s="1"/>
  <c r="AI20" i="19" a="1"/>
  <c r="AI20" i="19" s="1"/>
  <c r="BJ9" i="19" a="1"/>
  <c r="BJ9" i="19" s="1"/>
  <c r="BL9" i="19" s="1"/>
  <c r="BF16" i="5" a="1"/>
  <c r="BF16" i="5" s="1"/>
  <c r="BH16" i="5" s="1"/>
  <c r="AB14" i="5" a="1"/>
  <c r="AB14" i="5" s="1"/>
  <c r="AI24" i="5" a="1"/>
  <c r="AI24" i="5" s="1"/>
  <c r="BV25" i="5" a="1"/>
  <c r="BV25" i="5" s="1"/>
  <c r="L36" i="5" a="1"/>
  <c r="L36" i="5" s="1"/>
  <c r="V28" i="5" a="1"/>
  <c r="V28" i="5" s="1"/>
  <c r="Z9" i="5" a="1"/>
  <c r="Z9" i="5" s="1"/>
  <c r="AD17" i="7" a="1"/>
  <c r="AD17" i="7" s="1"/>
  <c r="AE13" i="5" a="1"/>
  <c r="AE13" i="5" s="1"/>
  <c r="AM18" i="5" a="1"/>
  <c r="AM18" i="5" s="1"/>
  <c r="AO23" i="5" a="1"/>
  <c r="AO23" i="5" s="1"/>
  <c r="AB31" i="5" a="1"/>
  <c r="AB31" i="5" s="1"/>
  <c r="AL21" i="7" a="1"/>
  <c r="AL21" i="7" s="1"/>
  <c r="L29" i="7" a="1"/>
  <c r="L29" i="7" s="1"/>
  <c r="Q39" i="5" a="1"/>
  <c r="Q39" i="5" s="1"/>
  <c r="V11" i="7" a="1"/>
  <c r="V11" i="7" s="1"/>
  <c r="AA23" i="5" a="1"/>
  <c r="AA23" i="5" s="1"/>
  <c r="AJ18" i="5" a="1"/>
  <c r="AJ18" i="5" s="1"/>
  <c r="AL31" i="19" a="1"/>
  <c r="AL31" i="19" s="1"/>
  <c r="S32" i="7" a="1"/>
  <c r="S32" i="7" s="1"/>
  <c r="AL19" i="19" a="1"/>
  <c r="AL19" i="19" s="1"/>
  <c r="AE11" i="5" a="1"/>
  <c r="AE11" i="5" s="1"/>
  <c r="AK36" i="19" a="1"/>
  <c r="AK36" i="19" s="1"/>
  <c r="Y30" i="19" a="1"/>
  <c r="Y30" i="19" s="1"/>
  <c r="AJ16" i="7" a="1"/>
  <c r="AJ16" i="7" s="1"/>
  <c r="N10" i="6" a="1"/>
  <c r="N10" i="6" s="1"/>
  <c r="O23" i="6" a="1"/>
  <c r="O23" i="6" s="1"/>
  <c r="N25" i="6" a="1"/>
  <c r="N25" i="6" s="1"/>
  <c r="BV17" i="19" a="1"/>
  <c r="BV17" i="19" s="1"/>
  <c r="V12" i="19" a="1"/>
  <c r="V12" i="19" s="1"/>
  <c r="P10" i="6" a="1"/>
  <c r="P10" i="6" s="1"/>
  <c r="R10" i="6" a="1"/>
  <c r="R10" i="6" s="1"/>
  <c r="AM16" i="5" a="1"/>
  <c r="AM16" i="5" s="1"/>
  <c r="N9" i="6" a="1"/>
  <c r="N9" i="6" s="1"/>
  <c r="V10" i="7" a="1"/>
  <c r="V10" i="7" s="1"/>
  <c r="Y35" i="7" a="1"/>
  <c r="Y35" i="7" s="1"/>
  <c r="Z16" i="7" a="1"/>
  <c r="Z16" i="7" s="1"/>
  <c r="BR37" i="7" a="1"/>
  <c r="BR37" i="7" s="1"/>
  <c r="BT37" i="7" s="1"/>
  <c r="U28" i="5" a="1"/>
  <c r="U28" i="5" s="1"/>
  <c r="R18" i="19" a="1"/>
  <c r="R18" i="19" s="1"/>
  <c r="Y22" i="7" a="1"/>
  <c r="Y22" i="7" s="1"/>
  <c r="AA39" i="5" a="1"/>
  <c r="AA39" i="5" s="1"/>
  <c r="BN10" i="5" a="1"/>
  <c r="BN10" i="5" s="1"/>
  <c r="BF10" i="7" a="1"/>
  <c r="BF10" i="7" s="1"/>
  <c r="BH10" i="7" s="1"/>
  <c r="Q16" i="19" a="1"/>
  <c r="Q16" i="19" s="1"/>
  <c r="AI18" i="5" a="1"/>
  <c r="AI18" i="5" s="1"/>
  <c r="Y39" i="5" a="1"/>
  <c r="Y39" i="5" s="1"/>
  <c r="Z18" i="6" a="1"/>
  <c r="Z18" i="6" s="1"/>
  <c r="BV25" i="7" a="1"/>
  <c r="BV25" i="7" s="1"/>
  <c r="O36" i="19" a="1"/>
  <c r="O36" i="19" s="1"/>
  <c r="AK29" i="7" a="1"/>
  <c r="AK29" i="7" s="1"/>
  <c r="AK46" i="19" a="1"/>
  <c r="AK46" i="19" s="1"/>
  <c r="T15" i="7" a="1"/>
  <c r="T15" i="7" s="1"/>
  <c r="V42" i="5" a="1"/>
  <c r="V42" i="5" s="1"/>
  <c r="Z27" i="6" a="1"/>
  <c r="Z27" i="6" s="1"/>
  <c r="AM9" i="5" a="1"/>
  <c r="AM9" i="5" s="1"/>
  <c r="BB9" i="7" a="1"/>
  <c r="BB9" i="7" s="1"/>
  <c r="BD9" i="7" s="1"/>
  <c r="AF18" i="5" a="1"/>
  <c r="AF18" i="5" s="1"/>
  <c r="AM30" i="7" a="1"/>
  <c r="AM30" i="7" s="1"/>
  <c r="X37" i="19" a="1"/>
  <c r="X37" i="19" s="1"/>
  <c r="U30" i="19" a="1"/>
  <c r="U30" i="19" s="1"/>
  <c r="AN12" i="19" a="1"/>
  <c r="AN12" i="19" s="1"/>
  <c r="AI25" i="7" a="1"/>
  <c r="AI25" i="7" s="1"/>
  <c r="S32" i="19" a="1"/>
  <c r="S32" i="19" s="1"/>
  <c r="AA22" i="6" a="1"/>
  <c r="AA22" i="6" s="1"/>
  <c r="BV39" i="5" a="1"/>
  <c r="BV39" i="5" s="1"/>
  <c r="AH16" i="7" a="1"/>
  <c r="AH16" i="7" s="1"/>
  <c r="AE30" i="5" a="1"/>
  <c r="AE30" i="5" s="1"/>
  <c r="P11" i="5" a="1"/>
  <c r="P11" i="5" s="1"/>
  <c r="AL18" i="7" a="1"/>
  <c r="AL18" i="7" s="1"/>
  <c r="W15" i="6" a="1"/>
  <c r="W15" i="6" s="1"/>
  <c r="AH18" i="5" a="1"/>
  <c r="AH18" i="5" s="1"/>
  <c r="AN17" i="19" a="1"/>
  <c r="AN17" i="19" s="1"/>
  <c r="X23" i="5" a="1"/>
  <c r="X23" i="5" s="1"/>
  <c r="AI14" i="7" a="1"/>
  <c r="AI14" i="7" s="1"/>
  <c r="T33" i="7" a="1"/>
  <c r="T33" i="7" s="1"/>
  <c r="O38" i="7" a="1"/>
  <c r="O38" i="7" s="1"/>
  <c r="AD31" i="19" a="1"/>
  <c r="AD31" i="19" s="1"/>
  <c r="AF17" i="7" a="1"/>
  <c r="AF17" i="7" s="1"/>
  <c r="BN15" i="19" a="1"/>
  <c r="BN15" i="19" s="1"/>
  <c r="V9" i="19" a="1"/>
  <c r="V9" i="19" s="1"/>
  <c r="V35" i="7" a="1"/>
  <c r="V35" i="7" s="1"/>
  <c r="AB46" i="19" a="1"/>
  <c r="AB46" i="19" s="1"/>
  <c r="V14" i="6" a="1"/>
  <c r="V14" i="6" s="1"/>
  <c r="AN11" i="5" a="1"/>
  <c r="AN11" i="5" s="1"/>
  <c r="AE14" i="5" a="1"/>
  <c r="AE14" i="5" s="1"/>
  <c r="M11" i="5" a="1"/>
  <c r="M11" i="5" s="1"/>
  <c r="AI43" i="5" a="1"/>
  <c r="AI43" i="5" s="1"/>
  <c r="AH28" i="5" a="1"/>
  <c r="AH28" i="5" s="1"/>
  <c r="O9" i="19" a="1"/>
  <c r="O9" i="19" s="1"/>
  <c r="U12" i="19" a="1"/>
  <c r="U12" i="19" s="1"/>
  <c r="BR25" i="5" a="1"/>
  <c r="BR25" i="5" s="1"/>
  <c r="BT25" i="5" s="1"/>
  <c r="BN45" i="5" a="1"/>
  <c r="BN45" i="5" s="1"/>
  <c r="AH29" i="19" a="1"/>
  <c r="AH29" i="19" s="1"/>
  <c r="O32" i="19" a="1"/>
  <c r="O32" i="19" s="1"/>
  <c r="BJ27" i="7" a="1"/>
  <c r="BJ27" i="7" s="1"/>
  <c r="BL27" i="7" s="1"/>
  <c r="S43" i="5" a="1"/>
  <c r="S43" i="5" s="1"/>
  <c r="AI24" i="19" a="1"/>
  <c r="AI24" i="19" s="1"/>
  <c r="AK32" i="7" a="1"/>
  <c r="AK32" i="7" s="1"/>
  <c r="X11" i="7" a="1"/>
  <c r="X11" i="7" s="1"/>
  <c r="AB11" i="5" a="1"/>
  <c r="AB11" i="5" s="1"/>
  <c r="AA43" i="7" a="1"/>
  <c r="AA43" i="7" s="1"/>
  <c r="X43" i="19" a="1"/>
  <c r="X43" i="19" s="1"/>
  <c r="R26" i="19" a="1"/>
  <c r="R26" i="19" s="1"/>
  <c r="R9" i="19" a="1"/>
  <c r="R9" i="19" s="1"/>
  <c r="O27" i="7" a="1"/>
  <c r="O27" i="7" s="1"/>
  <c r="P30" i="7" a="1"/>
  <c r="P30" i="7" s="1"/>
  <c r="AL35" i="5" a="1"/>
  <c r="AL35" i="5" s="1"/>
  <c r="W44" i="7" a="1"/>
  <c r="W44" i="7" s="1"/>
  <c r="M30" i="7" a="1"/>
  <c r="M30" i="7" s="1"/>
  <c r="U22" i="5" a="1"/>
  <c r="U22" i="5" s="1"/>
  <c r="AM14" i="7" a="1"/>
  <c r="AM14" i="7" s="1"/>
  <c r="BF41" i="19" a="1"/>
  <c r="BF41" i="19" s="1"/>
  <c r="BH41" i="19" s="1"/>
  <c r="V13" i="6" a="1"/>
  <c r="V13" i="6" s="1"/>
  <c r="AI26" i="19" a="1"/>
  <c r="AI26" i="19" s="1"/>
  <c r="BF24" i="19" a="1"/>
  <c r="BF24" i="19" s="1"/>
  <c r="BH24" i="19" s="1"/>
  <c r="AC43" i="5" a="1"/>
  <c r="AC43" i="5" s="1"/>
  <c r="P36" i="5" a="1"/>
  <c r="P36" i="5" s="1"/>
  <c r="BN40" i="19" a="1"/>
  <c r="BN40" i="19" s="1"/>
  <c r="AC42" i="7" a="1"/>
  <c r="AC42" i="7" s="1"/>
  <c r="AN9" i="7" a="1"/>
  <c r="AN9" i="7" s="1"/>
  <c r="AE28" i="7" a="1"/>
  <c r="AE28" i="7" s="1"/>
  <c r="AA34" i="5" a="1"/>
  <c r="AA34" i="5" s="1"/>
  <c r="BN25" i="5" a="1"/>
  <c r="BN25" i="5" s="1"/>
  <c r="W18" i="6" a="1"/>
  <c r="W18" i="6" s="1"/>
  <c r="AP44" i="7" a="1"/>
  <c r="AP44" i="7" s="1"/>
  <c r="BF12" i="19" a="1"/>
  <c r="BF12" i="19" s="1"/>
  <c r="BH12" i="19" s="1"/>
  <c r="AA31" i="7" a="1"/>
  <c r="AA31" i="7" s="1"/>
  <c r="Q24" i="5" a="1"/>
  <c r="Q24" i="5" s="1"/>
  <c r="S21" i="7" a="1"/>
  <c r="S21" i="7" s="1"/>
  <c r="U44" i="7" a="1"/>
  <c r="U44" i="7" s="1"/>
  <c r="AE12" i="19" a="1"/>
  <c r="AE12" i="19" s="1"/>
  <c r="W26" i="6" a="1"/>
  <c r="W26" i="6" s="1"/>
  <c r="P38" i="7" a="1"/>
  <c r="P38" i="7" s="1"/>
  <c r="AJ26" i="7" a="1"/>
  <c r="AJ26" i="7" s="1"/>
  <c r="AP25" i="5" a="1"/>
  <c r="AP25" i="5" s="1"/>
  <c r="BJ36" i="7" a="1"/>
  <c r="BJ36" i="7" s="1"/>
  <c r="BL36" i="7" s="1"/>
  <c r="AE19" i="19" a="1"/>
  <c r="AE19" i="19" s="1"/>
  <c r="L35" i="19" a="1"/>
  <c r="L35" i="19" s="1"/>
  <c r="R30" i="19" a="1"/>
  <c r="R30" i="19" s="1"/>
  <c r="P26" i="6" a="1"/>
  <c r="P26" i="6" s="1"/>
  <c r="AF24" i="5" a="1"/>
  <c r="AF24" i="5" s="1"/>
  <c r="Z42" i="7" a="1"/>
  <c r="Z42" i="7" s="1"/>
  <c r="AB39" i="7" a="1"/>
  <c r="AB39" i="7" s="1"/>
  <c r="AK24" i="5" a="1"/>
  <c r="AK24" i="5" s="1"/>
  <c r="AG28" i="5" a="1"/>
  <c r="AG28" i="5" s="1"/>
  <c r="AA42" i="19" a="1"/>
  <c r="AA42" i="19" s="1"/>
  <c r="AJ27" i="7" a="1"/>
  <c r="AJ27" i="7" s="1"/>
  <c r="AF48" i="19" a="1"/>
  <c r="AF48" i="19" s="1"/>
  <c r="AJ11" i="5" a="1"/>
  <c r="AJ11" i="5" s="1"/>
  <c r="AO34" i="7" a="1"/>
  <c r="AO34" i="7" s="1"/>
  <c r="U36" i="5" a="1"/>
  <c r="U36" i="5" s="1"/>
  <c r="Z38" i="7" a="1"/>
  <c r="Z38" i="7" s="1"/>
  <c r="N44" i="7" a="1"/>
  <c r="N44" i="7" s="1"/>
  <c r="W18" i="19" a="1"/>
  <c r="W18" i="19" s="1"/>
  <c r="BV36" i="7" a="1"/>
  <c r="BV36" i="7" s="1"/>
  <c r="R32" i="7" a="1"/>
  <c r="R32" i="7" s="1"/>
  <c r="W24" i="6" a="1"/>
  <c r="W24" i="6" s="1"/>
  <c r="AB25" i="7" a="1"/>
  <c r="AB25" i="7" s="1"/>
  <c r="W33" i="7" a="1"/>
  <c r="W33" i="7" s="1"/>
  <c r="BR36" i="7" a="1"/>
  <c r="BR36" i="7" s="1"/>
  <c r="BT36" i="7" s="1"/>
  <c r="AL44" i="7" a="1"/>
  <c r="AL44" i="7" s="1"/>
  <c r="P37" i="7" a="1"/>
  <c r="P37" i="7" s="1"/>
  <c r="U29" i="5" a="1"/>
  <c r="U29" i="5" s="1"/>
  <c r="AF17" i="19" a="1"/>
  <c r="AF17" i="19" s="1"/>
  <c r="AG12" i="19" a="1"/>
  <c r="AG12" i="19" s="1"/>
  <c r="AB15" i="6" a="1"/>
  <c r="AB15" i="6" s="1"/>
  <c r="Q22" i="6" a="1"/>
  <c r="Q22" i="6" s="1"/>
  <c r="Q31" i="19" a="1"/>
  <c r="Q31" i="19" s="1"/>
  <c r="L26" i="6" a="1"/>
  <c r="L26" i="6" s="1"/>
  <c r="AE15" i="7" a="1"/>
  <c r="AE15" i="7" s="1"/>
  <c r="BJ22" i="7" a="1"/>
  <c r="BJ22" i="7" s="1"/>
  <c r="BL22" i="7" s="1"/>
  <c r="O36" i="7" a="1"/>
  <c r="O36" i="7" s="1"/>
  <c r="AN23" i="5" a="1"/>
  <c r="AN23" i="5" s="1"/>
  <c r="P23" i="5" a="1"/>
  <c r="P23" i="5" s="1"/>
  <c r="BJ13" i="19" a="1"/>
  <c r="BJ13" i="19" s="1"/>
  <c r="BL13" i="19" s="1"/>
  <c r="L35" i="7" a="1"/>
  <c r="L35" i="7" s="1"/>
  <c r="M26" i="19" a="1"/>
  <c r="M26" i="19" s="1"/>
  <c r="AK42" i="5" a="1"/>
  <c r="AK42" i="5" s="1"/>
  <c r="Z20" i="19" a="1"/>
  <c r="Z20" i="19" s="1"/>
  <c r="N31" i="5" a="1"/>
  <c r="N31" i="5" s="1"/>
  <c r="BB36" i="5" a="1"/>
  <c r="BB36" i="5" s="1"/>
  <c r="BD36" i="5" s="1"/>
  <c r="Y33" i="7" a="1"/>
  <c r="Y33" i="7" s="1"/>
  <c r="AK15" i="7" a="1"/>
  <c r="AK15" i="7" s="1"/>
  <c r="X16" i="19" a="1"/>
  <c r="X16" i="19" s="1"/>
  <c r="AP32" i="7" a="1"/>
  <c r="AP32" i="7" s="1"/>
  <c r="V17" i="19" a="1"/>
  <c r="V17" i="19" s="1"/>
  <c r="BB26" i="19" a="1"/>
  <c r="BB26" i="19" s="1"/>
  <c r="BD26" i="19" s="1"/>
  <c r="O10" i="7" a="1"/>
  <c r="O10" i="7" s="1"/>
  <c r="AD34" i="5" a="1"/>
  <c r="AD34" i="5" s="1"/>
  <c r="N15" i="7" a="1"/>
  <c r="N15" i="7" s="1"/>
  <c r="Q18" i="19" a="1"/>
  <c r="Q18" i="19" s="1"/>
  <c r="AN24" i="19" a="1"/>
  <c r="AN24" i="19" s="1"/>
  <c r="N35" i="5" a="1"/>
  <c r="N35" i="5" s="1"/>
  <c r="P20" i="19" a="1"/>
  <c r="P20" i="19" s="1"/>
  <c r="AK41" i="19" a="1"/>
  <c r="AK41" i="19" s="1"/>
  <c r="AG10" i="7" a="1"/>
  <c r="AG10" i="7" s="1"/>
  <c r="AE17" i="7" a="1"/>
  <c r="AE17" i="7" s="1"/>
  <c r="Z24" i="19" a="1"/>
  <c r="Z24" i="19" s="1"/>
  <c r="AG37" i="19" a="1"/>
  <c r="AG37" i="19" s="1"/>
  <c r="Y15" i="6" a="1"/>
  <c r="Y15" i="6" s="1"/>
  <c r="AA26" i="6" a="1"/>
  <c r="AA26" i="6" s="1"/>
  <c r="AM29" i="7" a="1"/>
  <c r="AM29" i="7" s="1"/>
  <c r="AJ13" i="5" a="1"/>
  <c r="AJ13" i="5" s="1"/>
  <c r="AK21" i="5" a="1"/>
  <c r="AK21" i="5" s="1"/>
  <c r="O15" i="7" a="1"/>
  <c r="O15" i="7" s="1"/>
  <c r="Y17" i="5" a="1"/>
  <c r="Y17" i="5" s="1"/>
  <c r="S37" i="5" a="1"/>
  <c r="S37" i="5" s="1"/>
  <c r="T18" i="7" a="1"/>
  <c r="T18" i="7" s="1"/>
  <c r="P24" i="19" a="1"/>
  <c r="P24" i="19" s="1"/>
  <c r="U42" i="5" a="1"/>
  <c r="U42" i="5" s="1"/>
  <c r="O21" i="7" a="1"/>
  <c r="O21" i="7" s="1"/>
  <c r="AP25" i="7" a="1"/>
  <c r="AP25" i="7" s="1"/>
  <c r="AD22" i="7" a="1"/>
  <c r="AD22" i="7" s="1"/>
  <c r="O13" i="5" a="1"/>
  <c r="O13" i="5" s="1"/>
  <c r="AC44" i="7" a="1"/>
  <c r="AC44" i="7" s="1"/>
  <c r="AF29" i="7" a="1"/>
  <c r="AF29" i="7" s="1"/>
  <c r="AF10" i="5" a="1"/>
  <c r="AF10" i="5" s="1"/>
  <c r="AA20" i="19" a="1"/>
  <c r="AA20" i="19" s="1"/>
  <c r="R36" i="5" a="1"/>
  <c r="R36" i="5" s="1"/>
  <c r="AK15" i="19" a="1"/>
  <c r="AK15" i="19" s="1"/>
  <c r="BV30" i="19" a="1"/>
  <c r="BV30" i="19" s="1"/>
  <c r="AH45" i="5" a="1"/>
  <c r="AH45" i="5" s="1"/>
  <c r="BV46" i="19" a="1"/>
  <c r="BV46" i="19" s="1"/>
  <c r="AD22" i="5" a="1"/>
  <c r="AD22" i="5" s="1"/>
  <c r="U23" i="5" a="1"/>
  <c r="U23" i="5" s="1"/>
  <c r="BN34" i="7" a="1"/>
  <c r="BN34" i="7" s="1"/>
  <c r="Z25" i="6" a="1"/>
  <c r="Z25" i="6" s="1"/>
  <c r="S42" i="7" a="1"/>
  <c r="S42" i="7" s="1"/>
  <c r="V26" i="6" a="1"/>
  <c r="V26" i="6" s="1"/>
  <c r="W25" i="19" a="1"/>
  <c r="W25" i="19" s="1"/>
  <c r="AN16" i="7" a="1"/>
  <c r="AN16" i="7" s="1"/>
  <c r="BN9" i="5" a="1"/>
  <c r="BN9" i="5" s="1"/>
  <c r="AM16" i="7" a="1"/>
  <c r="AM16" i="7" s="1"/>
  <c r="R32" i="19" a="1"/>
  <c r="R32" i="19" s="1"/>
  <c r="BN30" i="5" a="1"/>
  <c r="BN30" i="5" s="1"/>
  <c r="AO18" i="5" a="1"/>
  <c r="AO18" i="5" s="1"/>
  <c r="BF9" i="7" a="1"/>
  <c r="BF9" i="7" s="1"/>
  <c r="BH9" i="7" s="1"/>
  <c r="AN32" i="19" a="1"/>
  <c r="AN32" i="19" s="1"/>
  <c r="R29" i="5" a="1"/>
  <c r="R29" i="5" s="1"/>
  <c r="U26" i="19" a="1"/>
  <c r="U26" i="19" s="1"/>
  <c r="AD37" i="19" a="1"/>
  <c r="AD37" i="19" s="1"/>
  <c r="O44" i="5" a="1"/>
  <c r="O44" i="5" s="1"/>
  <c r="AC25" i="5" a="1"/>
  <c r="AC25" i="5" s="1"/>
  <c r="AB35" i="19" a="1"/>
  <c r="AB35" i="19" s="1"/>
  <c r="U35" i="5" a="1"/>
  <c r="U35" i="5" s="1"/>
  <c r="AL14" i="19" a="1"/>
  <c r="AL14" i="19" s="1"/>
  <c r="M30" i="5" a="1"/>
  <c r="M30" i="5" s="1"/>
  <c r="AG25" i="19" a="1"/>
  <c r="AG25" i="19" s="1"/>
  <c r="L35" i="5" a="1"/>
  <c r="L35" i="5" s="1"/>
  <c r="AB18" i="6" a="1"/>
  <c r="AB18" i="6" s="1"/>
  <c r="S23" i="19" a="1"/>
  <c r="S23" i="19" s="1"/>
  <c r="N13" i="19" a="1"/>
  <c r="N13" i="19" s="1"/>
  <c r="M24" i="19" a="1"/>
  <c r="M24" i="19" s="1"/>
  <c r="W22" i="7" a="1"/>
  <c r="W22" i="7" s="1"/>
  <c r="Z23" i="5" a="1"/>
  <c r="Z23" i="5" s="1"/>
  <c r="AH20" i="19" a="1"/>
  <c r="AH20" i="19" s="1"/>
  <c r="AC42" i="5" a="1"/>
  <c r="AC42" i="5" s="1"/>
  <c r="AM12" i="5" a="1"/>
  <c r="AM12" i="5" s="1"/>
  <c r="AK19" i="19" a="1"/>
  <c r="AK19" i="19" s="1"/>
  <c r="Q33" i="7" a="1"/>
  <c r="Q33" i="7" s="1"/>
  <c r="AJ15" i="7" a="1"/>
  <c r="AJ15" i="7" s="1"/>
  <c r="U26" i="7" a="1"/>
  <c r="U26" i="7" s="1"/>
  <c r="N18" i="5" a="1"/>
  <c r="N18" i="5" s="1"/>
  <c r="AJ30" i="19" a="1"/>
  <c r="AJ30" i="19" s="1"/>
  <c r="X36" i="7" a="1"/>
  <c r="X36" i="7" s="1"/>
  <c r="AF34" i="7" a="1"/>
  <c r="AF34" i="7" s="1"/>
  <c r="Y43" i="5" a="1"/>
  <c r="Y43" i="5" s="1"/>
  <c r="Z21" i="5" a="1"/>
  <c r="Z21" i="5" s="1"/>
  <c r="BN42" i="19" a="1"/>
  <c r="BN42" i="19" s="1"/>
  <c r="W42" i="19" a="1"/>
  <c r="W42" i="19" s="1"/>
  <c r="R19" i="6" a="1"/>
  <c r="R19" i="6" s="1"/>
  <c r="BJ14" i="7" a="1"/>
  <c r="BJ14" i="7" s="1"/>
  <c r="BL14" i="7" s="1"/>
  <c r="AI35" i="19" a="1"/>
  <c r="AI35" i="19" s="1"/>
  <c r="BJ43" i="19" a="1"/>
  <c r="BJ43" i="19" s="1"/>
  <c r="BL43" i="19" s="1"/>
  <c r="BN17" i="19" a="1"/>
  <c r="BN17" i="19" s="1"/>
  <c r="AE46" i="19" a="1"/>
  <c r="AE46" i="19" s="1"/>
  <c r="U19" i="6" a="1"/>
  <c r="U19" i="6" s="1"/>
  <c r="AO39" i="5" a="1"/>
  <c r="AO39" i="5" s="1"/>
  <c r="AD13" i="5" a="1"/>
  <c r="AD13" i="5" s="1"/>
  <c r="O29" i="7" a="1"/>
  <c r="O29" i="7" s="1"/>
  <c r="S12" i="19" a="1"/>
  <c r="S12" i="19" s="1"/>
  <c r="O37" i="5" a="1"/>
  <c r="O37" i="5" s="1"/>
  <c r="N27" i="7" a="1"/>
  <c r="N27" i="7" s="1"/>
  <c r="V21" i="5" a="1"/>
  <c r="V21" i="5" s="1"/>
  <c r="N14" i="5" a="1"/>
  <c r="N14" i="5" s="1"/>
  <c r="AH16" i="19" a="1"/>
  <c r="AH16" i="19" s="1"/>
  <c r="BF18" i="5" a="1"/>
  <c r="BF18" i="5" s="1"/>
  <c r="BH18" i="5" s="1"/>
  <c r="BF12" i="5" a="1"/>
  <c r="BF12" i="5" s="1"/>
  <c r="BH12" i="5" s="1"/>
  <c r="AI12" i="19" a="1"/>
  <c r="AI12" i="19" s="1"/>
  <c r="BJ21" i="7" a="1"/>
  <c r="BJ21" i="7" s="1"/>
  <c r="BL21" i="7" s="1"/>
  <c r="BN31" i="7" a="1"/>
  <c r="BN31" i="7" s="1"/>
  <c r="AN31" i="5" a="1"/>
  <c r="AN31" i="5" s="1"/>
  <c r="R43" i="7" a="1"/>
  <c r="R43" i="7" s="1"/>
  <c r="BJ15" i="19" a="1"/>
  <c r="BJ15" i="19" s="1"/>
  <c r="BL15" i="19" s="1"/>
  <c r="AP29" i="7" a="1"/>
  <c r="AP29" i="7" s="1"/>
  <c r="Y17" i="7" a="1"/>
  <c r="Y17" i="7" s="1"/>
  <c r="Z36" i="19" a="1"/>
  <c r="Z36" i="19" s="1"/>
  <c r="W15" i="7" a="1"/>
  <c r="W15" i="7" s="1"/>
  <c r="S9" i="5" a="1"/>
  <c r="S9" i="5" s="1"/>
  <c r="BF45" i="5" a="1"/>
  <c r="BF45" i="5" s="1"/>
  <c r="BH45" i="5" s="1"/>
  <c r="AF35" i="7" a="1"/>
  <c r="AF35" i="7" s="1"/>
  <c r="BB46" i="19" a="1"/>
  <c r="BB46" i="19" s="1"/>
  <c r="BD46" i="19" s="1"/>
  <c r="T16" i="7" a="1"/>
  <c r="T16" i="7" s="1"/>
  <c r="BB45" i="5" a="1"/>
  <c r="BB45" i="5" s="1"/>
  <c r="BD45" i="5" s="1"/>
  <c r="AK28" i="5" a="1"/>
  <c r="AK28" i="5" s="1"/>
  <c r="BF30" i="19" a="1"/>
  <c r="BF30" i="19" s="1"/>
  <c r="BH30" i="19" s="1"/>
  <c r="N17" i="5" a="1"/>
  <c r="N17" i="5" s="1"/>
  <c r="AN37" i="19" a="1"/>
  <c r="AN37" i="19" s="1"/>
  <c r="AE28" i="5" a="1"/>
  <c r="AE28" i="5" s="1"/>
  <c r="AN37" i="7" a="1"/>
  <c r="AN37" i="7" s="1"/>
  <c r="AI16" i="5" a="1"/>
  <c r="AI16" i="5" s="1"/>
  <c r="AI42" i="7" a="1"/>
  <c r="AI42" i="7" s="1"/>
  <c r="AL16" i="7" a="1"/>
  <c r="AL16" i="7" s="1"/>
  <c r="AD32" i="19" a="1"/>
  <c r="AD32" i="19" s="1"/>
  <c r="AH42" i="7" a="1"/>
  <c r="AH42" i="7" s="1"/>
  <c r="AE24" i="5" a="1"/>
  <c r="AE24" i="5" s="1"/>
  <c r="L39" i="5" a="1"/>
  <c r="L39" i="5" s="1"/>
  <c r="Y36" i="5" a="1"/>
  <c r="Y36" i="5" s="1"/>
  <c r="BF22" i="7" a="1"/>
  <c r="BF22" i="7" s="1"/>
  <c r="BH22" i="7" s="1"/>
  <c r="AA32" i="7" a="1"/>
  <c r="AA32" i="7" s="1"/>
  <c r="P29" i="7" a="1"/>
  <c r="P29" i="7" s="1"/>
  <c r="AL30" i="7" a="1"/>
  <c r="AL30" i="7" s="1"/>
  <c r="L15" i="19" a="1"/>
  <c r="L15" i="19" s="1"/>
  <c r="AF41" i="19" a="1"/>
  <c r="AF41" i="19" s="1"/>
  <c r="AE37" i="7" a="1"/>
  <c r="AE37" i="7" s="1"/>
  <c r="AI22" i="5" a="1"/>
  <c r="AI22" i="5" s="1"/>
  <c r="S13" i="6" a="1"/>
  <c r="S13" i="6" s="1"/>
  <c r="Z17" i="7" a="1"/>
  <c r="Z17" i="7" s="1"/>
  <c r="Z17" i="5" a="1"/>
  <c r="Z17" i="5" s="1"/>
  <c r="BN43" i="5" a="1"/>
  <c r="BN43" i="5" s="1"/>
  <c r="R9" i="7" a="1"/>
  <c r="R9" i="7" s="1"/>
  <c r="BR30" i="19" a="1"/>
  <c r="BR30" i="19" s="1"/>
  <c r="BT30" i="19" s="1"/>
  <c r="AJ45" i="5" a="1"/>
  <c r="AJ45" i="5" s="1"/>
  <c r="U25" i="5" a="1"/>
  <c r="U25" i="5" s="1"/>
  <c r="S42" i="5" a="1"/>
  <c r="S42" i="5" s="1"/>
  <c r="AA15" i="6" a="1"/>
  <c r="AA15" i="6" s="1"/>
  <c r="BJ44" i="5" a="1"/>
  <c r="BJ44" i="5" s="1"/>
  <c r="BL44" i="5" s="1"/>
  <c r="W29" i="19" a="1"/>
  <c r="W29" i="19" s="1"/>
  <c r="L27" i="6" a="1"/>
  <c r="L27" i="6" s="1"/>
  <c r="AJ16" i="5" a="1"/>
  <c r="AJ16" i="5" s="1"/>
  <c r="BV21" i="5" a="1"/>
  <c r="BV21" i="5" s="1"/>
  <c r="S18" i="19" a="1"/>
  <c r="S18" i="19" s="1"/>
  <c r="AI39" i="7" a="1"/>
  <c r="AI39" i="7" s="1"/>
  <c r="AG42" i="5" a="1"/>
  <c r="AG42" i="5" s="1"/>
  <c r="AB42" i="19" a="1"/>
  <c r="AB42" i="19" s="1"/>
  <c r="X9" i="7" a="1"/>
  <c r="X9" i="7" s="1"/>
  <c r="R14" i="7" a="1"/>
  <c r="R14" i="7" s="1"/>
  <c r="AL42" i="19" a="1"/>
  <c r="AL42" i="19" s="1"/>
  <c r="AO38" i="7" a="1"/>
  <c r="AO38" i="7" s="1"/>
  <c r="S43" i="7" a="1"/>
  <c r="S43" i="7" s="1"/>
  <c r="BV19" i="19" a="1"/>
  <c r="BV19" i="19" s="1"/>
  <c r="AM11" i="7" a="1"/>
  <c r="AM11" i="7" s="1"/>
  <c r="N31" i="7" a="1"/>
  <c r="N31" i="7" s="1"/>
  <c r="BF31" i="7" a="1"/>
  <c r="BF31" i="7" s="1"/>
  <c r="BH31" i="7" s="1"/>
  <c r="Y42" i="5" a="1"/>
  <c r="Y42" i="5" s="1"/>
  <c r="W13" i="6" a="1"/>
  <c r="W13" i="6" s="1"/>
  <c r="AM9" i="7" a="1"/>
  <c r="AM9" i="7" s="1"/>
  <c r="AK22" i="5" a="1"/>
  <c r="AK22" i="5" s="1"/>
  <c r="AC37" i="19" a="1"/>
  <c r="AC37" i="19" s="1"/>
  <c r="AF26" i="7" a="1"/>
  <c r="AF26" i="7" s="1"/>
  <c r="Z22" i="6" a="1"/>
  <c r="Z22" i="6" s="1"/>
  <c r="AI35" i="5" a="1"/>
  <c r="AI35" i="5" s="1"/>
  <c r="Q17" i="7" a="1"/>
  <c r="Q17" i="7" s="1"/>
  <c r="N10" i="7" a="1"/>
  <c r="N10" i="7" s="1"/>
  <c r="AM24" i="19" a="1"/>
  <c r="AM24" i="19" s="1"/>
  <c r="Z9" i="6" a="1"/>
  <c r="Z9" i="6" s="1"/>
  <c r="AL25" i="19" a="1"/>
  <c r="AL25" i="19" s="1"/>
  <c r="AN11" i="7" a="1"/>
  <c r="AN11" i="7" s="1"/>
  <c r="AF22" i="7" a="1"/>
  <c r="AF22" i="7" s="1"/>
  <c r="AA37" i="5" a="1"/>
  <c r="AA37" i="5" s="1"/>
  <c r="R35" i="7" a="1"/>
  <c r="R35" i="7" s="1"/>
  <c r="L25" i="6" a="1"/>
  <c r="L25" i="6" s="1"/>
  <c r="AI10" i="7" a="1"/>
  <c r="AI10" i="7" s="1"/>
  <c r="BN23" i="19" a="1"/>
  <c r="BN23" i="19" s="1"/>
  <c r="W27" i="7" a="1"/>
  <c r="W27" i="7" s="1"/>
  <c r="S25" i="7" a="1"/>
  <c r="S25" i="7" s="1"/>
  <c r="AH22" i="7" a="1"/>
  <c r="AH22" i="7" s="1"/>
  <c r="BB31" i="19" a="1"/>
  <c r="BB31" i="19" s="1"/>
  <c r="BD31" i="19" s="1"/>
  <c r="AA29" i="19" a="1"/>
  <c r="AA29" i="19" s="1"/>
  <c r="AM36" i="7" a="1"/>
  <c r="AM36" i="7" s="1"/>
  <c r="M33" i="7" a="1"/>
  <c r="M33" i="7" s="1"/>
  <c r="BR11" i="7" a="1"/>
  <c r="BR11" i="7" s="1"/>
  <c r="BT11" i="7" s="1"/>
  <c r="AC21" i="5" a="1"/>
  <c r="AC21" i="5" s="1"/>
  <c r="AA11" i="5" a="1"/>
  <c r="AA11" i="5" s="1"/>
  <c r="Q29" i="19" a="1"/>
  <c r="Q29" i="19" s="1"/>
  <c r="AM25" i="7" a="1"/>
  <c r="AM25" i="7" s="1"/>
  <c r="AM48" i="19" a="1"/>
  <c r="AM48" i="19" s="1"/>
  <c r="BF18" i="19" a="1"/>
  <c r="BF18" i="19" s="1"/>
  <c r="BH18" i="19" s="1"/>
  <c r="P28" i="7" a="1"/>
  <c r="P28" i="7" s="1"/>
  <c r="O34" i="7" a="1"/>
  <c r="O34" i="7" s="1"/>
  <c r="AG9" i="5" a="1"/>
  <c r="AG9" i="5" s="1"/>
  <c r="AA9" i="5" a="1"/>
  <c r="AA9" i="5" s="1"/>
  <c r="BB9" i="5" a="1"/>
  <c r="BB9" i="5" s="1"/>
  <c r="BD9" i="5" s="1"/>
  <c r="M38" i="7" a="1"/>
  <c r="M38" i="7" s="1"/>
  <c r="BF15" i="7" a="1"/>
  <c r="BF15" i="7" s="1"/>
  <c r="BH15" i="7" s="1"/>
  <c r="X17" i="7" a="1"/>
  <c r="X17" i="7" s="1"/>
  <c r="AB14" i="6" a="1"/>
  <c r="AB14" i="6" s="1"/>
  <c r="S37" i="19" a="1"/>
  <c r="S37" i="19" s="1"/>
  <c r="R33" i="7" a="1"/>
  <c r="R33" i="7" s="1"/>
  <c r="R18" i="5" a="1"/>
  <c r="R18" i="5" s="1"/>
  <c r="BN26" i="19" a="1"/>
  <c r="BN26" i="19" s="1"/>
  <c r="AP28" i="7" a="1"/>
  <c r="AP28" i="7" s="1"/>
  <c r="AN46" i="19" a="1"/>
  <c r="AN46" i="19" s="1"/>
  <c r="X26" i="19" a="1"/>
  <c r="X26" i="19" s="1"/>
  <c r="X31" i="5" a="1"/>
  <c r="X31" i="5" s="1"/>
  <c r="U43" i="5" a="1"/>
  <c r="U43" i="5" s="1"/>
  <c r="V13" i="19" a="1"/>
  <c r="V13" i="19" s="1"/>
  <c r="AB45" i="5" a="1"/>
  <c r="AB45" i="5" s="1"/>
  <c r="Z27" i="7" a="1"/>
  <c r="Z27" i="7" s="1"/>
  <c r="AC39" i="7" a="1"/>
  <c r="AC39" i="7" s="1"/>
  <c r="Y10" i="7" a="1"/>
  <c r="Y10" i="7" s="1"/>
  <c r="BB11" i="5" a="1"/>
  <c r="BB11" i="5" s="1"/>
  <c r="BD11" i="5" s="1"/>
  <c r="T27" i="7" a="1"/>
  <c r="T27" i="7" s="1"/>
  <c r="Y9" i="7" a="1"/>
  <c r="Y9" i="7" s="1"/>
  <c r="O42" i="5" a="1"/>
  <c r="O42" i="5" s="1"/>
  <c r="L34" i="7" a="1"/>
  <c r="L34" i="7" s="1"/>
  <c r="BB37" i="5" a="1"/>
  <c r="BB37" i="5" s="1"/>
  <c r="BD37" i="5" s="1"/>
  <c r="AM36" i="19" a="1"/>
  <c r="AM36" i="19" s="1"/>
  <c r="V22" i="5" a="1"/>
  <c r="V22" i="5" s="1"/>
  <c r="AG28" i="7" a="1"/>
  <c r="AG28" i="7" s="1"/>
  <c r="Z19" i="6" a="1"/>
  <c r="Z19" i="6" s="1"/>
  <c r="V18" i="5" a="1"/>
  <c r="V18" i="5" s="1"/>
  <c r="N11" i="5" a="1"/>
  <c r="N11" i="5" s="1"/>
  <c r="BN9" i="19" a="1"/>
  <c r="BN9" i="19" s="1"/>
  <c r="AG26" i="19" a="1"/>
  <c r="AG26" i="19" s="1"/>
  <c r="AG43" i="5" a="1"/>
  <c r="AG43" i="5" s="1"/>
  <c r="BB15" i="19" a="1"/>
  <c r="BB15" i="19" s="1"/>
  <c r="BD15" i="19" s="1"/>
  <c r="AG11" i="5" a="1"/>
  <c r="AG11" i="5" s="1"/>
  <c r="AC22" i="7" a="1"/>
  <c r="AC22" i="7" s="1"/>
  <c r="O43" i="7" a="1"/>
  <c r="O43" i="7" s="1"/>
  <c r="AJ39" i="7" a="1"/>
  <c r="AJ39" i="7" s="1"/>
  <c r="V24" i="5" a="1"/>
  <c r="V24" i="5" s="1"/>
  <c r="AF17" i="5" a="1"/>
  <c r="AF17" i="5" s="1"/>
  <c r="AL47" i="19" a="1"/>
  <c r="AL47" i="19" s="1"/>
  <c r="AC31" i="19" a="1"/>
  <c r="AC31" i="19" s="1"/>
  <c r="BN18" i="5" a="1"/>
  <c r="BN18" i="5" s="1"/>
  <c r="V41" i="19" a="1"/>
  <c r="V41" i="19" s="1"/>
  <c r="AE41" i="19" a="1"/>
  <c r="AE41" i="19" s="1"/>
  <c r="U22" i="7" a="1"/>
  <c r="U22" i="7" s="1"/>
  <c r="AD10" i="5" a="1"/>
  <c r="AD10" i="5" s="1"/>
  <c r="N17" i="7" a="1"/>
  <c r="N17" i="7" s="1"/>
  <c r="W37" i="5" a="1"/>
  <c r="W37" i="5" s="1"/>
  <c r="AD37" i="7" a="1"/>
  <c r="AD37" i="7" s="1"/>
  <c r="AH43" i="5" a="1"/>
  <c r="AH43" i="5" s="1"/>
  <c r="W22" i="6" a="1"/>
  <c r="W22" i="6" s="1"/>
  <c r="AF11" i="7" a="1"/>
  <c r="AF11" i="7" s="1"/>
  <c r="BB14" i="5" a="1"/>
  <c r="BB14" i="5" s="1"/>
  <c r="BD14" i="5" s="1"/>
  <c r="AN23" i="19" a="1"/>
  <c r="AN23" i="19" s="1"/>
  <c r="AI17" i="5" a="1"/>
  <c r="AI17" i="5" s="1"/>
  <c r="O30" i="5" a="1"/>
  <c r="O30" i="5" s="1"/>
  <c r="AD25" i="19" a="1"/>
  <c r="AD25" i="19" s="1"/>
  <c r="AH39" i="7" a="1"/>
  <c r="AH39" i="7" s="1"/>
  <c r="AG34" i="7" a="1"/>
  <c r="AG34" i="7" s="1"/>
  <c r="BB10" i="5" a="1"/>
  <c r="BB10" i="5" s="1"/>
  <c r="BD10" i="5" s="1"/>
  <c r="BR12" i="19" a="1"/>
  <c r="BR12" i="19" s="1"/>
  <c r="BT12" i="19" s="1"/>
  <c r="W17" i="19" a="1"/>
  <c r="W17" i="19" s="1"/>
  <c r="U12" i="5" a="1"/>
  <c r="U12" i="5" s="1"/>
  <c r="Q24" i="19" a="1"/>
  <c r="Q24" i="19" s="1"/>
  <c r="W31" i="19" a="1"/>
  <c r="W31" i="19" s="1"/>
  <c r="BJ43" i="7" a="1"/>
  <c r="BJ43" i="7" s="1"/>
  <c r="BL43" i="7" s="1"/>
  <c r="Y21" i="5" a="1"/>
  <c r="Y21" i="5" s="1"/>
  <c r="AC15" i="19" a="1"/>
  <c r="AC15" i="19" s="1"/>
  <c r="M32" i="19" a="1"/>
  <c r="M32" i="19" s="1"/>
  <c r="AC26" i="7" a="1"/>
  <c r="AC26" i="7" s="1"/>
  <c r="AE48" i="19" a="1"/>
  <c r="AE48" i="19" s="1"/>
  <c r="W15" i="19" a="1"/>
  <c r="W15" i="19" s="1"/>
  <c r="AA21" i="5" a="1"/>
  <c r="AA21" i="5" s="1"/>
  <c r="X9" i="19" a="1"/>
  <c r="X9" i="19" s="1"/>
  <c r="AH13" i="19" a="1"/>
  <c r="AH13" i="19" s="1"/>
  <c r="W19" i="19" a="1"/>
  <c r="W19" i="19" s="1"/>
  <c r="Z39" i="7" a="1"/>
  <c r="Z39" i="7" s="1"/>
  <c r="AD24" i="5" a="1"/>
  <c r="AD24" i="5" s="1"/>
  <c r="AB31" i="19" a="1"/>
  <c r="AB31" i="19" s="1"/>
  <c r="AB26" i="7" a="1"/>
  <c r="AB26" i="7" s="1"/>
  <c r="AG29" i="7" a="1"/>
  <c r="AG29" i="7" s="1"/>
  <c r="AK18" i="5" a="1"/>
  <c r="AK18" i="5" s="1"/>
  <c r="X21" i="7" a="1"/>
  <c r="X21" i="7" s="1"/>
  <c r="BJ37" i="7" a="1"/>
  <c r="BJ37" i="7" s="1"/>
  <c r="BL37" i="7" s="1"/>
  <c r="AI43" i="7" a="1"/>
  <c r="AI43" i="7" s="1"/>
  <c r="BR21" i="5" a="1"/>
  <c r="BR21" i="5" s="1"/>
  <c r="BT21" i="5" s="1"/>
  <c r="AC14" i="7" a="1"/>
  <c r="AC14" i="7" s="1"/>
  <c r="M15" i="7" a="1"/>
  <c r="M15" i="7" s="1"/>
  <c r="Q39" i="7" a="1"/>
  <c r="Q39" i="7" s="1"/>
  <c r="AI22" i="7" a="1"/>
  <c r="AI22" i="7" s="1"/>
  <c r="AJ28" i="7" a="1"/>
  <c r="AJ28" i="7" s="1"/>
  <c r="AA19" i="6" a="1"/>
  <c r="AA19" i="6" s="1"/>
  <c r="N24" i="6" a="1"/>
  <c r="N24" i="6" s="1"/>
  <c r="N22" i="6" a="1"/>
  <c r="N22" i="6" s="1"/>
  <c r="AM24" i="5" a="1"/>
  <c r="AM24" i="5" s="1"/>
  <c r="P13" i="6" a="1"/>
  <c r="P13" i="6" s="1"/>
  <c r="O9" i="6" a="1"/>
  <c r="O9" i="6" s="1"/>
  <c r="M16" i="19" a="1"/>
  <c r="M16" i="19" s="1"/>
  <c r="X14" i="6" a="1"/>
  <c r="X14" i="6" s="1"/>
  <c r="R31" i="7" a="1"/>
  <c r="R31" i="7" s="1"/>
  <c r="S20" i="19" a="1"/>
  <c r="S20" i="19" s="1"/>
  <c r="L25" i="19" a="1"/>
  <c r="L25" i="19" s="1"/>
  <c r="Z9" i="7" a="1"/>
  <c r="Z9" i="7" s="1"/>
  <c r="AD43" i="5" a="1"/>
  <c r="AD43" i="5" s="1"/>
  <c r="Q23" i="5" a="1"/>
  <c r="Q23" i="5" s="1"/>
  <c r="AA13" i="6" a="1"/>
  <c r="AA13" i="6" s="1"/>
  <c r="AH12" i="5" a="1"/>
  <c r="AH12" i="5" s="1"/>
  <c r="AC28" i="7" a="1"/>
  <c r="AC28" i="7" s="1"/>
  <c r="AA42" i="7" a="1"/>
  <c r="AA42" i="7" s="1"/>
  <c r="U34" i="7" a="1"/>
  <c r="U34" i="7" s="1"/>
  <c r="AL10" i="5" a="1"/>
  <c r="AL10" i="5" s="1"/>
  <c r="AJ35" i="5" a="1"/>
  <c r="AJ35" i="5" s="1"/>
  <c r="AA28" i="5" a="1"/>
  <c r="AA28" i="5" s="1"/>
  <c r="AB13" i="19" a="1"/>
  <c r="AB13" i="19" s="1"/>
  <c r="BV29" i="7" a="1"/>
  <c r="BV29" i="7" s="1"/>
  <c r="AE16" i="5" a="1"/>
  <c r="AE16" i="5" s="1"/>
  <c r="BJ18" i="7" a="1"/>
  <c r="BJ18" i="7" s="1"/>
  <c r="BL18" i="7" s="1"/>
  <c r="U25" i="6" a="1"/>
  <c r="U25" i="6" s="1"/>
  <c r="AE22" i="5" a="1"/>
  <c r="AE22" i="5" s="1"/>
  <c r="BR32" i="19" a="1"/>
  <c r="BR32" i="19" s="1"/>
  <c r="BT32" i="19" s="1"/>
  <c r="BN13" i="19" a="1"/>
  <c r="BN13" i="19" s="1"/>
  <c r="AM32" i="19" a="1"/>
  <c r="AM32" i="19" s="1"/>
  <c r="Y9" i="5" a="1"/>
  <c r="Y9" i="5" s="1"/>
  <c r="BB36" i="19" a="1"/>
  <c r="BB36" i="19" s="1"/>
  <c r="BD36" i="19" s="1"/>
  <c r="AB16" i="5" a="1"/>
  <c r="AB16" i="5" s="1"/>
  <c r="W18" i="7" a="1"/>
  <c r="W18" i="7" s="1"/>
  <c r="V30" i="19" a="1"/>
  <c r="V30" i="19" s="1"/>
  <c r="AB9" i="7" a="1"/>
  <c r="AB9" i="7" s="1"/>
  <c r="AN15" i="7" a="1"/>
  <c r="AN15" i="7" s="1"/>
  <c r="AG32" i="19" a="1"/>
  <c r="AG32" i="19" s="1"/>
  <c r="AF11" i="5" a="1"/>
  <c r="AF11" i="5" s="1"/>
  <c r="AI36" i="19" a="1"/>
  <c r="AI36" i="19" s="1"/>
  <c r="S10" i="7" a="1"/>
  <c r="S10" i="7" s="1"/>
  <c r="AK29" i="5" a="1"/>
  <c r="AK29" i="5" s="1"/>
  <c r="W43" i="7" a="1"/>
  <c r="W43" i="7" s="1"/>
  <c r="AL39" i="7" a="1"/>
  <c r="AL39" i="7" s="1"/>
  <c r="L27" i="7" a="1"/>
  <c r="L27" i="7" s="1"/>
  <c r="AP31" i="7" a="1"/>
  <c r="AP31" i="7" s="1"/>
  <c r="Z28" i="5" a="1"/>
  <c r="Z28" i="5" s="1"/>
  <c r="Q30" i="5" a="1"/>
  <c r="Q30" i="5" s="1"/>
  <c r="Y27" i="6" a="1"/>
  <c r="Y27" i="6" s="1"/>
  <c r="R39" i="7" a="1"/>
  <c r="R39" i="7" s="1"/>
  <c r="BR42" i="19" a="1"/>
  <c r="BR42" i="19" s="1"/>
  <c r="BT42" i="19" s="1"/>
  <c r="BN47" i="19" a="1"/>
  <c r="BN47" i="19" s="1"/>
  <c r="O26" i="19" a="1"/>
  <c r="O26" i="19" s="1"/>
  <c r="AM12" i="19" a="1"/>
  <c r="AM12" i="19" s="1"/>
  <c r="AM19" i="19" a="1"/>
  <c r="AM19" i="19" s="1"/>
  <c r="AD40" i="19" a="1"/>
  <c r="AD40" i="19" s="1"/>
  <c r="AG12" i="5" a="1"/>
  <c r="AG12" i="5" s="1"/>
  <c r="AH37" i="19" a="1"/>
  <c r="AH37" i="19" s="1"/>
  <c r="AD48" i="19" a="1"/>
  <c r="AD48" i="19" s="1"/>
  <c r="U25" i="7" a="1"/>
  <c r="U25" i="7" s="1"/>
  <c r="AA29" i="5" a="1"/>
  <c r="AA29" i="5" s="1"/>
  <c r="AJ44" i="5" a="1"/>
  <c r="AJ44" i="5" s="1"/>
  <c r="T21" i="7" a="1"/>
  <c r="T21" i="7" s="1"/>
  <c r="P42" i="5" a="1"/>
  <c r="P42" i="5" s="1"/>
  <c r="BN24" i="19" a="1"/>
  <c r="BN24" i="19" s="1"/>
  <c r="BR41" i="19" a="1"/>
  <c r="BR41" i="19" s="1"/>
  <c r="BT41" i="19" s="1"/>
  <c r="Y32" i="19" a="1"/>
  <c r="Y32" i="19" s="1"/>
  <c r="AB28" i="7" a="1"/>
  <c r="AB28" i="7" s="1"/>
  <c r="AA36" i="5" a="1"/>
  <c r="AA36" i="5" s="1"/>
  <c r="AK30" i="19" a="1"/>
  <c r="AK30" i="19" s="1"/>
  <c r="M18" i="5" a="1"/>
  <c r="M18" i="5" s="1"/>
  <c r="AB36" i="19" a="1"/>
  <c r="AB36" i="19" s="1"/>
  <c r="AL30" i="19" a="1"/>
  <c r="AL30" i="19" s="1"/>
  <c r="X18" i="5" a="1"/>
  <c r="X18" i="5" s="1"/>
  <c r="BF29" i="7" a="1"/>
  <c r="BF29" i="7" s="1"/>
  <c r="BH29" i="7" s="1"/>
  <c r="BV28" i="7" a="1"/>
  <c r="BV28" i="7" s="1"/>
  <c r="AO35" i="5" a="1"/>
  <c r="AO35" i="5" s="1"/>
  <c r="R15" i="7" a="1"/>
  <c r="R15" i="7" s="1"/>
  <c r="Z42" i="5" a="1"/>
  <c r="Z42" i="5" s="1"/>
  <c r="AE9" i="5" a="1"/>
  <c r="AE9" i="5" s="1"/>
  <c r="Q10" i="5" a="1"/>
  <c r="Q10" i="5" s="1"/>
  <c r="AD9" i="5" a="1"/>
  <c r="AD9" i="5" s="1"/>
  <c r="AE43" i="5" a="1"/>
  <c r="AE43" i="5" s="1"/>
  <c r="Q27" i="7" a="1"/>
  <c r="Q27" i="7" s="1"/>
  <c r="O14" i="6" a="1"/>
  <c r="O14" i="6" s="1"/>
  <c r="AB31" i="7" a="1"/>
  <c r="AB31" i="7" s="1"/>
  <c r="AB35" i="7" a="1"/>
  <c r="AB35" i="7" s="1"/>
  <c r="Z30" i="19" a="1"/>
  <c r="Z30" i="19" s="1"/>
  <c r="AB12" i="5" a="1"/>
  <c r="AB12" i="5" s="1"/>
  <c r="BF46" i="19" a="1"/>
  <c r="BF46" i="19" s="1"/>
  <c r="BH46" i="19" s="1"/>
  <c r="AB32" i="19" a="1"/>
  <c r="AB32" i="19" s="1"/>
  <c r="AK42" i="19" a="1"/>
  <c r="AK42" i="19" s="1"/>
  <c r="V24" i="6" a="1"/>
  <c r="V24" i="6" s="1"/>
  <c r="BB24" i="19" a="1"/>
  <c r="BB24" i="19" s="1"/>
  <c r="BD24" i="19" s="1"/>
  <c r="Y26" i="19" a="1"/>
  <c r="Y26" i="19" s="1"/>
  <c r="X44" i="5" a="1"/>
  <c r="X44" i="5" s="1"/>
  <c r="BF26" i="19" a="1"/>
  <c r="BF26" i="19" s="1"/>
  <c r="BH26" i="19" s="1"/>
  <c r="AM37" i="5" a="1"/>
  <c r="AM37" i="5" s="1"/>
  <c r="AI36" i="5" a="1"/>
  <c r="AI36" i="5" s="1"/>
  <c r="S15" i="7" a="1"/>
  <c r="S15" i="7" s="1"/>
  <c r="AI34" i="5" a="1"/>
  <c r="AI34" i="5" s="1"/>
  <c r="X10" i="5" a="1"/>
  <c r="X10" i="5" s="1"/>
  <c r="AH32" i="19" a="1"/>
  <c r="AH32" i="19" s="1"/>
  <c r="U45" i="5" a="1"/>
  <c r="U45" i="5" s="1"/>
  <c r="AI15" i="7" a="1"/>
  <c r="AI15" i="7" s="1"/>
  <c r="O23" i="19" a="1"/>
  <c r="O23" i="19" s="1"/>
  <c r="AP23" i="5" a="1"/>
  <c r="AP23" i="5" s="1"/>
  <c r="BJ32" i="7" a="1"/>
  <c r="BJ32" i="7" s="1"/>
  <c r="BL32" i="7" s="1"/>
  <c r="AO35" i="7" a="1"/>
  <c r="AO35" i="7" s="1"/>
  <c r="AB34" i="5" a="1"/>
  <c r="AB34" i="5" s="1"/>
  <c r="BV9" i="5" a="1"/>
  <c r="BV9" i="5" s="1"/>
  <c r="AA24" i="6" a="1"/>
  <c r="AA24" i="6" s="1"/>
  <c r="AC32" i="7" a="1"/>
  <c r="AC32" i="7" s="1"/>
  <c r="R16" i="19" a="1"/>
  <c r="R16" i="19" s="1"/>
  <c r="AE38" i="7" a="1"/>
  <c r="AE38" i="7" s="1"/>
  <c r="Z11" i="7" a="1"/>
  <c r="Z11" i="7" s="1"/>
  <c r="AI30" i="5" a="1"/>
  <c r="AI30" i="5" s="1"/>
  <c r="AN32" i="7" a="1"/>
  <c r="AN32" i="7" s="1"/>
  <c r="P9" i="5" a="1"/>
  <c r="P9" i="5" s="1"/>
  <c r="AF36" i="5" a="1"/>
  <c r="AF36" i="5" s="1"/>
  <c r="T13" i="19" a="1"/>
  <c r="T13" i="19" s="1"/>
  <c r="AC44" i="5" a="1"/>
  <c r="AC44" i="5" s="1"/>
  <c r="W39" i="5" a="1"/>
  <c r="W39" i="5" s="1"/>
  <c r="P31" i="19" a="1"/>
  <c r="P31" i="19" s="1"/>
  <c r="BB12" i="5" a="1"/>
  <c r="BB12" i="5" s="1"/>
  <c r="BD12" i="5" s="1"/>
  <c r="BF9" i="19" a="1"/>
  <c r="BF9" i="19" s="1"/>
  <c r="BH9" i="19" s="1"/>
  <c r="AJ30" i="7" a="1"/>
  <c r="AJ30" i="7" s="1"/>
  <c r="BR14" i="19" a="1"/>
  <c r="BR14" i="19" s="1"/>
  <c r="BT14" i="19" s="1"/>
  <c r="R12" i="5" a="1"/>
  <c r="R12" i="5" s="1"/>
  <c r="AM40" i="19" a="1"/>
  <c r="AM40" i="19" s="1"/>
  <c r="U18" i="5" a="1"/>
  <c r="U18" i="5" s="1"/>
  <c r="BF13" i="5" a="1"/>
  <c r="BF13" i="5" s="1"/>
  <c r="BH13" i="5" s="1"/>
  <c r="T37" i="7" a="1"/>
  <c r="T37" i="7" s="1"/>
  <c r="R23" i="5" a="1"/>
  <c r="R23" i="5" s="1"/>
  <c r="AD28" i="7" a="1"/>
  <c r="AD28" i="7" s="1"/>
  <c r="L10" i="7" a="1"/>
  <c r="L10" i="7" s="1"/>
  <c r="AL35" i="19" a="1"/>
  <c r="AL35" i="19" s="1"/>
  <c r="Y32" i="7" a="1"/>
  <c r="Y32" i="7" s="1"/>
  <c r="R25" i="5" a="1"/>
  <c r="R25" i="5" s="1"/>
  <c r="X9" i="5" a="1"/>
  <c r="X9" i="5" s="1"/>
  <c r="BJ12" i="5" a="1"/>
  <c r="BJ12" i="5" s="1"/>
  <c r="BL12" i="5" s="1"/>
  <c r="N43" i="7" a="1"/>
  <c r="N43" i="7" s="1"/>
  <c r="S12" i="5" a="1"/>
  <c r="S12" i="5" s="1"/>
  <c r="AN42" i="5" a="1"/>
  <c r="AN42" i="5" s="1"/>
  <c r="BJ42" i="7" a="1"/>
  <c r="BJ42" i="7" s="1"/>
  <c r="BL42" i="7" s="1"/>
  <c r="P21" i="5" a="1"/>
  <c r="P21" i="5" s="1"/>
  <c r="N36" i="7" a="1"/>
  <c r="N36" i="7" s="1"/>
  <c r="T16" i="19" a="1"/>
  <c r="T16" i="19" s="1"/>
  <c r="AN39" i="7" a="1"/>
  <c r="AN39" i="7" s="1"/>
  <c r="V35" i="19" a="1"/>
  <c r="V35" i="19" s="1"/>
  <c r="V18" i="6" a="1"/>
  <c r="V18" i="6" s="1"/>
  <c r="W17" i="5" a="1"/>
  <c r="W17" i="5" s="1"/>
  <c r="AH31" i="7" a="1"/>
  <c r="AH31" i="7" s="1"/>
  <c r="AD28" i="5" a="1"/>
  <c r="AD28" i="5" s="1"/>
  <c r="AD39" i="5" a="1"/>
  <c r="AD39" i="5" s="1"/>
  <c r="AP42" i="7" a="1"/>
  <c r="AP42" i="7" s="1"/>
  <c r="T15" i="6" a="1"/>
  <c r="T15" i="6" s="1"/>
  <c r="T17" i="7" a="1"/>
  <c r="T17" i="7" s="1"/>
  <c r="L14" i="19" a="1"/>
  <c r="L14" i="19" s="1"/>
  <c r="BB18" i="19" a="1"/>
  <c r="BB18" i="19" s="1"/>
  <c r="BD18" i="19" s="1"/>
  <c r="R42" i="5" a="1"/>
  <c r="R42" i="5" s="1"/>
  <c r="Y25" i="6" a="1"/>
  <c r="Y25" i="6" s="1"/>
  <c r="AK47" i="19" a="1"/>
  <c r="AK47" i="19" s="1"/>
  <c r="BN43" i="19" a="1"/>
  <c r="BN43" i="19" s="1"/>
  <c r="AO9" i="5" a="1"/>
  <c r="AO9" i="5" s="1"/>
  <c r="AI37" i="5" a="1"/>
  <c r="AI37" i="5" s="1"/>
  <c r="AN30" i="19" a="1"/>
  <c r="AN30" i="19" s="1"/>
  <c r="AC30" i="7" a="1"/>
  <c r="AC30" i="7" s="1"/>
  <c r="Z18" i="5" a="1"/>
  <c r="Z18" i="5" s="1"/>
  <c r="BR31" i="7" a="1"/>
  <c r="BR31" i="7" s="1"/>
  <c r="BT31" i="7" s="1"/>
  <c r="O35" i="19" a="1"/>
  <c r="O35" i="19" s="1"/>
  <c r="W38" i="7" a="1"/>
  <c r="W38" i="7" s="1"/>
  <c r="S23" i="5" a="1"/>
  <c r="S23" i="5" s="1"/>
  <c r="Y26" i="6" a="1"/>
  <c r="Y26" i="6" s="1"/>
  <c r="W14" i="6" a="1"/>
  <c r="W14" i="6" s="1"/>
  <c r="AI14" i="19" a="1"/>
  <c r="AI14" i="19" s="1"/>
  <c r="AA19" i="19" a="1"/>
  <c r="AA19" i="19" s="1"/>
  <c r="R27" i="7" a="1"/>
  <c r="R27" i="7" s="1"/>
  <c r="T31" i="19" a="1"/>
  <c r="T31" i="19" s="1"/>
  <c r="AN31" i="7" a="1"/>
  <c r="AN31" i="7" s="1"/>
  <c r="Y41" i="19" a="1"/>
  <c r="Y41" i="19" s="1"/>
  <c r="BB19" i="19" a="1"/>
  <c r="BB19" i="19" s="1"/>
  <c r="BD19" i="19" s="1"/>
  <c r="AM43" i="7" a="1"/>
  <c r="AM43" i="7" s="1"/>
  <c r="AO22" i="5" a="1"/>
  <c r="AO22" i="5" s="1"/>
  <c r="BB26" i="7" a="1"/>
  <c r="BB26" i="7" s="1"/>
  <c r="BD26" i="7" s="1"/>
  <c r="P37" i="19" a="1"/>
  <c r="P37" i="19" s="1"/>
  <c r="T9" i="5" a="1"/>
  <c r="T9" i="5" s="1"/>
  <c r="Y42" i="19" a="1"/>
  <c r="Y42" i="19" s="1"/>
  <c r="T25" i="7" a="1"/>
  <c r="T25" i="7" s="1"/>
  <c r="AP28" i="5" a="1"/>
  <c r="AP28" i="5" s="1"/>
  <c r="S21" i="5" a="1"/>
  <c r="S21" i="5" s="1"/>
  <c r="BB40" i="19" a="1"/>
  <c r="BB40" i="19" s="1"/>
  <c r="BD40" i="19" s="1"/>
  <c r="AN34" i="5" a="1"/>
  <c r="AN34" i="5" s="1"/>
  <c r="N24" i="5" a="1"/>
  <c r="N24" i="5" s="1"/>
  <c r="R13" i="5" a="1"/>
  <c r="R13" i="5" s="1"/>
  <c r="Q19" i="19" a="1"/>
  <c r="Q19" i="19" s="1"/>
  <c r="BF43" i="19" a="1"/>
  <c r="BF43" i="19" s="1"/>
  <c r="BH43" i="19" s="1"/>
  <c r="V29" i="19" a="1"/>
  <c r="V29" i="19" s="1"/>
  <c r="AD14" i="19" a="1"/>
  <c r="AD14" i="19" s="1"/>
  <c r="BV42" i="5" a="1"/>
  <c r="BV42" i="5" s="1"/>
  <c r="AE36" i="19" a="1"/>
  <c r="AE36" i="19" s="1"/>
  <c r="M18" i="19" a="1"/>
  <c r="M18" i="19" s="1"/>
  <c r="AM16" i="19" a="1"/>
  <c r="AM16" i="19" s="1"/>
  <c r="BN16" i="19" a="1"/>
  <c r="BN16" i="19" s="1"/>
  <c r="M14" i="19" a="1"/>
  <c r="M14" i="19" s="1"/>
  <c r="AO36" i="5" a="1"/>
  <c r="AO36" i="5" s="1"/>
  <c r="BB43" i="19" a="1"/>
  <c r="BB43" i="19" s="1"/>
  <c r="BD43" i="19" s="1"/>
  <c r="Q37" i="5" a="1"/>
  <c r="Q37" i="5" s="1"/>
  <c r="AO16" i="5" a="1"/>
  <c r="AO16" i="5" s="1"/>
  <c r="BB18" i="5" a="1"/>
  <c r="BB18" i="5" s="1"/>
  <c r="BD18" i="5" s="1"/>
  <c r="BJ18" i="5" a="1"/>
  <c r="BJ18" i="5" s="1"/>
  <c r="BL18" i="5" s="1"/>
  <c r="T15" i="19" a="1"/>
  <c r="T15" i="19" s="1"/>
  <c r="N10" i="5" a="1"/>
  <c r="N10" i="5" s="1"/>
  <c r="X18" i="6" a="1"/>
  <c r="X18" i="6" s="1"/>
  <c r="O37" i="19" a="1"/>
  <c r="O37" i="19" s="1"/>
  <c r="Q26" i="19" a="1"/>
  <c r="Q26" i="19" s="1"/>
  <c r="AN38" i="7" a="1"/>
  <c r="AN38" i="7" s="1"/>
  <c r="AH30" i="7" a="1"/>
  <c r="AH30" i="7" s="1"/>
  <c r="AA30" i="7" a="1"/>
  <c r="AA30" i="7" s="1"/>
  <c r="N29" i="7" a="1"/>
  <c r="N29" i="7" s="1"/>
  <c r="AE37" i="5" a="1"/>
  <c r="AE37" i="5" s="1"/>
  <c r="AB15" i="7" a="1"/>
  <c r="AB15" i="7" s="1"/>
  <c r="AA9" i="19" a="1"/>
  <c r="AA9" i="19" s="1"/>
  <c r="AO25" i="7" a="1"/>
  <c r="AO25" i="7" s="1"/>
  <c r="X17" i="19" a="1"/>
  <c r="X17" i="19" s="1"/>
  <c r="S26" i="19" a="1"/>
  <c r="S26" i="19" s="1"/>
  <c r="BF28" i="5" a="1"/>
  <c r="BF28" i="5" s="1"/>
  <c r="T9" i="6" a="1"/>
  <c r="T9" i="6" s="1"/>
  <c r="AP45" i="5" a="1"/>
  <c r="AP45" i="5" s="1"/>
  <c r="V22" i="7" a="1"/>
  <c r="V22" i="7" s="1"/>
  <c r="W36" i="7" a="1"/>
  <c r="W36" i="7" s="1"/>
  <c r="AG14" i="5" a="1"/>
  <c r="AG14" i="5" s="1"/>
  <c r="AN31" i="19" a="1"/>
  <c r="AN31" i="19" s="1"/>
  <c r="U29" i="7" a="1"/>
  <c r="U29" i="7" s="1"/>
  <c r="O23" i="5" a="1"/>
  <c r="O23" i="5" s="1"/>
  <c r="AL11" i="7" a="1"/>
  <c r="AL11" i="7" s="1"/>
  <c r="L16" i="19" a="1"/>
  <c r="L16" i="19" s="1"/>
  <c r="AG47" i="19" a="1"/>
  <c r="AG47" i="19" s="1"/>
  <c r="AJ31" i="19" a="1"/>
  <c r="AJ31" i="19" s="1"/>
  <c r="Y28" i="7" a="1"/>
  <c r="Y28" i="7" s="1"/>
  <c r="AB23" i="19" a="1"/>
  <c r="AB23" i="19" s="1"/>
  <c r="Q25" i="19" a="1"/>
  <c r="Q25" i="19" s="1"/>
  <c r="U13" i="19" a="1"/>
  <c r="U13" i="19" s="1"/>
  <c r="N14" i="19" a="1"/>
  <c r="N14" i="19" s="1"/>
  <c r="P14" i="5" a="1"/>
  <c r="P14" i="5" s="1"/>
  <c r="BB32" i="7" a="1"/>
  <c r="BB32" i="7" s="1"/>
  <c r="BD32" i="7" s="1"/>
  <c r="N22" i="5" a="1"/>
  <c r="N22" i="5" s="1"/>
  <c r="AP18" i="5" a="1"/>
  <c r="AP18" i="5" s="1"/>
  <c r="V36" i="5" a="1"/>
  <c r="V36" i="5" s="1"/>
  <c r="N29" i="5" a="1"/>
  <c r="N29" i="5" s="1"/>
  <c r="N19" i="6" a="1"/>
  <c r="N19" i="6" s="1"/>
  <c r="W14" i="5" a="1"/>
  <c r="W14" i="5" s="1"/>
  <c r="BN29" i="5" a="1"/>
  <c r="BN29" i="5" s="1"/>
  <c r="AF9" i="5" a="1"/>
  <c r="AF9" i="5" s="1"/>
  <c r="W34" i="5" a="1"/>
  <c r="W34" i="5" s="1"/>
  <c r="AF43" i="19" a="1"/>
  <c r="AF43" i="19" s="1"/>
  <c r="V17" i="7" a="1"/>
  <c r="V17" i="7" s="1"/>
  <c r="S36" i="7" a="1"/>
  <c r="S36" i="7" s="1"/>
  <c r="Y36" i="19" a="1"/>
  <c r="Y36" i="19" s="1"/>
  <c r="BN35" i="19" a="1"/>
  <c r="BN35" i="19" s="1"/>
  <c r="AC29" i="5" a="1"/>
  <c r="AC29" i="5" s="1"/>
  <c r="BJ17" i="5" a="1"/>
  <c r="BJ17" i="5" s="1"/>
  <c r="BL17" i="5" s="1"/>
  <c r="Y14" i="6" a="1"/>
  <c r="Y14" i="6" s="1"/>
  <c r="AA14" i="6" a="1"/>
  <c r="AA14" i="6" s="1"/>
  <c r="BN43" i="7" a="1"/>
  <c r="BN43" i="7" s="1"/>
  <c r="AP43" i="5" a="1"/>
  <c r="AP43" i="5" s="1"/>
  <c r="BJ44" i="7" a="1"/>
  <c r="BJ44" i="7" s="1"/>
  <c r="BL44" i="7" s="1"/>
  <c r="BB28" i="7" a="1"/>
  <c r="BB28" i="7" s="1"/>
  <c r="BD28" i="7" s="1"/>
  <c r="M14" i="7" a="1"/>
  <c r="M14" i="7" s="1"/>
  <c r="U17" i="7" a="1"/>
  <c r="U17" i="7" s="1"/>
  <c r="AH40" i="19" a="1"/>
  <c r="AH40" i="19" s="1"/>
  <c r="W41" i="19" a="1"/>
  <c r="W41" i="19" s="1"/>
  <c r="AA27" i="7" a="1"/>
  <c r="AA27" i="7" s="1"/>
  <c r="AN36" i="19" a="1"/>
  <c r="AN36" i="19" s="1"/>
  <c r="X25" i="19" a="1"/>
  <c r="X25" i="19" s="1"/>
  <c r="V28" i="7" a="1"/>
  <c r="V28" i="7" s="1"/>
  <c r="BJ24" i="5" a="1"/>
  <c r="BJ24" i="5" s="1"/>
  <c r="BL24" i="5" s="1"/>
  <c r="R16" i="5" a="1"/>
  <c r="R16" i="5" s="1"/>
  <c r="AG22" i="7" a="1"/>
  <c r="AG22" i="7" s="1"/>
  <c r="AG34" i="5" a="1"/>
  <c r="AG34" i="5" s="1"/>
  <c r="AL14" i="7" a="1"/>
  <c r="AL14" i="7" s="1"/>
  <c r="BJ30" i="7" a="1"/>
  <c r="BJ30" i="7" s="1"/>
  <c r="BL30" i="7" s="1"/>
  <c r="AG42" i="7" a="1"/>
  <c r="AG42" i="7" s="1"/>
  <c r="Z23" i="6" a="1"/>
  <c r="Z23" i="6" s="1"/>
  <c r="S31" i="5" a="1"/>
  <c r="S31" i="5" s="1"/>
  <c r="O16" i="5" a="1"/>
  <c r="O16" i="5" s="1"/>
  <c r="Q13" i="19" a="1"/>
  <c r="Q13" i="19" s="1"/>
  <c r="AH41" i="19" a="1"/>
  <c r="AH41" i="19" s="1"/>
  <c r="Z33" i="7" a="1"/>
  <c r="Z33" i="7" s="1"/>
  <c r="AO31" i="7" a="1"/>
  <c r="AO31" i="7" s="1"/>
  <c r="AG36" i="5" a="1"/>
  <c r="AG36" i="5" s="1"/>
  <c r="AL29" i="5" a="1"/>
  <c r="AL29" i="5" s="1"/>
  <c r="BF11" i="5" a="1"/>
  <c r="BF11" i="5" s="1"/>
  <c r="BH11" i="5" s="1"/>
  <c r="AI31" i="19" a="1"/>
  <c r="AI31" i="19" s="1"/>
  <c r="L21" i="7" a="1"/>
  <c r="L21" i="7" s="1"/>
  <c r="X29" i="19" a="1"/>
  <c r="X29" i="19" s="1"/>
  <c r="T28" i="5" a="1"/>
  <c r="T28" i="5" s="1"/>
  <c r="AC32" i="19" a="1"/>
  <c r="AC32" i="19" s="1"/>
  <c r="AL28" i="5" a="1"/>
  <c r="AL28" i="5" s="1"/>
  <c r="AL30" i="5" a="1"/>
  <c r="AL30" i="5" s="1"/>
  <c r="AJ29" i="19" a="1"/>
  <c r="AJ29" i="19" s="1"/>
  <c r="BF30" i="7" a="1"/>
  <c r="BF30" i="7" s="1"/>
  <c r="BH30" i="7" s="1"/>
  <c r="L16" i="5" a="1"/>
  <c r="L16" i="5" s="1"/>
  <c r="Z26" i="6" a="1"/>
  <c r="Z26" i="6" s="1"/>
  <c r="R31" i="5" a="1"/>
  <c r="R31" i="5" s="1"/>
  <c r="AN28" i="7" a="1"/>
  <c r="AN28" i="7" s="1"/>
  <c r="BJ17" i="7" a="1"/>
  <c r="BJ17" i="7" s="1"/>
  <c r="BL17" i="7" s="1"/>
  <c r="Z43" i="5" a="1"/>
  <c r="Z43" i="5" s="1"/>
  <c r="AD29" i="7" a="1"/>
  <c r="AD29" i="7" s="1"/>
  <c r="AN15" i="19" a="1"/>
  <c r="AN15" i="19" s="1"/>
  <c r="R25" i="7" a="1"/>
  <c r="R25" i="7" s="1"/>
  <c r="AM26" i="7" a="1"/>
  <c r="AM26" i="7" s="1"/>
  <c r="S11" i="7" a="1"/>
  <c r="S11" i="7" s="1"/>
  <c r="BV42" i="19" a="1"/>
  <c r="BV42" i="19" s="1"/>
  <c r="AA37" i="7" a="1"/>
  <c r="AA37" i="7" s="1"/>
  <c r="AN37" i="5" a="1"/>
  <c r="AN37" i="5" s="1"/>
  <c r="O15" i="6" a="1"/>
  <c r="O15" i="6" s="1"/>
  <c r="AG13" i="5" a="1"/>
  <c r="AG13" i="5" s="1"/>
  <c r="L22" i="6" a="1"/>
  <c r="L22" i="6" s="1"/>
  <c r="AD45" i="5" a="1"/>
  <c r="AD45" i="5" s="1"/>
  <c r="U32" i="7" a="1"/>
  <c r="U32" i="7" s="1"/>
  <c r="AH35" i="19" a="1"/>
  <c r="AH35" i="19" s="1"/>
  <c r="AD34" i="7" a="1"/>
  <c r="AD34" i="7" s="1"/>
  <c r="O43" i="5" a="1"/>
  <c r="O43" i="5" s="1"/>
  <c r="P26" i="7" a="1"/>
  <c r="P26" i="7" s="1"/>
  <c r="V32" i="19" a="1"/>
  <c r="V32" i="19" s="1"/>
  <c r="BB22" i="5" a="1"/>
  <c r="BB22" i="5" s="1"/>
  <c r="BD22" i="5" s="1"/>
  <c r="Y38" i="7" a="1"/>
  <c r="Y38" i="7" s="1"/>
  <c r="AM32" i="7" a="1"/>
  <c r="AM32" i="7" s="1"/>
  <c r="N43" i="5" a="1"/>
  <c r="N43" i="5" s="1"/>
  <c r="BN13" i="5" a="1"/>
  <c r="BN13" i="5" s="1"/>
  <c r="W45" i="5" a="1"/>
  <c r="W45" i="5" s="1"/>
  <c r="AP35" i="5" a="1"/>
  <c r="AP35" i="5" s="1"/>
  <c r="W28" i="7" a="1"/>
  <c r="W28" i="7" s="1"/>
  <c r="Z46" i="19" a="1"/>
  <c r="Z46" i="19" s="1"/>
  <c r="W18" i="5" a="1"/>
  <c r="W18" i="5" s="1"/>
  <c r="M23" i="19" a="1"/>
  <c r="M23" i="19" s="1"/>
  <c r="AI12" i="5" a="1"/>
  <c r="AI12" i="5" s="1"/>
  <c r="X39" i="7" a="1"/>
  <c r="X39" i="7" s="1"/>
  <c r="BR9" i="5" a="1"/>
  <c r="BR9" i="5" s="1"/>
  <c r="BT9" i="5" s="1"/>
  <c r="N32" i="7" a="1"/>
  <c r="N32" i="7" s="1"/>
  <c r="AB44" i="5" a="1"/>
  <c r="AB44" i="5" s="1"/>
  <c r="BB34" i="7" a="1"/>
  <c r="BB34" i="7" s="1"/>
  <c r="BD34" i="7" s="1"/>
  <c r="BN12" i="19" a="1"/>
  <c r="BN12" i="19" s="1"/>
  <c r="N34" i="7" a="1"/>
  <c r="N34" i="7" s="1"/>
  <c r="AI36" i="7" a="1"/>
  <c r="AI36" i="7" s="1"/>
  <c r="P31" i="7" a="1"/>
  <c r="P31" i="7" s="1"/>
  <c r="AO26" i="7" a="1"/>
  <c r="AO26" i="7" s="1"/>
  <c r="BB31" i="5" a="1"/>
  <c r="BB31" i="5" s="1"/>
  <c r="BD31" i="5" s="1"/>
  <c r="Q22" i="5" a="1"/>
  <c r="Q22" i="5" s="1"/>
  <c r="AA25" i="5" a="1"/>
  <c r="AA25" i="5" s="1"/>
  <c r="BR36" i="5" a="1"/>
  <c r="BR36" i="5" s="1"/>
  <c r="BT36" i="5" s="1"/>
  <c r="W20" i="19" a="1"/>
  <c r="W20" i="19" s="1"/>
  <c r="BV22" i="5" a="1"/>
  <c r="BV22" i="5" s="1"/>
  <c r="AD12" i="5" a="1"/>
  <c r="AD12" i="5" s="1"/>
  <c r="AM14" i="19" a="1"/>
  <c r="AM14" i="19" s="1"/>
  <c r="AJ11" i="7" a="1"/>
  <c r="AJ11" i="7" s="1"/>
  <c r="Z31" i="5" a="1"/>
  <c r="Z31" i="5" s="1"/>
  <c r="Z44" i="5" a="1"/>
  <c r="Z44" i="5" s="1"/>
  <c r="AD18" i="7" a="1"/>
  <c r="AD18" i="7" s="1"/>
  <c r="AK34" i="5" a="1"/>
  <c r="AK34" i="5" s="1"/>
  <c r="BN44" i="7" a="1"/>
  <c r="BN44" i="7" s="1"/>
  <c r="BF44" i="5" a="1"/>
  <c r="BF44" i="5" s="1"/>
  <c r="BH44" i="5" s="1"/>
  <c r="AL42" i="7" a="1"/>
  <c r="AL42" i="7" s="1"/>
  <c r="AG20" i="19" a="1"/>
  <c r="AG20" i="19" s="1"/>
  <c r="W30" i="5" a="1"/>
  <c r="W30" i="5" s="1"/>
  <c r="AE42" i="19" a="1"/>
  <c r="AE42" i="19" s="1"/>
  <c r="O44" i="7" a="1"/>
  <c r="O44" i="7" s="1"/>
  <c r="R19" i="19" a="1"/>
  <c r="R19" i="19" s="1"/>
  <c r="AM31" i="7" a="1"/>
  <c r="AM31" i="7" s="1"/>
  <c r="AG30" i="5" a="1"/>
  <c r="AG30" i="5" s="1"/>
  <c r="AK16" i="19" a="1"/>
  <c r="AK16" i="19" s="1"/>
  <c r="Z37" i="19" a="1"/>
  <c r="Z37" i="19" s="1"/>
  <c r="W36" i="19" a="1"/>
  <c r="W36" i="19" s="1"/>
  <c r="AA24" i="5" a="1"/>
  <c r="AA24" i="5" s="1"/>
  <c r="BN14" i="5" a="1"/>
  <c r="BN14" i="5" s="1"/>
  <c r="AH31" i="5" a="1"/>
  <c r="AH31" i="5" s="1"/>
  <c r="AK39" i="5" a="1"/>
  <c r="AK39" i="5" s="1"/>
  <c r="AL39" i="5" a="1"/>
  <c r="AL39" i="5" s="1"/>
  <c r="Q28" i="7" a="1"/>
  <c r="Q28" i="7" s="1"/>
  <c r="AK30" i="7" a="1"/>
  <c r="AK30" i="7" s="1"/>
  <c r="BN24" i="5" a="1"/>
  <c r="BN24" i="5" s="1"/>
  <c r="S9" i="19" a="1"/>
  <c r="S9" i="19" s="1"/>
  <c r="AA30" i="5" a="1"/>
  <c r="AA30" i="5" s="1"/>
  <c r="AN48" i="19" a="1"/>
  <c r="AN48" i="19" s="1"/>
  <c r="Z30" i="7" a="1"/>
  <c r="Z30" i="7" s="1"/>
  <c r="Z10" i="6" a="1"/>
  <c r="Z10" i="6" s="1"/>
  <c r="BF36" i="19" a="1"/>
  <c r="BF36" i="19" s="1"/>
  <c r="BH36" i="19" s="1"/>
  <c r="AF29" i="5" a="1"/>
  <c r="AF29" i="5" s="1"/>
  <c r="R38" i="7" a="1"/>
  <c r="R38" i="7" s="1"/>
  <c r="L42" i="5" a="1"/>
  <c r="L42" i="5" s="1"/>
  <c r="S34" i="5" a="1"/>
  <c r="S34" i="5" s="1"/>
  <c r="Y23" i="19" a="1"/>
  <c r="Y23" i="19" s="1"/>
  <c r="N30" i="5" a="1"/>
  <c r="N30" i="5" s="1"/>
  <c r="U28" i="7" a="1"/>
  <c r="U28" i="7" s="1"/>
  <c r="AA14" i="7" a="1"/>
  <c r="AA14" i="7" s="1"/>
  <c r="W24" i="5" a="1"/>
  <c r="W24" i="5" s="1"/>
  <c r="M26" i="6" a="1"/>
  <c r="M26" i="6" s="1"/>
  <c r="S26" i="6" a="1"/>
  <c r="S26" i="6" s="1"/>
  <c r="U37" i="5" a="1"/>
  <c r="U37" i="5" s="1"/>
  <c r="BF9" i="5" a="1"/>
  <c r="BF9" i="5" s="1"/>
  <c r="BH9" i="5" s="1"/>
  <c r="V37" i="19" a="1"/>
  <c r="V37" i="19" s="1"/>
  <c r="W19" i="6" a="1"/>
  <c r="W19" i="6" s="1"/>
  <c r="BB29" i="7" a="1"/>
  <c r="BB29" i="7" s="1"/>
  <c r="BD29" i="7" s="1"/>
  <c r="AJ26" i="19" a="1"/>
  <c r="AJ26" i="19" s="1"/>
  <c r="R24" i="5" a="1"/>
  <c r="R24" i="5" s="1"/>
  <c r="N17" i="19" a="1"/>
  <c r="N17" i="19" s="1"/>
  <c r="AB29" i="5" a="1"/>
  <c r="AB29" i="5" s="1"/>
  <c r="AJ43" i="5" a="1"/>
  <c r="AJ43" i="5" s="1"/>
  <c r="Q18" i="5" a="1"/>
  <c r="Q18" i="5" s="1"/>
  <c r="BV37" i="7" a="1"/>
  <c r="BV37" i="7" s="1"/>
  <c r="W24" i="19" a="1"/>
  <c r="W24" i="19" s="1"/>
  <c r="AB30" i="7" a="1"/>
  <c r="AB30" i="7" s="1"/>
  <c r="L17" i="7" a="1"/>
  <c r="L17" i="7" s="1"/>
  <c r="AJ31" i="5" a="1"/>
  <c r="AJ31" i="5" s="1"/>
  <c r="S24" i="6" a="1"/>
  <c r="S24" i="6" s="1"/>
  <c r="T13" i="6" a="1"/>
  <c r="T13" i="6" s="1"/>
  <c r="U27" i="7" a="1"/>
  <c r="U27" i="7" s="1"/>
  <c r="AN40" i="19" a="1"/>
  <c r="AN40" i="19" s="1"/>
  <c r="AL31" i="7" a="1"/>
  <c r="AL31" i="7" s="1"/>
  <c r="Q32" i="7" a="1"/>
  <c r="Q32" i="7" s="1"/>
  <c r="AF13" i="5" a="1"/>
  <c r="AF13" i="5" s="1"/>
  <c r="AA36" i="19" a="1"/>
  <c r="AA36" i="19" s="1"/>
  <c r="M37" i="19" a="1"/>
  <c r="M37" i="19" s="1"/>
  <c r="X32" i="19" a="1"/>
  <c r="X32" i="19" s="1"/>
  <c r="Z36" i="7" a="1"/>
  <c r="Z36" i="7" s="1"/>
  <c r="AL13" i="5" a="1"/>
  <c r="AL13" i="5" s="1"/>
  <c r="Q11" i="5" a="1"/>
  <c r="Q11" i="5" s="1"/>
  <c r="O17" i="19" a="1"/>
  <c r="O17" i="19" s="1"/>
  <c r="AH31" i="19" a="1"/>
  <c r="AH31" i="19" s="1"/>
  <c r="Z15" i="7" a="1"/>
  <c r="Z15" i="7" s="1"/>
  <c r="T23" i="19" a="1"/>
  <c r="T23" i="19" s="1"/>
  <c r="Q29" i="5" a="1"/>
  <c r="Q29" i="5" s="1"/>
  <c r="AB21" i="5" a="1"/>
  <c r="AB21" i="5" s="1"/>
  <c r="P14" i="7" a="1"/>
  <c r="P14" i="7" s="1"/>
  <c r="AM18" i="7" a="1"/>
  <c r="AM18" i="7" s="1"/>
  <c r="Z31" i="7" a="1"/>
  <c r="Z31" i="7" s="1"/>
  <c r="T44" i="5" a="1"/>
  <c r="T44" i="5" s="1"/>
  <c r="AJ14" i="7" a="1"/>
  <c r="AJ14" i="7" s="1"/>
  <c r="V9" i="7" a="1"/>
  <c r="V9" i="7" s="1"/>
  <c r="AM31" i="5" a="1"/>
  <c r="AM31" i="5" s="1"/>
  <c r="AL17" i="19" a="1"/>
  <c r="AL17" i="19" s="1"/>
  <c r="AF44" i="5" a="1"/>
  <c r="AF44" i="5" s="1"/>
  <c r="AI29" i="7" a="1"/>
  <c r="AI29" i="7" s="1"/>
  <c r="BJ45" i="5" a="1"/>
  <c r="BJ45" i="5" s="1"/>
  <c r="BL45" i="5" s="1"/>
  <c r="Z10" i="7" a="1"/>
  <c r="Z10" i="7" s="1"/>
  <c r="BN27" i="7" a="1"/>
  <c r="BN27" i="7" s="1"/>
  <c r="AA43" i="5" a="1"/>
  <c r="AA43" i="5" s="1"/>
  <c r="S19" i="6" a="1"/>
  <c r="S19" i="6" s="1"/>
  <c r="AG10" i="5" a="1"/>
  <c r="AG10" i="5" s="1"/>
  <c r="AE15" i="19" a="1"/>
  <c r="AE15" i="19" s="1"/>
  <c r="P29" i="5" a="1"/>
  <c r="P29" i="5" s="1"/>
  <c r="X24" i="19" a="1"/>
  <c r="X24" i="19" s="1"/>
  <c r="AE35" i="5" a="1"/>
  <c r="AE35" i="5" s="1"/>
  <c r="BB35" i="7" a="1"/>
  <c r="BB35" i="7" s="1"/>
  <c r="BD35" i="7" s="1"/>
  <c r="X15" i="6" a="1"/>
  <c r="X15" i="6" s="1"/>
  <c r="Z29" i="19" a="1"/>
  <c r="Z29" i="19" s="1"/>
  <c r="AA27" i="6" a="1"/>
  <c r="AA27" i="6" s="1"/>
  <c r="AL28" i="7" a="1"/>
  <c r="AL28" i="7" s="1"/>
  <c r="AK43" i="5" a="1"/>
  <c r="AK43" i="5" s="1"/>
  <c r="Q17" i="19" a="1"/>
  <c r="Q17" i="19" s="1"/>
  <c r="AE25" i="5" a="1"/>
  <c r="AE25" i="5" s="1"/>
  <c r="AO30" i="7" a="1"/>
  <c r="AO30" i="7" s="1"/>
  <c r="O28" i="7" a="1"/>
  <c r="O28" i="7" s="1"/>
  <c r="S16" i="7" a="1"/>
  <c r="S16" i="7" s="1"/>
  <c r="AC27" i="7" a="1"/>
  <c r="AC27" i="7" s="1"/>
  <c r="BF26" i="7" a="1"/>
  <c r="BF26" i="7" s="1"/>
  <c r="BH26" i="7" s="1"/>
  <c r="S44" i="5" a="1"/>
  <c r="S44" i="5" s="1"/>
  <c r="P42" i="7" a="1"/>
  <c r="P42" i="7" s="1"/>
  <c r="BV18" i="19" a="1"/>
  <c r="BV18" i="19" s="1"/>
  <c r="BN25" i="6" a="1"/>
  <c r="BN25" i="6" s="1"/>
  <c r="BV43" i="7" a="1"/>
  <c r="BV43" i="7" s="1"/>
  <c r="W26" i="19" a="1"/>
  <c r="W26" i="19" s="1"/>
  <c r="T11" i="7" a="1"/>
  <c r="T11" i="7" s="1"/>
  <c r="AA17" i="19" a="1"/>
  <c r="AA17" i="19" s="1"/>
  <c r="AK22" i="6" a="1"/>
  <c r="AK22" i="6" s="1"/>
  <c r="AC33" i="7" a="1"/>
  <c r="AC33" i="7" s="1"/>
  <c r="AD26" i="6" a="1"/>
  <c r="AD26" i="6" s="1"/>
  <c r="AB10" i="7" a="1"/>
  <c r="AB10" i="7" s="1"/>
  <c r="AC43" i="7" a="1"/>
  <c r="AC43" i="7" s="1"/>
  <c r="U31" i="7" a="1"/>
  <c r="U31" i="7" s="1"/>
  <c r="X45" i="5" a="1"/>
  <c r="X45" i="5" s="1"/>
  <c r="Y14" i="19" a="1"/>
  <c r="Y14" i="19" s="1"/>
  <c r="W23" i="19" a="1"/>
  <c r="W23" i="19" s="1"/>
  <c r="AG27" i="7" a="1"/>
  <c r="AG27" i="7" s="1"/>
  <c r="Y35" i="19" a="1"/>
  <c r="Y35" i="19" s="1"/>
  <c r="AN29" i="19" a="1"/>
  <c r="AN29" i="19" s="1"/>
  <c r="O18" i="6" a="1"/>
  <c r="O18" i="6" s="1"/>
  <c r="BB13" i="5" a="1"/>
  <c r="BB13" i="5" s="1"/>
  <c r="BD13" i="5" s="1"/>
  <c r="AC38" i="7" a="1"/>
  <c r="AC38" i="7" s="1"/>
  <c r="AF42" i="7" a="1"/>
  <c r="AF42" i="7" s="1"/>
  <c r="BN14" i="6" a="1"/>
  <c r="BN14" i="6" s="1"/>
  <c r="BJ39" i="5" a="1"/>
  <c r="BJ39" i="5" s="1"/>
  <c r="BL39" i="5" s="1"/>
  <c r="BB21" i="5" a="1"/>
  <c r="BB21" i="5" s="1"/>
  <c r="BD21" i="5" s="1"/>
  <c r="AH10" i="6" a="1"/>
  <c r="AH10" i="6" s="1"/>
  <c r="AH18" i="6" a="1"/>
  <c r="AH18" i="6" s="1"/>
  <c r="O13" i="19" a="1"/>
  <c r="O13" i="19" s="1"/>
  <c r="BF40" i="19" a="1"/>
  <c r="BF40" i="19" s="1"/>
  <c r="BH40" i="19" s="1"/>
  <c r="BF23" i="6" a="1"/>
  <c r="BF23" i="6" s="1"/>
  <c r="BH23" i="6" s="1"/>
  <c r="P45" i="5" a="1"/>
  <c r="P45" i="5" s="1"/>
  <c r="N42" i="5" a="1"/>
  <c r="N42" i="5" s="1"/>
  <c r="AG24" i="6" a="1"/>
  <c r="AG24" i="6" s="1"/>
  <c r="P32" i="19" a="1"/>
  <c r="P32" i="19" s="1"/>
  <c r="Z25" i="19" a="1"/>
  <c r="Z25" i="19" s="1"/>
  <c r="AK28" i="7" a="1"/>
  <c r="AK28" i="7" s="1"/>
  <c r="R36" i="19" a="1"/>
  <c r="R36" i="19" s="1"/>
  <c r="AJ29" i="7" a="1"/>
  <c r="AJ29" i="7" s="1"/>
  <c r="AE39" i="7" a="1"/>
  <c r="AE39" i="7" s="1"/>
  <c r="AM15" i="19" a="1"/>
  <c r="AM15" i="19" s="1"/>
  <c r="S19" i="19" a="1"/>
  <c r="S19" i="19" s="1"/>
  <c r="AA15" i="19" a="1"/>
  <c r="AA15" i="19" s="1"/>
  <c r="X13" i="19" a="1"/>
  <c r="X13" i="19" s="1"/>
  <c r="AB24" i="6" a="1"/>
  <c r="AB24" i="6" s="1"/>
  <c r="BF43" i="7" a="1"/>
  <c r="BF43" i="7" s="1"/>
  <c r="BH43" i="7" s="1"/>
  <c r="Y17" i="19" a="1"/>
  <c r="Y17" i="19" s="1"/>
  <c r="BR43" i="19" a="1"/>
  <c r="BR43" i="19" s="1"/>
  <c r="BT43" i="19" s="1"/>
  <c r="BB23" i="6" a="1"/>
  <c r="BB23" i="6" s="1"/>
  <c r="BD23" i="6" s="1"/>
  <c r="BR18" i="19" a="1"/>
  <c r="BR18" i="19" s="1"/>
  <c r="BT18" i="19" s="1"/>
  <c r="AL18" i="6" a="1"/>
  <c r="AL18" i="6" s="1"/>
  <c r="Q26" i="7" a="1"/>
  <c r="Q26" i="7" s="1"/>
  <c r="AN25" i="5" a="1"/>
  <c r="AN25" i="5" s="1"/>
  <c r="AF23" i="6" a="1"/>
  <c r="AF23" i="6" s="1"/>
  <c r="AK18" i="6" a="1"/>
  <c r="AK18" i="6" s="1"/>
  <c r="AE32" i="19" a="1"/>
  <c r="AE32" i="19" s="1"/>
  <c r="AE26" i="6" a="1"/>
  <c r="AE26" i="6" s="1"/>
  <c r="AH36" i="5" a="1"/>
  <c r="AH36" i="5" s="1"/>
  <c r="Y27" i="7" a="1"/>
  <c r="Y27" i="7" s="1"/>
  <c r="BV35" i="19" a="1"/>
  <c r="BV35" i="19" s="1"/>
  <c r="AM15" i="6" a="1"/>
  <c r="AM15" i="6" s="1"/>
  <c r="BJ23" i="6" a="1"/>
  <c r="BJ23" i="6" s="1"/>
  <c r="BL23" i="6" s="1"/>
  <c r="W14" i="19" a="1"/>
  <c r="W14" i="19" s="1"/>
  <c r="BF37" i="5" a="1"/>
  <c r="BF37" i="5" s="1"/>
  <c r="BH37" i="5" s="1"/>
  <c r="AL13" i="19" a="1"/>
  <c r="AL13" i="19" s="1"/>
  <c r="AA13" i="19" a="1"/>
  <c r="AA13" i="19" s="1"/>
  <c r="AI19" i="6" a="1"/>
  <c r="AI19" i="6" s="1"/>
  <c r="AG31" i="7" a="1"/>
  <c r="AG31" i="7" s="1"/>
  <c r="AG18" i="6" a="1"/>
  <c r="AG18" i="6" s="1"/>
  <c r="X14" i="7" a="1"/>
  <c r="X14" i="7" s="1"/>
  <c r="AD19" i="19" a="1"/>
  <c r="AD19" i="19" s="1"/>
  <c r="BR10" i="5" a="1"/>
  <c r="BR10" i="5" s="1"/>
  <c r="BT10" i="5" s="1"/>
  <c r="Y21" i="7" a="1"/>
  <c r="Y21" i="7" s="1"/>
  <c r="BN36" i="5" a="1"/>
  <c r="BN36" i="5" s="1"/>
  <c r="BR23" i="5" a="1"/>
  <c r="BR23" i="5" s="1"/>
  <c r="BT23" i="5" s="1"/>
  <c r="AF14" i="19" a="1"/>
  <c r="AF14" i="19" s="1"/>
  <c r="BB22" i="6" a="1"/>
  <c r="BB22" i="6" s="1"/>
  <c r="BD22" i="6" s="1"/>
  <c r="AJ40" i="19" a="1"/>
  <c r="AJ40" i="19" s="1"/>
  <c r="AH23" i="6" a="1"/>
  <c r="AH23" i="6" s="1"/>
  <c r="AD14" i="6" a="1"/>
  <c r="AD14" i="6" s="1"/>
  <c r="P15" i="19" a="1"/>
  <c r="P15" i="19" s="1"/>
  <c r="AJ25" i="19" a="1"/>
  <c r="AJ25" i="19" s="1"/>
  <c r="BN10" i="6" a="1"/>
  <c r="BN10" i="6" s="1"/>
  <c r="W9" i="19" a="1"/>
  <c r="W9" i="19" s="1"/>
  <c r="BR45" i="5" a="1"/>
  <c r="BR45" i="5" s="1"/>
  <c r="BT45" i="5" s="1"/>
  <c r="Z26" i="7" a="1"/>
  <c r="Z26" i="7" s="1"/>
  <c r="BN22" i="7" a="1"/>
  <c r="BN22" i="7" s="1"/>
  <c r="AF31" i="19" a="1"/>
  <c r="AF31" i="19" s="1"/>
  <c r="BN42" i="5" a="1"/>
  <c r="BN42" i="5" s="1"/>
  <c r="M17" i="5" a="1"/>
  <c r="M17" i="5" s="1"/>
  <c r="Y42" i="7" a="1"/>
  <c r="Y42" i="7" s="1"/>
  <c r="BB17" i="5" a="1"/>
  <c r="BB17" i="5" s="1"/>
  <c r="BD17" i="5" s="1"/>
  <c r="Q15" i="6" a="1"/>
  <c r="Q15" i="6" s="1"/>
  <c r="T25" i="6" a="1"/>
  <c r="T25" i="6" s="1"/>
  <c r="AC16" i="7" a="1"/>
  <c r="AC16" i="7" s="1"/>
  <c r="W35" i="5" a="1"/>
  <c r="W35" i="5" s="1"/>
  <c r="U42" i="7" a="1"/>
  <c r="U42" i="7" s="1"/>
  <c r="AJ13" i="19" a="1"/>
  <c r="AJ13" i="19" s="1"/>
  <c r="AM22" i="7" a="1"/>
  <c r="AM22" i="7" s="1"/>
  <c r="AL48" i="19" a="1"/>
  <c r="AL48" i="19" s="1"/>
  <c r="S30" i="19" a="1"/>
  <c r="S30" i="19" s="1"/>
  <c r="AK16" i="7" a="1"/>
  <c r="AK16" i="7" s="1"/>
  <c r="AE11" i="7" a="1"/>
  <c r="AE11" i="7" s="1"/>
  <c r="S10" i="6" a="1"/>
  <c r="S10" i="6" s="1"/>
  <c r="N36" i="5" a="1"/>
  <c r="N36" i="5" s="1"/>
  <c r="AK31" i="19" a="1"/>
  <c r="AK31" i="19" s="1"/>
  <c r="P9" i="19" a="1"/>
  <c r="P9" i="19" s="1"/>
  <c r="AN14" i="6" a="1"/>
  <c r="AN14" i="6" s="1"/>
  <c r="R31" i="19" a="1"/>
  <c r="R31" i="19" s="1"/>
  <c r="N35" i="19" a="1"/>
  <c r="N35" i="19" s="1"/>
  <c r="N30" i="7" a="1"/>
  <c r="N30" i="7" s="1"/>
  <c r="AF26" i="6" a="1"/>
  <c r="AF26" i="6" s="1"/>
  <c r="AI14" i="6" a="1"/>
  <c r="AI14" i="6" s="1"/>
  <c r="Z12" i="19" a="1"/>
  <c r="Z12" i="19" s="1"/>
  <c r="BN22" i="6" a="1"/>
  <c r="BN22" i="6" s="1"/>
  <c r="AF23" i="5" a="1"/>
  <c r="AF23" i="5" s="1"/>
  <c r="AD24" i="6" a="1"/>
  <c r="AD24" i="6" s="1"/>
  <c r="W29" i="7" a="1"/>
  <c r="W29" i="7" s="1"/>
  <c r="BF17" i="19" a="1"/>
  <c r="BF17" i="19" s="1"/>
  <c r="BH17" i="19" s="1"/>
  <c r="BB15" i="7" a="1"/>
  <c r="BB15" i="7" s="1"/>
  <c r="BD15" i="7" s="1"/>
  <c r="AI30" i="19" a="1"/>
  <c r="AI30" i="19" s="1"/>
  <c r="AD30" i="19" a="1"/>
  <c r="AD30" i="19" s="1"/>
  <c r="Z35" i="19" a="1"/>
  <c r="Z35" i="19" s="1"/>
  <c r="AM46" i="19" a="1"/>
  <c r="AM46" i="19" s="1"/>
  <c r="AG18" i="19" a="1"/>
  <c r="AG18" i="19" s="1"/>
  <c r="BF37" i="7" a="1"/>
  <c r="BF37" i="7" s="1"/>
  <c r="BH37" i="7" s="1"/>
  <c r="BB41" i="19" a="1"/>
  <c r="BB41" i="19" s="1"/>
  <c r="BD41" i="19" s="1"/>
  <c r="Y28" i="5" a="1"/>
  <c r="Y28" i="5" s="1"/>
  <c r="V16" i="5" a="1"/>
  <c r="V16" i="5" s="1"/>
  <c r="AL43" i="5" a="1"/>
  <c r="AL43" i="5" s="1"/>
  <c r="AH21" i="7" a="1"/>
  <c r="AH21" i="7" s="1"/>
  <c r="AI34" i="7" a="1"/>
  <c r="AI34" i="7" s="1"/>
  <c r="AN12" i="5" a="1"/>
  <c r="AN12" i="5" s="1"/>
  <c r="T26" i="19" a="1"/>
  <c r="T26" i="19" s="1"/>
  <c r="M17" i="19" a="1"/>
  <c r="M17" i="19" s="1"/>
  <c r="X9" i="6" a="1"/>
  <c r="X9" i="6" s="1"/>
  <c r="AN20" i="19" a="1"/>
  <c r="AN20" i="19" s="1"/>
  <c r="AE18" i="5" a="1"/>
  <c r="AE18" i="5" s="1"/>
  <c r="AN27" i="6" a="1"/>
  <c r="AN27" i="6" s="1"/>
  <c r="N18" i="19" a="1"/>
  <c r="N18" i="19" s="1"/>
  <c r="AI18" i="6" a="1"/>
  <c r="AI18" i="6" s="1"/>
  <c r="N27" i="6" a="1"/>
  <c r="N27" i="6" s="1"/>
  <c r="AC42" i="19" a="1"/>
  <c r="AC42" i="19" s="1"/>
  <c r="BV28" i="5" a="1"/>
  <c r="BV28" i="5" s="1"/>
  <c r="AL9" i="6" a="1"/>
  <c r="AL9" i="6" s="1"/>
  <c r="Y31" i="7" a="1"/>
  <c r="Y31" i="7" s="1"/>
  <c r="S25" i="19" a="1"/>
  <c r="S25" i="19" s="1"/>
  <c r="AF37" i="19" a="1"/>
  <c r="AF37" i="19" s="1"/>
  <c r="V9" i="6" a="1"/>
  <c r="V9" i="6" s="1"/>
  <c r="M13" i="6" a="1"/>
  <c r="M13" i="6" s="1"/>
  <c r="AE9" i="19" a="1"/>
  <c r="AE9" i="19" s="1"/>
  <c r="AE23" i="6" a="1"/>
  <c r="AE23" i="6" s="1"/>
  <c r="BF19" i="6" a="1"/>
  <c r="BF19" i="6" s="1"/>
  <c r="BH19" i="6" s="1"/>
  <c r="AC18" i="6" a="1"/>
  <c r="AC18" i="6" s="1"/>
  <c r="U20" i="19" a="1"/>
  <c r="U20" i="19" s="1"/>
  <c r="AB36" i="5" a="1"/>
  <c r="AB36" i="5" s="1"/>
  <c r="AH29" i="5" a="1"/>
  <c r="AH29" i="5" s="1"/>
  <c r="BV9" i="6" a="1"/>
  <c r="BV9" i="6" s="1"/>
  <c r="AD18" i="6" a="1"/>
  <c r="AD18" i="6" s="1"/>
  <c r="BB18" i="6" a="1"/>
  <c r="BB18" i="6" s="1"/>
  <c r="BD18" i="6" s="1"/>
  <c r="BR15" i="6" a="1"/>
  <c r="BR15" i="6" s="1"/>
  <c r="BT15" i="6" s="1"/>
  <c r="AM27" i="6" a="1"/>
  <c r="AM27" i="6" s="1"/>
  <c r="AL36" i="5" a="1"/>
  <c r="AL36" i="5" s="1"/>
  <c r="N9" i="7" a="1"/>
  <c r="N9" i="7" s="1"/>
  <c r="AK24" i="6" a="1"/>
  <c r="AK24" i="6" s="1"/>
  <c r="AL10" i="6" a="1"/>
  <c r="AL10" i="6" s="1"/>
  <c r="BB10" i="6" a="1"/>
  <c r="BB10" i="6" s="1"/>
  <c r="BD10" i="6" s="1"/>
  <c r="AA10" i="7" a="1"/>
  <c r="AA10" i="7" s="1"/>
  <c r="AN21" i="7" a="1"/>
  <c r="AN21" i="7" s="1"/>
  <c r="Y13" i="19" a="1"/>
  <c r="Y13" i="19" s="1"/>
  <c r="X22" i="6" a="1"/>
  <c r="X22" i="6" s="1"/>
  <c r="AL17" i="7" a="1"/>
  <c r="AL17" i="7" s="1"/>
  <c r="AE18" i="6" a="1"/>
  <c r="AE18" i="6" s="1"/>
  <c r="AC13" i="6" a="1"/>
  <c r="AC13" i="6" s="1"/>
  <c r="BF23" i="5" a="1"/>
  <c r="BF23" i="5" s="1"/>
  <c r="BH23" i="5" s="1"/>
  <c r="BJ42" i="19" a="1"/>
  <c r="BJ42" i="19" s="1"/>
  <c r="BL42" i="19" s="1"/>
  <c r="AK15" i="6" a="1"/>
  <c r="AK15" i="6" s="1"/>
  <c r="BJ26" i="6" a="1"/>
  <c r="BJ26" i="6" s="1"/>
  <c r="BL26" i="6" s="1"/>
  <c r="AK23" i="6" a="1"/>
  <c r="AK23" i="6" s="1"/>
  <c r="BR31" i="5" a="1"/>
  <c r="BR31" i="5" s="1"/>
  <c r="BT31" i="5" s="1"/>
  <c r="BJ9" i="6" a="1"/>
  <c r="BJ9" i="6" s="1"/>
  <c r="BL9" i="6" s="1"/>
  <c r="X40" i="19" a="1"/>
  <c r="X40" i="19" s="1"/>
  <c r="AE45" i="5" a="1"/>
  <c r="AE45" i="5" s="1"/>
  <c r="AJ33" i="7" a="1"/>
  <c r="AJ33" i="7" s="1"/>
  <c r="AC20" i="19" a="1"/>
  <c r="AC20" i="19" s="1"/>
  <c r="AN10" i="6" a="1"/>
  <c r="AN10" i="6" s="1"/>
  <c r="U14" i="19" a="1"/>
  <c r="U14" i="19" s="1"/>
  <c r="AM34" i="5" a="1"/>
  <c r="AM34" i="5" s="1"/>
  <c r="AI10" i="6" a="1"/>
  <c r="AI10" i="6" s="1"/>
  <c r="AM24" i="6" a="1"/>
  <c r="AM24" i="6" s="1"/>
  <c r="AO44" i="5" a="1"/>
  <c r="AO44" i="5" s="1"/>
  <c r="AJ25" i="6" a="1"/>
  <c r="AJ25" i="6" s="1"/>
  <c r="BV37" i="5" a="1"/>
  <c r="BV37" i="5" s="1"/>
  <c r="AC23" i="5" a="1"/>
  <c r="AC23" i="5" s="1"/>
  <c r="AC25" i="6" a="1"/>
  <c r="AC25" i="6" s="1"/>
  <c r="AL19" i="6" a="1"/>
  <c r="AL19" i="6" s="1"/>
  <c r="V25" i="19" a="1"/>
  <c r="V25" i="19" s="1"/>
  <c r="BR22" i="7" a="1"/>
  <c r="BR22" i="7" s="1"/>
  <c r="BT22" i="7" s="1"/>
  <c r="BR28" i="5" a="1"/>
  <c r="BR28" i="5" s="1"/>
  <c r="BT28" i="5" s="1"/>
  <c r="BJ17" i="19" a="1"/>
  <c r="BJ17" i="19" s="1"/>
  <c r="BL17" i="19" s="1"/>
  <c r="BV26" i="6" a="1"/>
  <c r="BV26" i="6" s="1"/>
  <c r="AA31" i="19" a="1"/>
  <c r="AA31" i="19" s="1"/>
  <c r="AN26" i="6" a="1"/>
  <c r="AN26" i="6" s="1"/>
  <c r="AF20" i="19" a="1"/>
  <c r="AF20" i="19" s="1"/>
  <c r="V26" i="19" a="1"/>
  <c r="V26" i="19" s="1"/>
  <c r="S39" i="5" a="1"/>
  <c r="S39" i="5" s="1"/>
  <c r="AL44" i="5" a="1"/>
  <c r="AL44" i="5" s="1"/>
  <c r="AB41" i="19" a="1"/>
  <c r="AB41" i="19" s="1"/>
  <c r="BB24" i="5" a="1"/>
  <c r="BB24" i="5" s="1"/>
  <c r="BD24" i="5" s="1"/>
  <c r="AK35" i="19" a="1"/>
  <c r="AK35" i="19" s="1"/>
  <c r="AB43" i="5" a="1"/>
  <c r="AB43" i="5" s="1"/>
  <c r="AC21" i="7" a="1"/>
  <c r="AC21" i="7" s="1"/>
  <c r="BN28" i="7" a="1"/>
  <c r="BN28" i="7" s="1"/>
  <c r="Y10" i="5" a="1"/>
  <c r="Y10" i="5" s="1"/>
  <c r="AF37" i="5" a="1"/>
  <c r="AF37" i="5" s="1"/>
  <c r="AI28" i="5" a="1"/>
  <c r="AI28" i="5" s="1"/>
  <c r="AM10" i="7" a="1"/>
  <c r="AM10" i="7" s="1"/>
  <c r="AA15" i="7" a="1"/>
  <c r="AA15" i="7" s="1"/>
  <c r="U21" i="7" a="1"/>
  <c r="U21" i="7" s="1"/>
  <c r="BR19" i="19" a="1"/>
  <c r="BR19" i="19" s="1"/>
  <c r="BT19" i="19" s="1"/>
  <c r="AE27" i="6" a="1"/>
  <c r="AE27" i="6" s="1"/>
  <c r="AD36" i="5" a="1"/>
  <c r="AD36" i="5" s="1"/>
  <c r="V18" i="19" a="1"/>
  <c r="V18" i="19" s="1"/>
  <c r="AK23" i="19" a="1"/>
  <c r="AK23" i="19" s="1"/>
  <c r="M25" i="19" a="1"/>
  <c r="M25" i="19" s="1"/>
  <c r="AD18" i="19" a="1"/>
  <c r="AD18" i="19" s="1"/>
  <c r="BN32" i="7" a="1"/>
  <c r="BN32" i="7" s="1"/>
  <c r="AA35" i="7" a="1"/>
  <c r="AA35" i="7" s="1"/>
  <c r="AL9" i="19" a="1"/>
  <c r="AL9" i="19" s="1"/>
  <c r="AA47" i="19" a="1"/>
  <c r="AA47" i="19" s="1"/>
  <c r="AE24" i="19" a="1"/>
  <c r="AE24" i="19" s="1"/>
  <c r="AB30" i="19" a="1"/>
  <c r="AB30" i="19" s="1"/>
  <c r="AB9" i="6" a="1"/>
  <c r="AB9" i="6" s="1"/>
  <c r="BN11" i="5" a="1"/>
  <c r="BN11" i="5" s="1"/>
  <c r="BJ28" i="5" a="1"/>
  <c r="BJ28" i="5" s="1"/>
  <c r="AF22" i="6" a="1"/>
  <c r="AF22" i="6" s="1"/>
  <c r="AD9" i="6" a="1"/>
  <c r="AD9" i="6" s="1"/>
  <c r="W40" i="19" a="1"/>
  <c r="W40" i="19" s="1"/>
  <c r="BR37" i="19" a="1"/>
  <c r="BR37" i="19" s="1"/>
  <c r="BT37" i="19" s="1"/>
  <c r="AM23" i="19" a="1"/>
  <c r="AM23" i="19" s="1"/>
  <c r="AD42" i="5" a="1"/>
  <c r="AD42" i="5" s="1"/>
  <c r="X36" i="19" a="1"/>
  <c r="X36" i="19" s="1"/>
  <c r="N24" i="19" a="1"/>
  <c r="N24" i="19" s="1"/>
  <c r="BN15" i="6" a="1"/>
  <c r="BN15" i="6" s="1"/>
  <c r="BN24" i="6" a="1"/>
  <c r="BN24" i="6" s="1"/>
  <c r="Z44" i="7" a="1"/>
  <c r="Z44" i="7" s="1"/>
  <c r="BR17" i="7" a="1"/>
  <c r="BR17" i="7" s="1"/>
  <c r="BT17" i="7" s="1"/>
  <c r="BN29" i="7" a="1"/>
  <c r="BN29" i="7" s="1"/>
  <c r="U17" i="5" a="1"/>
  <c r="U17" i="5" s="1"/>
  <c r="AB10" i="6" a="1"/>
  <c r="AB10" i="6" s="1"/>
  <c r="BF26" i="6" a="1"/>
  <c r="BF26" i="6" s="1"/>
  <c r="BH26" i="6" s="1"/>
  <c r="AL29" i="19" a="1"/>
  <c r="AL29" i="19" s="1"/>
  <c r="S14" i="6" a="1"/>
  <c r="S14" i="6" s="1"/>
  <c r="W10" i="6" a="1"/>
  <c r="W10" i="6" s="1"/>
  <c r="Q36" i="5" a="1"/>
  <c r="Q36" i="5" s="1"/>
  <c r="AC30" i="5" a="1"/>
  <c r="AC30" i="5" s="1"/>
  <c r="AJ19" i="19" a="1"/>
  <c r="AJ19" i="19" s="1"/>
  <c r="AC24" i="6" a="1"/>
  <c r="AC24" i="6" s="1"/>
  <c r="BR46" i="19" a="1"/>
  <c r="BR46" i="19" s="1"/>
  <c r="BT46" i="19" s="1"/>
  <c r="V20" i="19" a="1"/>
  <c r="V20" i="19" s="1"/>
  <c r="Y12" i="19" a="1"/>
  <c r="Y12" i="19" s="1"/>
  <c r="P27" i="6" a="1"/>
  <c r="P27" i="6" s="1"/>
  <c r="AP26" i="7" a="1"/>
  <c r="AP26" i="7" s="1"/>
  <c r="BR12" i="5" a="1"/>
  <c r="BR12" i="5" s="1"/>
  <c r="BT12" i="5" s="1"/>
  <c r="AD36" i="19" a="1"/>
  <c r="AD36" i="19" s="1"/>
  <c r="AD14" i="7" a="1"/>
  <c r="AD14" i="7" s="1"/>
  <c r="AH19" i="19" a="1"/>
  <c r="AH19" i="19" s="1"/>
  <c r="Y16" i="5" a="1"/>
  <c r="Y16" i="5" s="1"/>
  <c r="AK22" i="7" a="1"/>
  <c r="AK22" i="7" s="1"/>
  <c r="BR32" i="7" a="1"/>
  <c r="BR32" i="7" s="1"/>
  <c r="BT32" i="7" s="1"/>
  <c r="BR15" i="19" a="1"/>
  <c r="BR15" i="19" s="1"/>
  <c r="BT15" i="19" s="1"/>
  <c r="AL24" i="19" a="1"/>
  <c r="AL24" i="19" s="1"/>
  <c r="Z18" i="7" a="1"/>
  <c r="Z18" i="7" s="1"/>
  <c r="AG23" i="5" a="1"/>
  <c r="AG23" i="5" s="1"/>
  <c r="AC16" i="19" a="1"/>
  <c r="AC16" i="19" s="1"/>
  <c r="AG9" i="6" a="1"/>
  <c r="AG9" i="6" s="1"/>
  <c r="AF19" i="6" a="1"/>
  <c r="AF19" i="6" s="1"/>
  <c r="BV34" i="5" a="1"/>
  <c r="BV34" i="5" s="1"/>
  <c r="AB22" i="5" a="1"/>
  <c r="AB22" i="5" s="1"/>
  <c r="AJ28" i="5" a="1"/>
  <c r="AJ28" i="5" s="1"/>
  <c r="AJ26" i="6" a="1"/>
  <c r="AJ26" i="6" s="1"/>
  <c r="AH42" i="19" a="1"/>
  <c r="AH42" i="19" s="1"/>
  <c r="BB26" i="6" a="1"/>
  <c r="BB26" i="6" s="1"/>
  <c r="BD26" i="6" s="1"/>
  <c r="BN33" i="7" a="1"/>
  <c r="BN33" i="7" s="1"/>
  <c r="BJ30" i="5" a="1"/>
  <c r="BJ30" i="5" s="1"/>
  <c r="AI9" i="6" a="1"/>
  <c r="AI9" i="6" s="1"/>
  <c r="BN9" i="6" a="1"/>
  <c r="BN9" i="6" s="1"/>
  <c r="Y47" i="19" a="1"/>
  <c r="Y47" i="19" s="1"/>
  <c r="AH27" i="6" a="1"/>
  <c r="AH27" i="6" s="1"/>
  <c r="AH18" i="19" a="1"/>
  <c r="AH18" i="19" s="1"/>
  <c r="BJ24" i="6" a="1"/>
  <c r="BJ24" i="6" s="1"/>
  <c r="BL24" i="6" s="1"/>
  <c r="Q20" i="19" a="1"/>
  <c r="Q20" i="19" s="1"/>
  <c r="AP17" i="5" a="1"/>
  <c r="AP17" i="5" s="1"/>
  <c r="AE22" i="6" a="1"/>
  <c r="AE22" i="6" s="1"/>
  <c r="AC18" i="19" a="1"/>
  <c r="AC18" i="19" s="1"/>
  <c r="AE25" i="19" a="1"/>
  <c r="AE25" i="19" s="1"/>
  <c r="T38" i="7" a="1"/>
  <c r="T38" i="7" s="1"/>
  <c r="AA37" i="19" a="1"/>
  <c r="AA37" i="19" s="1"/>
  <c r="AI44" i="7" a="1"/>
  <c r="AI44" i="7" s="1"/>
  <c r="BV14" i="6" a="1"/>
  <c r="BV14" i="6" s="1"/>
  <c r="AG46" i="19" a="1"/>
  <c r="AG46" i="19" s="1"/>
  <c r="Q23" i="6" a="1"/>
  <c r="Q23" i="6" s="1"/>
  <c r="AP30" i="7" a="1"/>
  <c r="AP30" i="7" s="1"/>
  <c r="N26" i="7" a="1"/>
  <c r="N26" i="7" s="1"/>
  <c r="AF24" i="6" a="1"/>
  <c r="AF24" i="6" s="1"/>
  <c r="AF18" i="6" a="1"/>
  <c r="AF18" i="6" s="1"/>
  <c r="U22" i="6" a="1"/>
  <c r="U22" i="6" s="1"/>
  <c r="AI9" i="5" a="1"/>
  <c r="AI9" i="5" s="1"/>
  <c r="BV23" i="6" a="1"/>
  <c r="BV23" i="6" s="1"/>
  <c r="T27" i="6" a="1"/>
  <c r="T27" i="6" s="1"/>
  <c r="BN25" i="19" a="1"/>
  <c r="BN25" i="19" s="1"/>
  <c r="BN27" i="6" a="1"/>
  <c r="BN27" i="6" s="1"/>
  <c r="BB24" i="6" a="1"/>
  <c r="BB24" i="6" s="1"/>
  <c r="BD24" i="6" s="1"/>
  <c r="AN18" i="6" a="1"/>
  <c r="AN18" i="6" s="1"/>
  <c r="AM13" i="6" a="1"/>
  <c r="AM13" i="6" s="1"/>
  <c r="Q42" i="7" a="1"/>
  <c r="Q42" i="7" s="1"/>
  <c r="M19" i="6" a="1"/>
  <c r="M19" i="6" s="1"/>
  <c r="O26" i="7" a="1"/>
  <c r="O26" i="7" s="1"/>
  <c r="BJ26" i="7" a="1"/>
  <c r="BJ26" i="7" s="1"/>
  <c r="BL26" i="7" s="1"/>
  <c r="AG33" i="7" a="1"/>
  <c r="AG33" i="7" s="1"/>
  <c r="AM17" i="5" a="1"/>
  <c r="AM17" i="5" s="1"/>
  <c r="V44" i="7" a="1"/>
  <c r="V44" i="7" s="1"/>
  <c r="BV38" i="7" a="1"/>
  <c r="BV38" i="7" s="1"/>
  <c r="AE34" i="5" a="1"/>
  <c r="AE34" i="5" s="1"/>
  <c r="R26" i="6" a="1"/>
  <c r="R26" i="6" s="1"/>
  <c r="T25" i="19" a="1"/>
  <c r="T25" i="19" s="1"/>
  <c r="S31" i="7" a="1"/>
  <c r="S31" i="7" s="1"/>
  <c r="AH32" i="7" a="1"/>
  <c r="AH32" i="7" s="1"/>
  <c r="U38" i="7" a="1"/>
  <c r="U38" i="7" s="1"/>
  <c r="AD33" i="7" a="1"/>
  <c r="AD33" i="7" s="1"/>
  <c r="P29" i="19" a="1"/>
  <c r="P29" i="19" s="1"/>
  <c r="AN16" i="19" a="1"/>
  <c r="AN16" i="19" s="1"/>
  <c r="P12" i="5" a="1"/>
  <c r="P12" i="5" s="1"/>
  <c r="S17" i="7" a="1"/>
  <c r="S17" i="7" s="1"/>
  <c r="AF13" i="6" a="1"/>
  <c r="AF13" i="6" s="1"/>
  <c r="BR19" i="6" a="1"/>
  <c r="BR19" i="6" s="1"/>
  <c r="BT19" i="6" s="1"/>
  <c r="AG23" i="6" a="1"/>
  <c r="AG23" i="6" s="1"/>
  <c r="O14" i="19" a="1"/>
  <c r="O14" i="19" s="1"/>
  <c r="BR29" i="19" a="1"/>
  <c r="BR29" i="19" s="1"/>
  <c r="BT29" i="19" s="1"/>
  <c r="AB24" i="19" a="1"/>
  <c r="AB24" i="19" s="1"/>
  <c r="BB23" i="5" a="1"/>
  <c r="BB23" i="5" s="1"/>
  <c r="BD23" i="5" s="1"/>
  <c r="BR24" i="5" a="1"/>
  <c r="BR24" i="5" s="1"/>
  <c r="BT24" i="5" s="1"/>
  <c r="BR22" i="5" a="1"/>
  <c r="BR22" i="5" s="1"/>
  <c r="BT22" i="5" s="1"/>
  <c r="AK25" i="6" a="1"/>
  <c r="AK25" i="6" s="1"/>
  <c r="AC22" i="6" a="1"/>
  <c r="AC22" i="6" s="1"/>
  <c r="AA30" i="19" a="1"/>
  <c r="AA30" i="19" s="1"/>
  <c r="BF25" i="5" a="1"/>
  <c r="BF25" i="5" s="1"/>
  <c r="BH25" i="5" s="1"/>
  <c r="M36" i="7" a="1"/>
  <c r="M36" i="7" s="1"/>
  <c r="AI18" i="7" a="1"/>
  <c r="AI18" i="7" s="1"/>
  <c r="AD13" i="6" a="1"/>
  <c r="AD13" i="6" s="1"/>
  <c r="BR23" i="19" a="1"/>
  <c r="BR23" i="19" s="1"/>
  <c r="BT23" i="19" s="1"/>
  <c r="W9" i="6" a="1"/>
  <c r="W9" i="6" s="1"/>
  <c r="AE13" i="19" a="1"/>
  <c r="AE13" i="19" s="1"/>
  <c r="AH14" i="19" a="1"/>
  <c r="AH14" i="19" s="1"/>
  <c r="X42" i="19" a="1"/>
  <c r="X42" i="19" s="1"/>
  <c r="AH25" i="19" a="1"/>
  <c r="AH25" i="19" s="1"/>
  <c r="AF34" i="5" a="1"/>
  <c r="AF34" i="5" s="1"/>
  <c r="Q10" i="7" a="1"/>
  <c r="Q10" i="7" s="1"/>
  <c r="W32" i="7" a="1"/>
  <c r="W32" i="7" s="1"/>
  <c r="AK27" i="6" a="1"/>
  <c r="AK27" i="6" s="1"/>
  <c r="AE29" i="5" a="1"/>
  <c r="AE29" i="5" s="1"/>
  <c r="AL13" i="6" a="1"/>
  <c r="AL13" i="6" s="1"/>
  <c r="BJ27" i="6" a="1"/>
  <c r="BJ27" i="6" s="1"/>
  <c r="BL27" i="6" s="1"/>
  <c r="AI26" i="6" a="1"/>
  <c r="AI26" i="6" s="1"/>
  <c r="U26" i="6" a="1"/>
  <c r="U26" i="6" s="1"/>
  <c r="BV44" i="5" a="1"/>
  <c r="BV44" i="5" s="1"/>
  <c r="AB25" i="19" a="1"/>
  <c r="AB25" i="19" s="1"/>
  <c r="R21" i="7" a="1"/>
  <c r="R21" i="7" s="1"/>
  <c r="P14" i="19" a="1"/>
  <c r="P14" i="19" s="1"/>
  <c r="N31" i="19" a="1"/>
  <c r="N31" i="19" s="1"/>
  <c r="V15" i="7" a="1"/>
  <c r="V15" i="7" s="1"/>
  <c r="BR24" i="6" a="1"/>
  <c r="BR24" i="6" s="1"/>
  <c r="BT24" i="6" s="1"/>
  <c r="AD17" i="5" a="1"/>
  <c r="AD17" i="5" s="1"/>
  <c r="W47" i="19" a="1"/>
  <c r="W47" i="19" s="1"/>
  <c r="BR30" i="7" a="1"/>
  <c r="BR30" i="7" s="1"/>
  <c r="BT30" i="7" s="1"/>
  <c r="BV13" i="19" a="1"/>
  <c r="BV13" i="19" s="1"/>
  <c r="BV17" i="5" a="1"/>
  <c r="BV17" i="5" s="1"/>
  <c r="R30" i="5" a="1"/>
  <c r="R30" i="5" s="1"/>
  <c r="AC31" i="5" a="1"/>
  <c r="AC31" i="5" s="1"/>
  <c r="X16" i="5" a="1"/>
  <c r="X16" i="5" s="1"/>
  <c r="BN23" i="6" a="1"/>
  <c r="BN23" i="6" s="1"/>
  <c r="AM23" i="6" a="1"/>
  <c r="AM23" i="6" s="1"/>
  <c r="BV15" i="19" a="1"/>
  <c r="BV15" i="19" s="1"/>
  <c r="Y13" i="5" a="1"/>
  <c r="Y13" i="5" s="1"/>
  <c r="BR16" i="19" a="1"/>
  <c r="BR16" i="19" s="1"/>
  <c r="BT16" i="19" s="1"/>
  <c r="BV19" i="6" a="1"/>
  <c r="BV19" i="6" s="1"/>
  <c r="AH24" i="6" a="1"/>
  <c r="AH24" i="6" s="1"/>
  <c r="BF27" i="6" a="1"/>
  <c r="BF27" i="6" s="1"/>
  <c r="BH27" i="6" s="1"/>
  <c r="AL16" i="5" a="1"/>
  <c r="AL16" i="5" s="1"/>
  <c r="AI21" i="5" a="1"/>
  <c r="AI21" i="5" s="1"/>
  <c r="AG36" i="7" a="1"/>
  <c r="AG36" i="7" s="1"/>
  <c r="BV35" i="7" a="1"/>
  <c r="BV35" i="7" s="1"/>
  <c r="AB43" i="19" a="1"/>
  <c r="AB43" i="19" s="1"/>
  <c r="R45" i="5" a="1"/>
  <c r="R45" i="5" s="1"/>
  <c r="AJ17" i="19" a="1"/>
  <c r="AJ17" i="19" s="1"/>
  <c r="O32" i="7" a="1"/>
  <c r="O32" i="7" s="1"/>
  <c r="T14" i="6" a="1"/>
  <c r="T14" i="6" s="1"/>
  <c r="W42" i="7" a="1"/>
  <c r="W42" i="7" s="1"/>
  <c r="AC25" i="7" a="1"/>
  <c r="AC25" i="7" s="1"/>
  <c r="BB11" i="7" a="1"/>
  <c r="BB11" i="7" s="1"/>
  <c r="BD11" i="7" s="1"/>
  <c r="T42" i="7" a="1"/>
  <c r="T42" i="7" s="1"/>
  <c r="X22" i="7" a="1"/>
  <c r="X22" i="7" s="1"/>
  <c r="AM37" i="7" a="1"/>
  <c r="AM37" i="7" s="1"/>
  <c r="AL27" i="6" a="1"/>
  <c r="AL27" i="6" s="1"/>
  <c r="BJ36" i="5" a="1"/>
  <c r="BJ36" i="5" s="1"/>
  <c r="BL36" i="5" s="1"/>
  <c r="BJ16" i="19" a="1"/>
  <c r="BJ16" i="19" s="1"/>
  <c r="BL16" i="19" s="1"/>
  <c r="P44" i="7" a="1"/>
  <c r="P44" i="7" s="1"/>
  <c r="BV11" i="7" a="1"/>
  <c r="BV11" i="7" s="1"/>
  <c r="W48" i="19" a="1"/>
  <c r="W48" i="19" s="1"/>
  <c r="BV23" i="19" a="1"/>
  <c r="BV23" i="19" s="1"/>
  <c r="AJ24" i="5" a="1"/>
  <c r="AJ24" i="5" s="1"/>
  <c r="AG13" i="6" a="1"/>
  <c r="AG13" i="6" s="1"/>
  <c r="M19" i="19" a="1"/>
  <c r="M19" i="19" s="1"/>
  <c r="AH15" i="19" a="1"/>
  <c r="AH15" i="19" s="1"/>
  <c r="T30" i="5" a="1"/>
  <c r="T30" i="5" s="1"/>
  <c r="T36" i="7" a="1"/>
  <c r="T36" i="7" s="1"/>
  <c r="V48" i="19" a="1"/>
  <c r="V48" i="19" s="1"/>
  <c r="AF9" i="6" a="1"/>
  <c r="AF9" i="6" s="1"/>
  <c r="X41" i="19" a="1"/>
  <c r="X41" i="19" s="1"/>
  <c r="AD24" i="19" a="1"/>
  <c r="AD24" i="19" s="1"/>
  <c r="R43" i="5" a="1"/>
  <c r="R43" i="5" s="1"/>
  <c r="AJ44" i="7" a="1"/>
  <c r="AJ44" i="7" s="1"/>
  <c r="BV12" i="5" a="1"/>
  <c r="BV12" i="5" s="1"/>
  <c r="AL23" i="19" a="1"/>
  <c r="AL23" i="19" s="1"/>
  <c r="AD17" i="19" a="1"/>
  <c r="AD17" i="19" s="1"/>
  <c r="BJ37" i="5" a="1"/>
  <c r="BJ37" i="5" s="1"/>
  <c r="BL37" i="5" s="1"/>
  <c r="P17" i="19" a="1"/>
  <c r="P17" i="19" s="1"/>
  <c r="BJ15" i="6" a="1"/>
  <c r="BJ15" i="6" s="1"/>
  <c r="BL15" i="6" s="1"/>
  <c r="AN18" i="19" a="1"/>
  <c r="AN18" i="19" s="1"/>
  <c r="U29" i="19" a="1"/>
  <c r="U29" i="19" s="1"/>
  <c r="W14" i="7" a="1"/>
  <c r="W14" i="7" s="1"/>
  <c r="O39" i="7" a="1"/>
  <c r="O39" i="7" s="1"/>
  <c r="BV43" i="19" a="1"/>
  <c r="BV43" i="19" s="1"/>
  <c r="AG24" i="19" a="1"/>
  <c r="AG24" i="19" s="1"/>
  <c r="BB48" i="19" a="1"/>
  <c r="BB48" i="19" s="1"/>
  <c r="BD48" i="19" s="1"/>
  <c r="R36" i="7" a="1"/>
  <c r="R36" i="7" s="1"/>
  <c r="S28" i="5" a="1"/>
  <c r="S28" i="5" s="1"/>
  <c r="AE14" i="6" a="1"/>
  <c r="AE14" i="6" s="1"/>
  <c r="X25" i="6" a="1"/>
  <c r="X25" i="6" s="1"/>
  <c r="AA46" i="19" a="1"/>
  <c r="AA46" i="19" s="1"/>
  <c r="S16" i="19" a="1"/>
  <c r="S16" i="19" s="1"/>
  <c r="AL22" i="6" a="1"/>
  <c r="AL22" i="6" s="1"/>
  <c r="AK9" i="6" a="1"/>
  <c r="AK9" i="6" s="1"/>
  <c r="R24" i="6" a="1"/>
  <c r="R24" i="6" s="1"/>
  <c r="BR17" i="5" a="1"/>
  <c r="BR17" i="5" s="1"/>
  <c r="BT17" i="5" s="1"/>
  <c r="W46" i="19" a="1"/>
  <c r="W46" i="19" s="1"/>
  <c r="AN13" i="6" a="1"/>
  <c r="AN13" i="6" s="1"/>
  <c r="AI15" i="6" a="1"/>
  <c r="AI15" i="6" s="1"/>
  <c r="AC10" i="6" a="1"/>
  <c r="AC10" i="6" s="1"/>
  <c r="BJ28" i="7" a="1"/>
  <c r="BJ28" i="7" s="1"/>
  <c r="BL28" i="7" s="1"/>
  <c r="Z13" i="19" a="1"/>
  <c r="Z13" i="19" s="1"/>
  <c r="W25" i="7" a="1"/>
  <c r="W25" i="7" s="1"/>
  <c r="BV25" i="19" a="1"/>
  <c r="BV25" i="19" s="1"/>
  <c r="X24" i="5" a="1"/>
  <c r="X24" i="5" s="1"/>
  <c r="N37" i="19" a="1"/>
  <c r="N37" i="19" s="1"/>
  <c r="AJ39" i="5" a="1"/>
  <c r="AJ39" i="5" s="1"/>
  <c r="T10" i="7" a="1"/>
  <c r="T10" i="7" s="1"/>
  <c r="O9" i="7" a="1"/>
  <c r="O9" i="7" s="1"/>
  <c r="M9" i="7" a="1"/>
  <c r="M9" i="7" s="1"/>
  <c r="S30" i="7" a="1"/>
  <c r="S30" i="7" s="1"/>
  <c r="R14" i="19" a="1"/>
  <c r="R14" i="19" s="1"/>
  <c r="AD16" i="7" a="1"/>
  <c r="AD16" i="7" s="1"/>
  <c r="AE35" i="7" a="1"/>
  <c r="AE35" i="7" s="1"/>
  <c r="AN19" i="6" a="1"/>
  <c r="AN19" i="6" s="1"/>
  <c r="BJ20" i="19" a="1"/>
  <c r="BJ20" i="19" s="1"/>
  <c r="BL20" i="19" s="1"/>
  <c r="AF16" i="7" a="1"/>
  <c r="AF16" i="7" s="1"/>
  <c r="V16" i="7" a="1"/>
  <c r="V16" i="7" s="1"/>
  <c r="BV17" i="7" a="1"/>
  <c r="BV17" i="7" s="1"/>
  <c r="AD41" i="19" a="1"/>
  <c r="AD41" i="19" s="1"/>
  <c r="R17" i="19" a="1"/>
  <c r="R17" i="19" s="1"/>
  <c r="AH9" i="7" a="1"/>
  <c r="AH9" i="7" s="1"/>
  <c r="AM17" i="7" a="1"/>
  <c r="AM17" i="7" s="1"/>
  <c r="S17" i="19" a="1"/>
  <c r="S17" i="19" s="1"/>
  <c r="AB13" i="5" a="1"/>
  <c r="AB13" i="5" s="1"/>
  <c r="BN26" i="6" a="1"/>
  <c r="BN26" i="6" s="1"/>
  <c r="AF37" i="7" a="1"/>
  <c r="AF37" i="7" s="1"/>
  <c r="BJ12" i="19" a="1"/>
  <c r="BJ12" i="19" s="1"/>
  <c r="BL12" i="19" s="1"/>
  <c r="BF34" i="7" a="1"/>
  <c r="BF34" i="7" s="1"/>
  <c r="BH34" i="7" s="1"/>
  <c r="AO32" i="7" a="1"/>
  <c r="AO32" i="7" s="1"/>
  <c r="BN36" i="19" a="1"/>
  <c r="BN36" i="19" s="1"/>
  <c r="BV27" i="7" a="1"/>
  <c r="BV27" i="7" s="1"/>
  <c r="AA23" i="6" a="1"/>
  <c r="AA23" i="6" s="1"/>
  <c r="BF18" i="7" a="1"/>
  <c r="BF18" i="7" s="1"/>
  <c r="BH18" i="7" s="1"/>
  <c r="BR47" i="19" a="1"/>
  <c r="BR47" i="19" s="1"/>
  <c r="BT47" i="19" s="1"/>
  <c r="Z29" i="7" a="1"/>
  <c r="Z29" i="7" s="1"/>
  <c r="Q21" i="7" a="1"/>
  <c r="Q21" i="7" s="1"/>
  <c r="AH9" i="5" a="1"/>
  <c r="AH9" i="5" s="1"/>
  <c r="AI13" i="5" a="1"/>
  <c r="AI13" i="5" s="1"/>
  <c r="T30" i="7" a="1"/>
  <c r="T30" i="7" s="1"/>
  <c r="AN25" i="19" a="1"/>
  <c r="AN25" i="19" s="1"/>
  <c r="BR14" i="6" a="1"/>
  <c r="BR14" i="6" s="1"/>
  <c r="BT14" i="6" s="1"/>
  <c r="AN9" i="6" a="1"/>
  <c r="AN9" i="6" s="1"/>
  <c r="BR26" i="6" a="1"/>
  <c r="BR26" i="6" s="1"/>
  <c r="BT26" i="6" s="1"/>
  <c r="AF18" i="19" a="1"/>
  <c r="AF18" i="19" s="1"/>
  <c r="N44" i="5" a="1"/>
  <c r="N44" i="5" s="1"/>
  <c r="BN19" i="6" a="1"/>
  <c r="BN19" i="6" s="1"/>
  <c r="AI13" i="6" a="1"/>
  <c r="AI13" i="6" s="1"/>
  <c r="AI27" i="6" a="1"/>
  <c r="AI27" i="6" s="1"/>
  <c r="Z24" i="6" a="1"/>
  <c r="Z24" i="6" s="1"/>
  <c r="T18" i="19" a="1"/>
  <c r="T18" i="19" s="1"/>
  <c r="AL24" i="6" a="1"/>
  <c r="AL24" i="6" s="1"/>
  <c r="AJ46" i="19" a="1"/>
  <c r="AJ46" i="19" s="1"/>
  <c r="Y31" i="19" a="1"/>
  <c r="Y31" i="19" s="1"/>
  <c r="BR44" i="7" a="1"/>
  <c r="BR44" i="7" s="1"/>
  <c r="BT44" i="7" s="1"/>
  <c r="AG22" i="6" a="1"/>
  <c r="AG22" i="6" s="1"/>
  <c r="Z10" i="5" a="1"/>
  <c r="Z10" i="5" s="1"/>
  <c r="Q35" i="19" a="1"/>
  <c r="Q35" i="19" s="1"/>
  <c r="AD25" i="6" a="1"/>
  <c r="AD25" i="6" s="1"/>
  <c r="BJ40" i="19" a="1"/>
  <c r="BJ40" i="19" s="1"/>
  <c r="BL40" i="19" s="1"/>
  <c r="X31" i="19" a="1"/>
  <c r="X31" i="19" s="1"/>
  <c r="BB9" i="6" a="1"/>
  <c r="BB9" i="6" s="1"/>
  <c r="BD9" i="6" s="1"/>
  <c r="AC26" i="19" a="1"/>
  <c r="AC26" i="19" s="1"/>
  <c r="BR39" i="7" a="1"/>
  <c r="BR39" i="7" s="1"/>
  <c r="BT39" i="7" s="1"/>
  <c r="AJ27" i="6" a="1"/>
  <c r="AJ27" i="6" s="1"/>
  <c r="BR35" i="19" a="1"/>
  <c r="BR35" i="19" s="1"/>
  <c r="BT35" i="19" s="1"/>
  <c r="X21" i="5" a="1"/>
  <c r="X21" i="5" s="1"/>
  <c r="AB23" i="5" a="1"/>
  <c r="AB23" i="5" s="1"/>
  <c r="BV47" i="19" a="1"/>
  <c r="BV47" i="19" s="1"/>
  <c r="W32" i="19" a="1"/>
  <c r="W32" i="19" s="1"/>
  <c r="BN18" i="6" a="1"/>
  <c r="BN18" i="6" s="1"/>
  <c r="BB15" i="6" a="1"/>
  <c r="BB15" i="6" s="1"/>
  <c r="BD15" i="6" s="1"/>
  <c r="V24" i="19" a="1"/>
  <c r="V24" i="19" s="1"/>
  <c r="AK21" i="7" a="1"/>
  <c r="AK21" i="7" s="1"/>
  <c r="AH19" i="6" a="1"/>
  <c r="AH19" i="6" s="1"/>
  <c r="AH26" i="6" a="1"/>
  <c r="AH26" i="6" s="1"/>
  <c r="O25" i="7" a="1"/>
  <c r="O25" i="7" s="1"/>
  <c r="AK48" i="19" a="1"/>
  <c r="AK48" i="19" s="1"/>
  <c r="AL34" i="7" a="1"/>
  <c r="AL34" i="7" s="1"/>
  <c r="U13" i="6" a="1"/>
  <c r="U13" i="6" s="1"/>
  <c r="T22" i="7" a="1"/>
  <c r="T22" i="7" s="1"/>
  <c r="N37" i="7" a="1"/>
  <c r="N37" i="7" s="1"/>
  <c r="Q24" i="6" a="1"/>
  <c r="Q24" i="6" s="1"/>
  <c r="T37" i="19" a="1"/>
  <c r="T37" i="19" s="1"/>
  <c r="AJ22" i="5" a="1"/>
  <c r="AJ22" i="5" s="1"/>
  <c r="AK43" i="19" a="1"/>
  <c r="AK43" i="19" s="1"/>
  <c r="M22" i="6" a="1"/>
  <c r="M22" i="6" s="1"/>
  <c r="AE21" i="5" a="1"/>
  <c r="AE21" i="5" s="1"/>
  <c r="AA36" i="7" a="1"/>
  <c r="AA36" i="7" s="1"/>
  <c r="W13" i="5" a="1"/>
  <c r="W13" i="5" s="1"/>
  <c r="AM15" i="7" a="1"/>
  <c r="AM15" i="7" s="1"/>
  <c r="AO39" i="7" a="1"/>
  <c r="AO39" i="7" s="1"/>
  <c r="BR36" i="19" a="1"/>
  <c r="BR36" i="19" s="1"/>
  <c r="BT36" i="19" s="1"/>
  <c r="M43" i="5" a="1"/>
  <c r="M43" i="5" s="1"/>
  <c r="AA48" i="19" a="1"/>
  <c r="AA48" i="19" s="1"/>
  <c r="AI31" i="7" a="1"/>
  <c r="AI31" i="7" s="1"/>
  <c r="P26" i="19" a="1"/>
  <c r="P26" i="19" s="1"/>
  <c r="P18" i="19" a="1"/>
  <c r="P18" i="19" s="1"/>
  <c r="AJ12" i="19" a="1"/>
  <c r="AJ12" i="19" s="1"/>
  <c r="BJ25" i="6" a="1"/>
  <c r="BJ25" i="6" s="1"/>
  <c r="BL25" i="6" s="1"/>
  <c r="AN18" i="5" a="1"/>
  <c r="AN18" i="5" s="1"/>
  <c r="AP33" i="7" a="1"/>
  <c r="AP33" i="7" s="1"/>
  <c r="Q19" i="6" a="1"/>
  <c r="Q19" i="6" s="1"/>
  <c r="BJ14" i="6" a="1"/>
  <c r="BJ14" i="6" s="1"/>
  <c r="BL14" i="6" s="1"/>
  <c r="AC43" i="19" a="1"/>
  <c r="AC43" i="19" s="1"/>
  <c r="Z36" i="5" a="1"/>
  <c r="Z36" i="5" s="1"/>
  <c r="P34" i="7" a="1"/>
  <c r="P34" i="7" s="1"/>
  <c r="M10" i="5" a="1"/>
  <c r="M10" i="5" s="1"/>
  <c r="AJ18" i="6" a="1"/>
  <c r="AJ18" i="6" s="1"/>
  <c r="U35" i="19" a="1"/>
  <c r="U35" i="19" s="1"/>
  <c r="AK10" i="6" a="1"/>
  <c r="AK10" i="6" s="1"/>
  <c r="BV13" i="6" a="1"/>
  <c r="BV13" i="6" s="1"/>
  <c r="AD30" i="7" a="1"/>
  <c r="AD30" i="7" s="1"/>
  <c r="AL21" i="5" a="1"/>
  <c r="AL21" i="5" s="1"/>
  <c r="N42" i="7" a="1"/>
  <c r="N42" i="7" s="1"/>
  <c r="AJ14" i="6" a="1"/>
  <c r="AJ14" i="6" s="1"/>
  <c r="V10" i="5" a="1"/>
  <c r="V10" i="5" s="1"/>
  <c r="AJ22" i="6" a="1"/>
  <c r="AJ22" i="6" s="1"/>
  <c r="BV22" i="6" a="1"/>
  <c r="BV22" i="6" s="1"/>
  <c r="U18" i="6" a="1"/>
  <c r="U18" i="6" s="1"/>
  <c r="AJ19" i="6" a="1"/>
  <c r="AJ19" i="6" s="1"/>
  <c r="O10" i="5" a="1"/>
  <c r="O10" i="5" s="1"/>
  <c r="P9" i="6" a="1"/>
  <c r="P9" i="6" s="1"/>
  <c r="AJ9" i="6" a="1"/>
  <c r="AJ9" i="6" s="1"/>
  <c r="AD23" i="6" a="1"/>
  <c r="AD23" i="6" s="1"/>
  <c r="AG16" i="19" a="1"/>
  <c r="AG16" i="19" s="1"/>
  <c r="BN13" i="6" a="1"/>
  <c r="BN13" i="6" s="1"/>
  <c r="BR25" i="19" a="1"/>
  <c r="BR25" i="19" s="1"/>
  <c r="BT25" i="19" s="1"/>
  <c r="AA25" i="19" a="1"/>
  <c r="AA25" i="19" s="1"/>
  <c r="Z28" i="7" a="1"/>
  <c r="Z28" i="7" s="1"/>
  <c r="AI26" i="7" a="1"/>
  <c r="AI26" i="7" s="1"/>
  <c r="AC16" i="5" a="1"/>
  <c r="AC16" i="5" s="1"/>
  <c r="BF15" i="6" a="1"/>
  <c r="BF15" i="6" s="1"/>
  <c r="BH15" i="6" s="1"/>
  <c r="AG15" i="19" a="1"/>
  <c r="AG15" i="19" s="1"/>
  <c r="T14" i="7" a="1"/>
  <c r="T14" i="7" s="1"/>
  <c r="P19" i="19" a="1"/>
  <c r="P19" i="19" s="1"/>
  <c r="Z14" i="19" a="1"/>
  <c r="Z14" i="19" s="1"/>
  <c r="AO27" i="7" a="1"/>
  <c r="AO27" i="7" s="1"/>
  <c r="AN25" i="7" a="1"/>
  <c r="AN25" i="7" s="1"/>
  <c r="R15" i="6" a="1"/>
  <c r="R15" i="6" s="1"/>
  <c r="Q36" i="19" a="1"/>
  <c r="Q36" i="19" s="1"/>
  <c r="BB13" i="6" a="1"/>
  <c r="BB13" i="6" s="1"/>
  <c r="BD13" i="6" s="1"/>
  <c r="BB27" i="6" a="1"/>
  <c r="BB27" i="6" s="1"/>
  <c r="BD27" i="6" s="1"/>
  <c r="AB37" i="19" a="1"/>
  <c r="AB37" i="19" s="1"/>
  <c r="AA23" i="19" a="1"/>
  <c r="AA23" i="19" s="1"/>
  <c r="AN14" i="19" a="1"/>
  <c r="AN14" i="19" s="1"/>
  <c r="BR26" i="7" a="1"/>
  <c r="BR26" i="7" s="1"/>
  <c r="BT26" i="7" s="1"/>
  <c r="AF35" i="19" a="1"/>
  <c r="AF35" i="19" s="1"/>
  <c r="AL18" i="19" a="1"/>
  <c r="AL18" i="19" s="1"/>
  <c r="AG19" i="6" a="1"/>
  <c r="AG19" i="6" s="1"/>
  <c r="BR22" i="6" a="1"/>
  <c r="BR22" i="6" s="1"/>
  <c r="BT22" i="6" s="1"/>
  <c r="AM18" i="6" a="1"/>
  <c r="AM18" i="6" s="1"/>
  <c r="BF14" i="6" a="1"/>
  <c r="BF14" i="6" s="1"/>
  <c r="BH14" i="6" s="1"/>
  <c r="BJ13" i="6" a="1"/>
  <c r="BJ13" i="6" s="1"/>
  <c r="BL13" i="6" s="1"/>
  <c r="AL26" i="6" a="1"/>
  <c r="AL26" i="6" s="1"/>
  <c r="AF15" i="6" a="1"/>
  <c r="AF15" i="6" s="1"/>
  <c r="Z43" i="7" a="1"/>
  <c r="Z43" i="7" s="1"/>
  <c r="AC14" i="6" a="1"/>
  <c r="AC14" i="6" s="1"/>
  <c r="AL9" i="7" a="1"/>
  <c r="AL9" i="7" s="1"/>
  <c r="BJ19" i="6" a="1"/>
  <c r="BJ19" i="6" s="1"/>
  <c r="BL19" i="6" s="1"/>
  <c r="AL14" i="6" a="1"/>
  <c r="AL14" i="6" s="1"/>
  <c r="BF9" i="6" a="1"/>
  <c r="BF9" i="6" s="1"/>
  <c r="BH9" i="6" s="1"/>
  <c r="AJ10" i="6" a="1"/>
  <c r="AJ10" i="6" s="1"/>
  <c r="AC9" i="19" a="1"/>
  <c r="AC9" i="19" s="1"/>
  <c r="AE10" i="6" a="1"/>
  <c r="AE10" i="6" s="1"/>
  <c r="AK14" i="6" a="1"/>
  <c r="AK14" i="6" s="1"/>
  <c r="BR18" i="6" a="1"/>
  <c r="BR18" i="6" s="1"/>
  <c r="BT18" i="6" s="1"/>
  <c r="AE19" i="6" a="1"/>
  <c r="AE19" i="6" s="1"/>
  <c r="X18" i="7" a="1"/>
  <c r="X18" i="7" s="1"/>
  <c r="U17" i="19" a="1"/>
  <c r="U17" i="19" s="1"/>
  <c r="AL23" i="6" a="1"/>
  <c r="AL23" i="6" s="1"/>
  <c r="AJ23" i="6" a="1"/>
  <c r="AJ23" i="6" s="1"/>
  <c r="AH15" i="6" a="1"/>
  <c r="AH15" i="6" s="1"/>
  <c r="BJ10" i="6" a="1"/>
  <c r="BJ10" i="6" s="1"/>
  <c r="BL10" i="6" s="1"/>
  <c r="AD15" i="6" a="1"/>
  <c r="AD15" i="6" s="1"/>
  <c r="AL25" i="6" a="1"/>
  <c r="AL25" i="6" s="1"/>
  <c r="AJ24" i="6" a="1"/>
  <c r="AJ24" i="6" s="1"/>
  <c r="BF18" i="6" a="1"/>
  <c r="BF18" i="6" s="1"/>
  <c r="BH18" i="6" s="1"/>
  <c r="AJ9" i="19" a="1"/>
  <c r="AJ9" i="19" s="1"/>
  <c r="BF13" i="6" a="1"/>
  <c r="BF13" i="6" s="1"/>
  <c r="BH13" i="6" s="1"/>
  <c r="BB25" i="6" a="1"/>
  <c r="BB25" i="6" s="1"/>
  <c r="BD25" i="6" s="1"/>
  <c r="AI25" i="6" a="1"/>
  <c r="AI25" i="6" s="1"/>
  <c r="BF35" i="19" a="1"/>
  <c r="BF35" i="19" s="1"/>
  <c r="BH35" i="19" s="1"/>
  <c r="BV27" i="6" a="1"/>
  <c r="BV27" i="6" s="1"/>
  <c r="U14" i="6" a="1"/>
  <c r="U14" i="6" s="1"/>
  <c r="AN15" i="6" a="1"/>
  <c r="AN15" i="6" s="1"/>
  <c r="AJ13" i="6" a="1"/>
  <c r="AJ13" i="6" s="1"/>
  <c r="AC9" i="6" a="1"/>
  <c r="AC9" i="6" s="1"/>
  <c r="AG14" i="6" a="1"/>
  <c r="AG14" i="6" s="1"/>
  <c r="BR43" i="7" a="1"/>
  <c r="BR43" i="7" s="1"/>
  <c r="BT43" i="7" s="1"/>
  <c r="BR11" i="5" a="1"/>
  <c r="BR11" i="5" s="1"/>
  <c r="BT11" i="5" s="1"/>
  <c r="BV43" i="5" a="1"/>
  <c r="BV43" i="5" s="1"/>
  <c r="X14" i="19" a="1"/>
  <c r="X14" i="19" s="1"/>
  <c r="AD10" i="6" a="1"/>
  <c r="AD10" i="6" s="1"/>
  <c r="AD27" i="6" a="1"/>
  <c r="AD27" i="6" s="1"/>
  <c r="AH9" i="19" a="1"/>
  <c r="AH9" i="19" s="1"/>
  <c r="AL15" i="6" a="1"/>
  <c r="AL15" i="6" s="1"/>
  <c r="BF22" i="6" a="1"/>
  <c r="BF22" i="6" s="1"/>
  <c r="BH22" i="6" s="1"/>
  <c r="AC19" i="6" a="1"/>
  <c r="AC19" i="6" s="1"/>
  <c r="AM26" i="6" a="1"/>
  <c r="AM26" i="6" s="1"/>
  <c r="Y26" i="7" a="1"/>
  <c r="Y26" i="7" s="1"/>
  <c r="P15" i="6" a="1"/>
  <c r="P15" i="6" s="1"/>
  <c r="AF27" i="6" a="1"/>
  <c r="AF27" i="6" s="1"/>
  <c r="BJ18" i="6" a="1"/>
  <c r="BJ18" i="6" s="1"/>
  <c r="BL18" i="6" s="1"/>
  <c r="BV10" i="7" a="1"/>
  <c r="BV10" i="7" s="1"/>
  <c r="BF24" i="6" a="1"/>
  <c r="BF24" i="6" s="1"/>
  <c r="BH24" i="6" s="1"/>
  <c r="AE15" i="6" a="1"/>
  <c r="AE15" i="6" s="1"/>
  <c r="BR13" i="6" a="1"/>
  <c r="BR13" i="6" s="1"/>
  <c r="BT13" i="6" s="1"/>
  <c r="S15" i="19" a="1"/>
  <c r="S15" i="19" s="1"/>
  <c r="AF25" i="6" a="1"/>
  <c r="AF25" i="6" s="1"/>
  <c r="BV14" i="5" a="1"/>
  <c r="BV14" i="5" s="1"/>
  <c r="AI22" i="6" a="1"/>
  <c r="AI22" i="6" s="1"/>
  <c r="BV29" i="5" a="1"/>
  <c r="BV29" i="5" s="1"/>
  <c r="BV15" i="6" a="1"/>
  <c r="BV15" i="6" s="1"/>
  <c r="BR30" i="5" a="1"/>
  <c r="BR30" i="5" s="1"/>
  <c r="BT30" i="5" s="1"/>
  <c r="AI9" i="19" a="1"/>
  <c r="AI9" i="19" s="1"/>
  <c r="BB14" i="6" a="1"/>
  <c r="BB14" i="6" s="1"/>
  <c r="BD14" i="6" s="1"/>
  <c r="AJ15" i="6" a="1"/>
  <c r="AJ15" i="6" s="1"/>
  <c r="AI24" i="6" a="1"/>
  <c r="AI24" i="6" s="1"/>
  <c r="BR44" i="5" a="1"/>
  <c r="BR44" i="5" s="1"/>
  <c r="BT44" i="5" s="1"/>
  <c r="AF42" i="19" a="1"/>
  <c r="AF42" i="19" s="1"/>
  <c r="AL40" i="19" a="1"/>
  <c r="AL40" i="19" s="1"/>
  <c r="AF14" i="6" a="1"/>
  <c r="AF14" i="6" s="1"/>
  <c r="AM22" i="6" a="1"/>
  <c r="AM22" i="6" s="1"/>
  <c r="AG26" i="6" a="1"/>
  <c r="AG26" i="6" s="1"/>
  <c r="AC15" i="6" a="1"/>
  <c r="AC15" i="6" s="1"/>
  <c r="AF10" i="6" a="1"/>
  <c r="AF10" i="6" s="1"/>
  <c r="BV24" i="6" a="1"/>
  <c r="BV24" i="6" s="1"/>
  <c r="AG10" i="6" a="1"/>
  <c r="AG10" i="6" s="1"/>
  <c r="AG27" i="6" a="1"/>
  <c r="AG27" i="6" s="1"/>
  <c r="AC23" i="6" a="1"/>
  <c r="AC23" i="6" s="1"/>
  <c r="AH9" i="6" a="1"/>
  <c r="AH9" i="6" s="1"/>
  <c r="BV18" i="6" a="1"/>
  <c r="BV18" i="6" s="1"/>
  <c r="P19" i="6" a="1"/>
  <c r="P19" i="6" s="1"/>
  <c r="AN25" i="6" a="1"/>
  <c r="AN25" i="6" s="1"/>
  <c r="BF10" i="6" a="1"/>
  <c r="BF10" i="6" s="1"/>
  <c r="BH10" i="6" s="1"/>
  <c r="N9" i="19" a="1"/>
  <c r="N9" i="19" s="1"/>
  <c r="AG25" i="6" a="1"/>
  <c r="AG25" i="6" s="1"/>
  <c r="AM14" i="6" a="1"/>
  <c r="AM14" i="6" s="1"/>
  <c r="BR27" i="6" a="1"/>
  <c r="BR27" i="6" s="1"/>
  <c r="BT27" i="6" s="1"/>
  <c r="T18" i="6" a="1"/>
  <c r="T18" i="6" s="1"/>
  <c r="AE25" i="6" a="1"/>
  <c r="AE25" i="6" s="1"/>
  <c r="BR10" i="7" a="1"/>
  <c r="BR10" i="7" s="1"/>
  <c r="BT10" i="7" s="1"/>
  <c r="BV18" i="5" a="1"/>
  <c r="BV18" i="5" s="1"/>
  <c r="BR48" i="19" a="1"/>
  <c r="BR48" i="19" s="1"/>
  <c r="BT48" i="19" s="1"/>
  <c r="BV14" i="7" a="1"/>
  <c r="BV14" i="7" s="1"/>
  <c r="BR16" i="5" a="1"/>
  <c r="BR16" i="5" s="1"/>
  <c r="BT16" i="5" s="1"/>
  <c r="BV16" i="7" a="1"/>
  <c r="BV16" i="7" s="1"/>
  <c r="BR25" i="6" a="1"/>
  <c r="BR25" i="6" s="1"/>
  <c r="BT25" i="6" s="1"/>
  <c r="BR10" i="6" a="1"/>
  <c r="BR10" i="6" s="1"/>
  <c r="BT10" i="6" s="1"/>
  <c r="BV15" i="7" a="1"/>
  <c r="BV15" i="7" s="1"/>
  <c r="BV25" i="6" a="1"/>
  <c r="BV25" i="6" s="1"/>
  <c r="BR23" i="6" a="1"/>
  <c r="BR23" i="6" s="1"/>
  <c r="BT23" i="6" s="1"/>
  <c r="BR14" i="5" a="1"/>
  <c r="BR14" i="5" s="1"/>
  <c r="BT14" i="5" s="1"/>
  <c r="BV16" i="5" a="1"/>
  <c r="BV16" i="5" s="1"/>
  <c r="BR16" i="7" a="1"/>
  <c r="BR16" i="7" s="1"/>
  <c r="BT16" i="7" s="1"/>
  <c r="AN22" i="6" a="1"/>
  <c r="AN22" i="6" s="1"/>
  <c r="BJ22" i="6" a="1"/>
  <c r="BJ22" i="6" s="1"/>
  <c r="BL22" i="6" s="1"/>
  <c r="BR43" i="5" a="1"/>
  <c r="BR43" i="5" s="1"/>
  <c r="BT43" i="5" s="1"/>
  <c r="BF25" i="6" a="1"/>
  <c r="BF25" i="6" s="1"/>
  <c r="BH25" i="6" s="1"/>
  <c r="BB19" i="6" a="1"/>
  <c r="BB19" i="6" s="1"/>
  <c r="BD19" i="6" s="1"/>
  <c r="BR14" i="7" a="1"/>
  <c r="BR14" i="7" s="1"/>
  <c r="BT14" i="7" s="1"/>
  <c r="BV18" i="7" a="1"/>
  <c r="BV18" i="7" s="1"/>
  <c r="BR18" i="7" a="1"/>
  <c r="BR18" i="7" s="1"/>
  <c r="BT18" i="7" s="1"/>
  <c r="AT6" i="6" l="1"/>
  <c r="AS27" i="6" a="1"/>
  <c r="AS27" i="6" s="1"/>
  <c r="AS26" i="6" a="1"/>
  <c r="AS26" i="6" s="1"/>
  <c r="AS10" i="6" a="1"/>
  <c r="AS10" i="6" s="1"/>
  <c r="AS25" i="6" a="1"/>
  <c r="AS25" i="6" s="1"/>
  <c r="AS9" i="6" a="1"/>
  <c r="AS9" i="6" s="1"/>
  <c r="AS24" i="6" a="1"/>
  <c r="AS24" i="6" s="1"/>
  <c r="AS15" i="6" a="1"/>
  <c r="AS15" i="6" s="1"/>
  <c r="AS23" i="6" a="1"/>
  <c r="AS23" i="6" s="1"/>
  <c r="AS14" i="6" a="1"/>
  <c r="AS14" i="6" s="1"/>
  <c r="AS22" i="6" a="1"/>
  <c r="AS22" i="6" s="1"/>
  <c r="AS13" i="6" a="1"/>
  <c r="AS13" i="6" s="1"/>
  <c r="AS18" i="6" a="1"/>
  <c r="AS18" i="6" s="1"/>
  <c r="AS19" i="6" a="1"/>
  <c r="AS19" i="6" s="1"/>
  <c r="AN53" i="9" a="1"/>
  <c r="AN53" i="9" s="1"/>
  <c r="AN49" i="9" a="1"/>
  <c r="AN49" i="9" s="1"/>
  <c r="AN42" i="9" a="1"/>
  <c r="AN42" i="9" s="1"/>
  <c r="AN30" i="9" a="1"/>
  <c r="AN30" i="9" s="1"/>
  <c r="AN29" i="9" a="1"/>
  <c r="AN29" i="9" s="1"/>
  <c r="AN25" i="9" a="1"/>
  <c r="AN25" i="9" s="1"/>
  <c r="AN24" i="9" a="1"/>
  <c r="AN24" i="9" s="1"/>
  <c r="AN23" i="9" a="1"/>
  <c r="AN23" i="9" s="1"/>
  <c r="AN46" i="9" a="1"/>
  <c r="AN46" i="9" s="1"/>
  <c r="AN51" i="9" a="1"/>
  <c r="AN51" i="9" s="1"/>
  <c r="AN44" i="9" a="1"/>
  <c r="AN44" i="9" s="1"/>
  <c r="AN50" i="9" a="1"/>
  <c r="AN50" i="9" s="1"/>
  <c r="AN43" i="9" a="1"/>
  <c r="AN43" i="9" s="1"/>
  <c r="AN31" i="9" a="1"/>
  <c r="AN31" i="9" s="1"/>
  <c r="AN9" i="9" a="1"/>
  <c r="AN9" i="9" s="1"/>
  <c r="AN52" i="9" a="1"/>
  <c r="AN52" i="9" s="1"/>
  <c r="AN45" i="9" a="1"/>
  <c r="AN45" i="9" s="1"/>
  <c r="AN18" i="9" a="1"/>
  <c r="AN18" i="9" s="1"/>
  <c r="AN17" i="9" a="1"/>
  <c r="AN17" i="9" s="1"/>
  <c r="AN16" i="9" a="1"/>
  <c r="AN16" i="9" s="1"/>
  <c r="AN15" i="9" a="1"/>
  <c r="AN15" i="9" s="1"/>
  <c r="AN14" i="9" a="1"/>
  <c r="AN14" i="9" s="1"/>
  <c r="AN13" i="9" a="1"/>
  <c r="AN13" i="9" s="1"/>
  <c r="AN12" i="9" a="1"/>
  <c r="AN12" i="9" s="1"/>
  <c r="AN11" i="9" a="1"/>
  <c r="AN11" i="9" s="1"/>
  <c r="AN10" i="9" a="1"/>
  <c r="AN10" i="9" s="1"/>
  <c r="AN39" i="9" a="1"/>
  <c r="AN39" i="9" s="1"/>
  <c r="AN38" i="9" a="1"/>
  <c r="AN38" i="9" s="1"/>
  <c r="AN35" i="9" a="1"/>
  <c r="AN35" i="9" s="1"/>
  <c r="AN34" i="9" a="1"/>
  <c r="AN34" i="9" s="1"/>
  <c r="AN36" i="9" a="1"/>
  <c r="AN36" i="9" s="1"/>
  <c r="AN37" i="9" a="1"/>
  <c r="AN37" i="9" s="1"/>
  <c r="AU6" i="6" l="1"/>
  <c r="AT18" i="6" a="1"/>
  <c r="AT18" i="6" s="1"/>
  <c r="AT27" i="6" a="1"/>
  <c r="AT27" i="6" s="1"/>
  <c r="AT26" i="6" a="1"/>
  <c r="AT26" i="6" s="1"/>
  <c r="AT10" i="6" a="1"/>
  <c r="AT10" i="6" s="1"/>
  <c r="AT25" i="6" a="1"/>
  <c r="AT25" i="6" s="1"/>
  <c r="AT9" i="6" a="1"/>
  <c r="AT9" i="6" s="1"/>
  <c r="AT24" i="6" a="1"/>
  <c r="AT24" i="6" s="1"/>
  <c r="AT15" i="6" a="1"/>
  <c r="AT15" i="6" s="1"/>
  <c r="AT19" i="6" a="1"/>
  <c r="AT19" i="6" s="1"/>
  <c r="AT23" i="6" a="1"/>
  <c r="AT23" i="6" s="1"/>
  <c r="AT14" i="6" a="1"/>
  <c r="AT14" i="6" s="1"/>
  <c r="AT22" i="6" a="1"/>
  <c r="AT22" i="6" s="1"/>
  <c r="AT13" i="6" a="1"/>
  <c r="AT13" i="6" s="1"/>
  <c r="AV6" i="6" l="1"/>
  <c r="AU19" i="6" a="1"/>
  <c r="AU19" i="6" s="1"/>
  <c r="AU18" i="6" a="1"/>
  <c r="AU18" i="6" s="1"/>
  <c r="AU27" i="6" a="1"/>
  <c r="AU27" i="6" s="1"/>
  <c r="AU22" i="6" a="1"/>
  <c r="AU22" i="6" s="1"/>
  <c r="AU26" i="6" a="1"/>
  <c r="AU26" i="6" s="1"/>
  <c r="AU10" i="6" a="1"/>
  <c r="AU10" i="6" s="1"/>
  <c r="AU25" i="6" a="1"/>
  <c r="AU25" i="6" s="1"/>
  <c r="AU9" i="6" a="1"/>
  <c r="AU9" i="6" s="1"/>
  <c r="AU24" i="6" a="1"/>
  <c r="AU24" i="6" s="1"/>
  <c r="AU15" i="6" a="1"/>
  <c r="AU15" i="6" s="1"/>
  <c r="AU23" i="6" a="1"/>
  <c r="AU23" i="6" s="1"/>
  <c r="AU14" i="6" a="1"/>
  <c r="AU14" i="6" s="1"/>
  <c r="AU13" i="6" a="1"/>
  <c r="AU13" i="6" s="1"/>
  <c r="AW6" i="6" l="1"/>
  <c r="AV23" i="6" a="1"/>
  <c r="AV23" i="6" s="1"/>
  <c r="AV13" i="6" a="1"/>
  <c r="AV13" i="6" s="1"/>
  <c r="AV22" i="6" a="1"/>
  <c r="AV22" i="6" s="1"/>
  <c r="AV14" i="6" a="1"/>
  <c r="AV14" i="6" s="1"/>
  <c r="AV19" i="6" a="1"/>
  <c r="AV19" i="6" s="1"/>
  <c r="AV18" i="6" a="1"/>
  <c r="AV18" i="6" s="1"/>
  <c r="AV27" i="6" a="1"/>
  <c r="AV27" i="6" s="1"/>
  <c r="AV10" i="6" a="1"/>
  <c r="AV10" i="6" s="1"/>
  <c r="AV24" i="6" a="1"/>
  <c r="AV24" i="6" s="1"/>
  <c r="AV26" i="6" a="1"/>
  <c r="AV26" i="6" s="1"/>
  <c r="AV9" i="6" a="1"/>
  <c r="AV9" i="6" s="1"/>
  <c r="AV25" i="6" a="1"/>
  <c r="AV25" i="6" s="1"/>
  <c r="AV15" i="6" a="1"/>
  <c r="AV15" i="6" s="1"/>
  <c r="AX6" i="6" l="1"/>
  <c r="AW24" i="6" a="1"/>
  <c r="AW24" i="6" s="1"/>
  <c r="AW15" i="6" a="1"/>
  <c r="AW15" i="6" s="1"/>
  <c r="AW25" i="6" a="1"/>
  <c r="AW25" i="6" s="1"/>
  <c r="AW9" i="6" a="1"/>
  <c r="AW9" i="6" s="1"/>
  <c r="AW23" i="6" a="1"/>
  <c r="AW23" i="6" s="1"/>
  <c r="AW14" i="6" a="1"/>
  <c r="AW14" i="6" s="1"/>
  <c r="AW22" i="6" a="1"/>
  <c r="AW22" i="6" s="1"/>
  <c r="AW13" i="6" a="1"/>
  <c r="AW13" i="6" s="1"/>
  <c r="AW19" i="6" a="1"/>
  <c r="AW19" i="6" s="1"/>
  <c r="AW18" i="6" a="1"/>
  <c r="AW18" i="6" s="1"/>
  <c r="AW27" i="6" a="1"/>
  <c r="AW27" i="6" s="1"/>
  <c r="AW26" i="6" a="1"/>
  <c r="AW26" i="6" s="1"/>
  <c r="AW10" i="6" a="1"/>
  <c r="AW10" i="6" s="1"/>
  <c r="AX25" i="6" l="1" a="1"/>
  <c r="AX25" i="6" s="1"/>
  <c r="AX9" i="6" a="1"/>
  <c r="AX9" i="6" s="1"/>
  <c r="AX24" i="6" a="1"/>
  <c r="AX24" i="6" s="1"/>
  <c r="AX15" i="6" a="1"/>
  <c r="AX15" i="6" s="1"/>
  <c r="AX26" i="6" a="1"/>
  <c r="AX26" i="6" s="1"/>
  <c r="AX10" i="6" a="1"/>
  <c r="AX10" i="6" s="1"/>
  <c r="AX23" i="6" a="1"/>
  <c r="AX23" i="6" s="1"/>
  <c r="AX14" i="6" a="1"/>
  <c r="AX14" i="6" s="1"/>
  <c r="AX22" i="6" a="1"/>
  <c r="AX22" i="6" s="1"/>
  <c r="AX13" i="6" a="1"/>
  <c r="AX13" i="6" s="1"/>
  <c r="AY6" i="6"/>
  <c r="AX19" i="6" a="1"/>
  <c r="AX19" i="6" s="1"/>
  <c r="AX18" i="6" a="1"/>
  <c r="AX18" i="6" s="1"/>
  <c r="AX27" i="6" a="1"/>
  <c r="AX27" i="6" s="1"/>
  <c r="AZ6" i="6" l="1"/>
  <c r="AY26" i="6" a="1"/>
  <c r="AY26" i="6" s="1"/>
  <c r="AY10" i="6" a="1"/>
  <c r="AY10" i="6" s="1"/>
  <c r="AY25" i="6" a="1"/>
  <c r="AY25" i="6" s="1"/>
  <c r="AY9" i="6" a="1"/>
  <c r="AY9" i="6" s="1"/>
  <c r="AY24" i="6" a="1"/>
  <c r="AY24" i="6" s="1"/>
  <c r="AY15" i="6" a="1"/>
  <c r="AY15" i="6" s="1"/>
  <c r="AY23" i="6" a="1"/>
  <c r="AY23" i="6" s="1"/>
  <c r="AY14" i="6" a="1"/>
  <c r="AY14" i="6" s="1"/>
  <c r="AY22" i="6" a="1"/>
  <c r="AY22" i="6" s="1"/>
  <c r="AY13" i="6" a="1"/>
  <c r="AY13" i="6" s="1"/>
  <c r="AY19" i="6" a="1"/>
  <c r="AY19" i="6" s="1"/>
  <c r="AY18" i="6" a="1"/>
  <c r="AY18" i="6" s="1"/>
  <c r="AY27" i="6" a="1"/>
  <c r="AY27" i="6" s="1"/>
  <c r="AZ18" i="6" l="1" a="1"/>
  <c r="AZ18" i="6" s="1"/>
  <c r="AZ27" i="6" a="1"/>
  <c r="AZ27" i="6" s="1"/>
  <c r="AZ10" i="6" a="1"/>
  <c r="AZ10" i="6" s="1"/>
  <c r="AZ19" i="6" a="1"/>
  <c r="AZ19" i="6" s="1"/>
  <c r="AZ26" i="6" a="1"/>
  <c r="AZ26" i="6" s="1"/>
  <c r="AZ9" i="6" a="1"/>
  <c r="AZ9" i="6" s="1"/>
  <c r="AZ25" i="6" a="1"/>
  <c r="AZ25" i="6" s="1"/>
  <c r="AZ15" i="6" a="1"/>
  <c r="AZ15" i="6" s="1"/>
  <c r="AZ24" i="6" a="1"/>
  <c r="AZ24" i="6" s="1"/>
  <c r="AZ14" i="6" a="1"/>
  <c r="AZ14" i="6" s="1"/>
  <c r="AZ23" i="6" a="1"/>
  <c r="AZ23" i="6" s="1"/>
  <c r="AZ13" i="6" a="1"/>
  <c r="AZ13" i="6" s="1"/>
  <c r="AZ22" i="6" a="1"/>
  <c r="AZ22"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tc={48EF4743-A336-4595-AD8F-506CEA6D45A3}</author>
  </authors>
  <commentList>
    <comment ref="Q26" authorId="0" shapeId="0" xr:uid="{48EF4743-A336-4595-AD8F-506CEA6D45A3}">
      <text>
        <t xml:space="preserve">[Threaded comment]
Your version of Excel allows you to read this threaded comment; however, any edits to it will get removed if the file is opened in a newer version of Excel. Learn more: https://go.microsoft.com/fwlink/?linkid=870924
Comment:
    VeARC Bonuses - ~29k for ~11 folks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tc={4008CE70-8462-47E3-A56E-2D356593171A}</author>
    <author>tc={01583C9E-2FFD-4902-B8AF-D582D91704C9}</author>
    <author>tc={C2CB24DD-BEEE-4660-9874-207449854A09}</author>
  </authors>
  <commentList>
    <comment ref="E13" authorId="0" shapeId="0" xr:uid="{4008CE70-8462-47E3-A56E-2D356593171A}">
      <text>
        <t>[Threaded comment]
Your version of Excel allows you to read this threaded comment; however, any edits to it will get removed if the file is opened in a newer version of Excel. Learn more: https://go.microsoft.com/fwlink/?linkid=870924
Comment:
    Mostly from the 261 event attendees</t>
      </text>
    </comment>
    <comment ref="B34" authorId="1" shapeId="0" xr:uid="{01583C9E-2FFD-4902-B8AF-D582D91704C9}">
      <text>
        <t xml:space="preserve">[Threaded comment]
Your version of Excel allows you to read this threaded comment; however, any edits to it will get removed if the file is opened in a newer version of Excel. Learn more: https://go.microsoft.com/fwlink/?linkid=870924
Comment:
    Avg age of opps in pipeline at EoP, by stages 
</t>
      </text>
    </comment>
    <comment ref="F46" authorId="2" shapeId="0" xr:uid="{C2CB24DD-BEEE-4660-9874-207449854A09}">
      <text>
        <t xml:space="preserve">[Threaded comment]
Your version of Excel allows you to read this threaded comment; however, any edits to it will get removed if the file is opened in a newer version of Excel. Learn more: https://go.microsoft.com/fwlink/?linkid=870924
Comment:
    Added BDR end of Feb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tc={FF8A2DCB-3269-44FC-9D6D-D3489D7CF087}</author>
    <author>tc={F17D7A9E-7B95-498C-8B7B-5DF12EDDA1B8}</author>
    <author>tc={512E9CB1-30BC-45F9-AE1F-7C767365CE01}</author>
    <author>tc={46EACEC7-1902-4823-BDB7-1261F7B1E0DB}</author>
    <author>tc={47593E5A-D0EE-4090-959B-BF1F89D9B9AB}</author>
    <author>tc={0E089A4D-9F70-4603-B088-C6E86309A6B1}</author>
  </authors>
  <commentList>
    <comment ref="F26" authorId="0" shapeId="0" xr:uid="{FF8A2DCB-3269-44FC-9D6D-D3489D7CF087}">
      <text>
        <t xml:space="preserve">[Threaded comment]
Your version of Excel allows you to read this threaded comment; however, any edits to it will get removed if the file is opened in a newer version of Excel. Learn more: https://go.microsoft.com/fwlink/?linkid=870924
Comment:
    No email campaign for Feb </t>
      </text>
    </comment>
    <comment ref="F29" authorId="1" shapeId="0" xr:uid="{F17D7A9E-7B95-498C-8B7B-5DF12EDDA1B8}">
      <text>
        <t xml:space="preserve">[Threaded comment]
Your version of Excel allows you to read this threaded comment; however, any edits to it will get removed if the file is opened in a newer version of Excel. Learn more: https://go.microsoft.com/fwlink/?linkid=870924
Comment:
    No email campaign for Feb </t>
      </text>
    </comment>
    <comment ref="F31" authorId="2" shapeId="0" xr:uid="{512E9CB1-30BC-45F9-AE1F-7C767365CE01}">
      <text>
        <t xml:space="preserve">[Threaded comment]
Your version of Excel allows you to read this threaded comment; however, any edits to it will get removed if the file is opened in a newer version of Excel. Learn more: https://go.microsoft.com/fwlink/?linkid=870924
Comment:
    No email campaign for Feb </t>
      </text>
    </comment>
    <comment ref="F34" authorId="3" shapeId="0" xr:uid="{46EACEC7-1902-4823-BDB7-1261F7B1E0DB}">
      <text>
        <t xml:space="preserve">[Threaded comment]
Your version of Excel allows you to read this threaded comment; however, any edits to it will get removed if the file is opened in a newer version of Excel. Learn more: https://go.microsoft.com/fwlink/?linkid=870924
Comment:
    No email campaign for Feb </t>
      </text>
    </comment>
    <comment ref="F36" authorId="4" shapeId="0" xr:uid="{47593E5A-D0EE-4090-959B-BF1F89D9B9AB}">
      <text>
        <t xml:space="preserve">[Threaded comment]
Your version of Excel allows you to read this threaded comment; however, any edits to it will get removed if the file is opened in a newer version of Excel. Learn more: https://go.microsoft.com/fwlink/?linkid=870924
Comment:
    No email campaign for Feb </t>
      </text>
    </comment>
    <comment ref="F39" authorId="5" shapeId="0" xr:uid="{0E089A4D-9F70-4603-B088-C6E86309A6B1}">
      <text>
        <t xml:space="preserve">[Threaded comment]
Your version of Excel allows you to read this threaded comment; however, any edits to it will get removed if the file is opened in a newer version of Excel. Learn more: https://go.microsoft.com/fwlink/?linkid=870924
Comment:
    No email campaign for Feb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tc={2A98265F-327D-400A-BA0F-146CE882DD14}</author>
    <author>tc={25DE1D9E-95F8-4ABF-B96B-B735306A3C84}</author>
    <author>Audra Ryan</author>
  </authors>
  <commentList>
    <comment ref="E13" authorId="0" shapeId="0" xr:uid="{2A98265F-327D-400A-BA0F-146CE882DD14}">
      <text>
        <t xml:space="preserve">[Threaded comment]
Your version of Excel allows you to read this threaded comment; however, any edits to it will get removed if the file is opened in a newer version of Excel. Learn more: https://go.microsoft.com/fwlink/?linkid=870924
Comment:
    Eagle Point for 40k, revenue loss with another existing client of 4k </t>
      </text>
    </comment>
    <comment ref="H13" authorId="1" shapeId="0" xr:uid="{25DE1D9E-95F8-4ABF-B96B-B735306A3C84}">
      <text>
        <t>[Threaded comment]
Your version of Excel allows you to read this threaded comment; however, any edits to it will get removed if the file is opened in a newer version of Excel. Learn more: https://go.microsoft.com/fwlink/?linkid=870924
Comment:
    Zype</t>
      </text>
    </comment>
    <comment ref="J13" authorId="2" shapeId="0" xr:uid="{02799E81-AF2F-4818-A6FE-A4E81CC5AF8D}">
      <text>
        <r>
          <rPr>
            <b/>
            <sz val="9"/>
            <color indexed="81"/>
            <rFont val="Tahoma"/>
            <family val="2"/>
          </rPr>
          <t>Audra Ryan:</t>
        </r>
        <r>
          <rPr>
            <sz val="9"/>
            <color indexed="81"/>
            <rFont val="Tahoma"/>
            <family val="2"/>
          </rPr>
          <t xml:space="preserve">
HL = 50K
Bardin Hill = 5K(downsell)</t>
        </r>
      </text>
    </comment>
    <comment ref="K13" authorId="2" shapeId="0" xr:uid="{0F760824-31F4-42DB-8540-D87E6789E427}">
      <text>
        <r>
          <rPr>
            <b/>
            <sz val="9"/>
            <color indexed="81"/>
            <rFont val="Tahoma"/>
            <family val="2"/>
          </rPr>
          <t>Audra Ryan:</t>
        </r>
        <r>
          <rPr>
            <sz val="9"/>
            <color indexed="81"/>
            <rFont val="Tahoma"/>
            <family val="2"/>
          </rPr>
          <t xml:space="preserve">
Bardin Hill 61K (56K as took 5K downsell last month)</t>
        </r>
      </text>
    </comment>
    <comment ref="E25" authorId="2" shapeId="0" xr:uid="{9535D954-28FB-40FF-AE27-6477B12F1B4D}">
      <text>
        <r>
          <rPr>
            <b/>
            <sz val="9"/>
            <color indexed="81"/>
            <rFont val="Tahoma"/>
            <family val="2"/>
          </rPr>
          <t>Audra Ryan:</t>
        </r>
        <r>
          <rPr>
            <sz val="9"/>
            <color indexed="81"/>
            <rFont val="Tahoma"/>
            <family val="2"/>
          </rPr>
          <t xml:space="preserve">
Renewed Contracts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Sami Petros</author>
    <author>Matthew Barbas</author>
    <author>Audra Ryan</author>
    <author>tc={8E2D7C3A-822F-7542-96EC-340BA658E0AC}</author>
    <author>tc={6138E90B-D30C-467B-A18E-6B29339BEEB3}</author>
    <author>tc={9A855AE0-BA1F-4FEB-ADE6-458B32172646}</author>
    <author>tc={EE1D99CF-4AE0-4D04-927C-64258FF97F36}</author>
  </authors>
  <commentList>
    <comment ref="G3" authorId="0" shapeId="0" xr:uid="{A5DAC87A-1172-4EB0-B1E4-57C2C0BFDB4C}">
      <text>
        <r>
          <rPr>
            <b/>
            <sz val="9"/>
            <color indexed="81"/>
            <rFont val="Tahoma"/>
            <family val="2"/>
          </rPr>
          <t>Sami Petros:</t>
        </r>
        <r>
          <rPr>
            <sz val="9"/>
            <color indexed="81"/>
            <rFont val="Tahoma"/>
            <family val="2"/>
          </rPr>
          <t xml:space="preserve">
Column to highlight the individual responsible for a particular metric</t>
        </r>
      </text>
    </comment>
    <comment ref="BF3" authorId="1" shapeId="0" xr:uid="{25DEA407-5130-480A-BE65-C236239E3830}">
      <text>
        <r>
          <rPr>
            <b/>
            <sz val="9"/>
            <color rgb="FF000000"/>
            <rFont val="Tahoma"/>
            <family val="2"/>
          </rPr>
          <t xml:space="preserve">M-&gt;Q
</t>
        </r>
        <r>
          <rPr>
            <sz val="9"/>
            <color rgb="FF000000"/>
            <rFont val="Tahoma"/>
            <family val="2"/>
          </rPr>
          <t xml:space="preserve">Monthly to Quarterly conversion is intended to select the way in which monthly metrics are converted into quarterly.
</t>
        </r>
        <r>
          <rPr>
            <sz val="9"/>
            <color rgb="FF000000"/>
            <rFont val="Tahoma"/>
            <family val="2"/>
          </rPr>
          <t xml:space="preserve">
</t>
        </r>
        <r>
          <rPr>
            <sz val="9"/>
            <color rgb="FF000000"/>
            <rFont val="Tahoma"/>
            <family val="2"/>
          </rPr>
          <t xml:space="preserve">Sum would be used for flow metrics (where you  measure amount that has occured between 2 points of time) like revenue
</t>
        </r>
        <r>
          <rPr>
            <sz val="9"/>
            <color rgb="FF000000"/>
            <rFont val="Tahoma"/>
            <family val="2"/>
          </rPr>
          <t xml:space="preserve">
</t>
        </r>
        <r>
          <rPr>
            <sz val="9"/>
            <color rgb="FF000000"/>
            <rFont val="Tahoma"/>
            <family val="2"/>
          </rPr>
          <t xml:space="preserve">EoP would be for stock metrics (that you take a count of at any point in time) like cash.
</t>
        </r>
        <r>
          <rPr>
            <sz val="9"/>
            <color rgb="FF000000"/>
            <rFont val="Tahoma"/>
            <family val="2"/>
          </rPr>
          <t xml:space="preserve">
</t>
        </r>
        <r>
          <rPr>
            <sz val="9"/>
            <color rgb="FF000000"/>
            <rFont val="Tahoma"/>
            <family val="2"/>
          </rPr>
          <t>Average would be used for rate metrics like gross margin. Ideally rate metrics would be linked to their sources as simple averages can sometimes distrort, but an average is often sufficiently close</t>
        </r>
      </text>
    </comment>
    <comment ref="H10" authorId="2" shapeId="0" xr:uid="{BFC1E981-2DE3-409F-8F90-0CA5089FA4C2}">
      <text>
        <r>
          <rPr>
            <b/>
            <sz val="9"/>
            <color indexed="81"/>
            <rFont val="Tahoma"/>
            <family val="2"/>
          </rPr>
          <t>Audra Ryan:</t>
        </r>
        <r>
          <rPr>
            <sz val="9"/>
            <color indexed="81"/>
            <rFont val="Tahoma"/>
            <family val="2"/>
          </rPr>
          <t xml:space="preserve">
We do not have a separate category - but will look to add that distinction in future</t>
        </r>
      </text>
    </comment>
    <comment ref="H12" authorId="2" shapeId="0" xr:uid="{2FDFA15E-07E3-43B6-8B42-D5745ABCD889}">
      <text>
        <r>
          <rPr>
            <b/>
            <sz val="9"/>
            <color indexed="81"/>
            <rFont val="Tahoma"/>
            <family val="2"/>
          </rPr>
          <t>Audra Ryan:</t>
        </r>
        <r>
          <rPr>
            <sz val="9"/>
            <color indexed="81"/>
            <rFont val="Tahoma"/>
            <family val="2"/>
          </rPr>
          <t xml:space="preserve">
Jack
Jason
Billy
George
Nathan
Molly
Criss</t>
        </r>
      </text>
    </comment>
    <comment ref="H13" authorId="2" shapeId="0" xr:uid="{D875D36C-61C2-461C-8739-ADD0F856222A}">
      <text>
        <r>
          <rPr>
            <b/>
            <sz val="9"/>
            <color indexed="81"/>
            <rFont val="Tahoma"/>
            <family val="2"/>
          </rPr>
          <t>Audra Ryan:</t>
        </r>
        <r>
          <rPr>
            <sz val="9"/>
            <color indexed="81"/>
            <rFont val="Tahoma"/>
            <family val="2"/>
          </rPr>
          <t xml:space="preserve">
Pradeepika
Chandra
Rohit</t>
        </r>
      </text>
    </comment>
    <comment ref="AQ17" authorId="3" shapeId="0" xr:uid="{8E2D7C3A-822F-7542-96EC-340BA658E0AC}">
      <text>
        <t>[Threaded comment]
Your version of Excel allows you to read this threaded comment; however, any edits to it will get removed if the file is opened in a newer version of Excel. Learn more: https://go.microsoft.com/fwlink/?linkid=870924
Comment:
    Did an MQL cleanup for opportunities; drop in numbers reflects more accurately how many were MQLs that we had contact with vs. potential</t>
      </text>
    </comment>
    <comment ref="H38" authorId="2" shapeId="0" xr:uid="{8C7F59BA-AEB3-4A47-AB45-9CFD3BEBD5D2}">
      <text>
        <r>
          <rPr>
            <b/>
            <sz val="9"/>
            <color indexed="81"/>
            <rFont val="Tahoma"/>
            <family val="2"/>
          </rPr>
          <t>Audra Ryan:</t>
        </r>
        <r>
          <rPr>
            <sz val="9"/>
            <color indexed="81"/>
            <rFont val="Tahoma"/>
            <family val="2"/>
          </rPr>
          <t xml:space="preserve">
Personnel + Marketing Expenses</t>
        </r>
      </text>
    </comment>
    <comment ref="I38" authorId="2" shapeId="0" xr:uid="{2F6D0AC7-05AD-4BA9-8D07-0BCB317AB812}">
      <text>
        <r>
          <rPr>
            <b/>
            <sz val="9"/>
            <color indexed="81"/>
            <rFont val="Tahoma"/>
            <family val="2"/>
          </rPr>
          <t>Audra Ryan:</t>
        </r>
        <r>
          <rPr>
            <sz val="9"/>
            <color indexed="81"/>
            <rFont val="Tahoma"/>
            <family val="2"/>
          </rPr>
          <t xml:space="preserve">
Personnel + Marketing Expenses</t>
        </r>
      </text>
    </comment>
    <comment ref="J38" authorId="2" shapeId="0" xr:uid="{C3A1322B-3021-4FA7-BE3E-F6EDC3B5036B}">
      <text>
        <r>
          <rPr>
            <b/>
            <sz val="9"/>
            <color indexed="81"/>
            <rFont val="Tahoma"/>
            <family val="2"/>
          </rPr>
          <t>Audra Ryan:</t>
        </r>
        <r>
          <rPr>
            <sz val="9"/>
            <color indexed="81"/>
            <rFont val="Tahoma"/>
            <family val="2"/>
          </rPr>
          <t xml:space="preserve">
Personnel + Marketing Expenses</t>
        </r>
      </text>
    </comment>
    <comment ref="K38" authorId="2" shapeId="0" xr:uid="{C23EA72F-A26D-4878-8CFD-68E9E04E8522}">
      <text>
        <r>
          <rPr>
            <b/>
            <sz val="9"/>
            <color indexed="81"/>
            <rFont val="Tahoma"/>
            <family val="2"/>
          </rPr>
          <t>Audra Ryan:</t>
        </r>
        <r>
          <rPr>
            <sz val="9"/>
            <color indexed="81"/>
            <rFont val="Tahoma"/>
            <family val="2"/>
          </rPr>
          <t xml:space="preserve">
Personnel + Marketing Expenses</t>
        </r>
      </text>
    </comment>
    <comment ref="L38" authorId="2" shapeId="0" xr:uid="{1DB53BE1-6956-4A80-BF4D-D4FC3AA82528}">
      <text>
        <r>
          <rPr>
            <b/>
            <sz val="9"/>
            <color indexed="81"/>
            <rFont val="Tahoma"/>
            <family val="2"/>
          </rPr>
          <t>Audra Ryan:</t>
        </r>
        <r>
          <rPr>
            <sz val="9"/>
            <color indexed="81"/>
            <rFont val="Tahoma"/>
            <family val="2"/>
          </rPr>
          <t xml:space="preserve">
Personnel + Marketing Expenses</t>
        </r>
      </text>
    </comment>
    <comment ref="M38" authorId="2" shapeId="0" xr:uid="{C1B3758B-550C-43BF-9BE6-ECAC296CA59E}">
      <text>
        <r>
          <rPr>
            <b/>
            <sz val="9"/>
            <color indexed="81"/>
            <rFont val="Tahoma"/>
            <family val="2"/>
          </rPr>
          <t>Audra Ryan:</t>
        </r>
        <r>
          <rPr>
            <sz val="9"/>
            <color indexed="81"/>
            <rFont val="Tahoma"/>
            <family val="2"/>
          </rPr>
          <t xml:space="preserve">
Personnel + Marketing Expenses</t>
        </r>
      </text>
    </comment>
    <comment ref="N38" authorId="2" shapeId="0" xr:uid="{DC9306F8-BD0D-4EBB-8486-4D4A89765FED}">
      <text>
        <r>
          <rPr>
            <b/>
            <sz val="9"/>
            <color indexed="81"/>
            <rFont val="Tahoma"/>
            <family val="2"/>
          </rPr>
          <t>Audra Ryan:</t>
        </r>
        <r>
          <rPr>
            <sz val="9"/>
            <color indexed="81"/>
            <rFont val="Tahoma"/>
            <family val="2"/>
          </rPr>
          <t xml:space="preserve">
Personnel + Marketing Expenses</t>
        </r>
      </text>
    </comment>
    <comment ref="O38" authorId="2" shapeId="0" xr:uid="{78AD878D-A9AC-4978-B3D3-E5A90524F795}">
      <text>
        <r>
          <rPr>
            <b/>
            <sz val="9"/>
            <color indexed="81"/>
            <rFont val="Tahoma"/>
            <family val="2"/>
          </rPr>
          <t>Audra Ryan:</t>
        </r>
        <r>
          <rPr>
            <sz val="9"/>
            <color indexed="81"/>
            <rFont val="Tahoma"/>
            <family val="2"/>
          </rPr>
          <t xml:space="preserve">
Personnel + Marketing Expenses</t>
        </r>
      </text>
    </comment>
    <comment ref="P38" authorId="2" shapeId="0" xr:uid="{2C46E1A0-66FA-4567-92DC-054EA9A7775C}">
      <text>
        <r>
          <rPr>
            <b/>
            <sz val="9"/>
            <color indexed="81"/>
            <rFont val="Tahoma"/>
            <family val="2"/>
          </rPr>
          <t>Audra Ryan:</t>
        </r>
        <r>
          <rPr>
            <sz val="9"/>
            <color indexed="81"/>
            <rFont val="Tahoma"/>
            <family val="2"/>
          </rPr>
          <t xml:space="preserve">
Personnel + Marketing Expenses</t>
        </r>
      </text>
    </comment>
    <comment ref="Q38" authorId="2" shapeId="0" xr:uid="{8C21580E-479C-41E4-A481-E634E4EF1262}">
      <text>
        <r>
          <rPr>
            <b/>
            <sz val="9"/>
            <color indexed="81"/>
            <rFont val="Tahoma"/>
            <family val="2"/>
          </rPr>
          <t>Audra Ryan:</t>
        </r>
        <r>
          <rPr>
            <sz val="9"/>
            <color indexed="81"/>
            <rFont val="Tahoma"/>
            <family val="2"/>
          </rPr>
          <t xml:space="preserve">
Personnel + Marketing Expenses</t>
        </r>
      </text>
    </comment>
    <comment ref="AF38" authorId="2" shapeId="0" xr:uid="{FB853A47-29C4-41D3-916E-2C2115CEE76B}">
      <text>
        <r>
          <rPr>
            <b/>
            <sz val="9"/>
            <color rgb="FF000000"/>
            <rFont val="Tahoma"/>
            <family val="2"/>
          </rPr>
          <t>Audra Ryan:</t>
        </r>
        <r>
          <rPr>
            <sz val="9"/>
            <color rgb="FF000000"/>
            <rFont val="Tahoma"/>
            <family val="2"/>
          </rPr>
          <t xml:space="preserve">
</t>
        </r>
        <r>
          <rPr>
            <sz val="9"/>
            <color rgb="FF000000"/>
            <rFont val="Tahoma"/>
            <family val="2"/>
          </rPr>
          <t>Personnel + Marketing Expenses</t>
        </r>
      </text>
    </comment>
    <comment ref="AG38" authorId="2" shapeId="0" xr:uid="{C3DD7B5A-5595-4322-B40B-8F3DD1FFE12C}">
      <text>
        <r>
          <rPr>
            <b/>
            <sz val="9"/>
            <color rgb="FF000000"/>
            <rFont val="Tahoma"/>
            <family val="2"/>
          </rPr>
          <t>Audra Ryan:</t>
        </r>
        <r>
          <rPr>
            <sz val="9"/>
            <color rgb="FF000000"/>
            <rFont val="Tahoma"/>
            <family val="2"/>
          </rPr>
          <t xml:space="preserve">
</t>
        </r>
        <r>
          <rPr>
            <sz val="9"/>
            <color rgb="FF000000"/>
            <rFont val="Tahoma"/>
            <family val="2"/>
          </rPr>
          <t>Personnel + Marketing Expenses</t>
        </r>
      </text>
    </comment>
    <comment ref="AH38" authorId="2" shapeId="0" xr:uid="{E2632DEB-D34D-4E29-A174-58D21435E4A8}">
      <text>
        <r>
          <rPr>
            <b/>
            <sz val="9"/>
            <color indexed="81"/>
            <rFont val="Tahoma"/>
            <family val="2"/>
          </rPr>
          <t>Audra Ryan:</t>
        </r>
        <r>
          <rPr>
            <sz val="9"/>
            <color indexed="81"/>
            <rFont val="Tahoma"/>
            <family val="2"/>
          </rPr>
          <t xml:space="preserve">
Personnel + Marketing Expenses</t>
        </r>
      </text>
    </comment>
    <comment ref="AI38" authorId="2" shapeId="0" xr:uid="{8FBDFAF0-265C-48DD-A2A1-002837313E2F}">
      <text>
        <r>
          <rPr>
            <b/>
            <sz val="9"/>
            <color rgb="FF000000"/>
            <rFont val="Tahoma"/>
            <family val="2"/>
          </rPr>
          <t>Audra Ryan:</t>
        </r>
        <r>
          <rPr>
            <sz val="9"/>
            <color rgb="FF000000"/>
            <rFont val="Tahoma"/>
            <family val="2"/>
          </rPr>
          <t xml:space="preserve">
</t>
        </r>
        <r>
          <rPr>
            <sz val="9"/>
            <color rgb="FF000000"/>
            <rFont val="Tahoma"/>
            <family val="2"/>
          </rPr>
          <t>Personnel + Marketing Expenses</t>
        </r>
      </text>
    </comment>
    <comment ref="AJ38" authorId="2" shapeId="0" xr:uid="{5FBFA5BB-A4A4-45EC-B2F3-DF3644FD8D94}">
      <text>
        <r>
          <rPr>
            <b/>
            <sz val="9"/>
            <color indexed="81"/>
            <rFont val="Tahoma"/>
            <family val="2"/>
          </rPr>
          <t>Audra Ryan:</t>
        </r>
        <r>
          <rPr>
            <sz val="9"/>
            <color indexed="81"/>
            <rFont val="Tahoma"/>
            <family val="2"/>
          </rPr>
          <t xml:space="preserve">
Personnel + Marketing Expenses</t>
        </r>
      </text>
    </comment>
    <comment ref="AK38" authorId="2" shapeId="0" xr:uid="{5F50EE7E-7CF1-4459-8F0A-96874416DE15}">
      <text>
        <r>
          <rPr>
            <b/>
            <sz val="9"/>
            <color indexed="81"/>
            <rFont val="Tahoma"/>
            <family val="2"/>
          </rPr>
          <t>Audra Ryan:</t>
        </r>
        <r>
          <rPr>
            <sz val="9"/>
            <color indexed="81"/>
            <rFont val="Tahoma"/>
            <family val="2"/>
          </rPr>
          <t xml:space="preserve">
Personnel + Marketing Expenses</t>
        </r>
      </text>
    </comment>
    <comment ref="AL38" authorId="2" shapeId="0" xr:uid="{CB7B2FA1-AFE4-4113-B5F8-FB3395D9F437}">
      <text>
        <r>
          <rPr>
            <b/>
            <sz val="9"/>
            <color indexed="81"/>
            <rFont val="Tahoma"/>
            <family val="2"/>
          </rPr>
          <t>Audra Ryan:</t>
        </r>
        <r>
          <rPr>
            <sz val="9"/>
            <color indexed="81"/>
            <rFont val="Tahoma"/>
            <family val="2"/>
          </rPr>
          <t xml:space="preserve">
Personnel + Marketing Expenses</t>
        </r>
      </text>
    </comment>
    <comment ref="AM38" authorId="2" shapeId="0" xr:uid="{7DDDD76B-87EB-4701-81A3-2E65C87E2311}">
      <text>
        <r>
          <rPr>
            <b/>
            <sz val="9"/>
            <color indexed="81"/>
            <rFont val="Tahoma"/>
            <family val="2"/>
          </rPr>
          <t>Audra Ryan:</t>
        </r>
        <r>
          <rPr>
            <sz val="9"/>
            <color indexed="81"/>
            <rFont val="Tahoma"/>
            <family val="2"/>
          </rPr>
          <t xml:space="preserve">
Personnel + Marketing Expenses</t>
        </r>
      </text>
    </comment>
    <comment ref="H41" authorId="4" shapeId="0" xr:uid="{6138E90B-D30C-467B-A18E-6B29339BEEB3}">
      <text>
        <t>[Threaded comment]
Your version of Excel allows you to read this threaded comment; however, any edits to it will get removed if the file is opened in a newer version of Excel. Learn more: https://go.microsoft.com/fwlink/?linkid=870924
Comment:
    Stage 2 or above</t>
      </text>
    </comment>
    <comment ref="M41" authorId="2" shapeId="0" xr:uid="{2C409662-7FE2-4AF3-94E4-882C8991D19F}">
      <text>
        <r>
          <rPr>
            <b/>
            <sz val="9"/>
            <color indexed="81"/>
            <rFont val="Tahoma"/>
            <family val="2"/>
          </rPr>
          <t>Audra Ryan:</t>
        </r>
        <r>
          <rPr>
            <sz val="9"/>
            <color indexed="81"/>
            <rFont val="Tahoma"/>
            <family val="2"/>
          </rPr>
          <t xml:space="preserve">
CPPIB moved from lead to Opp</t>
        </r>
      </text>
    </comment>
    <comment ref="H45" authorId="2" shapeId="0" xr:uid="{1A0B7663-C6CE-4D6B-926B-7D2F914C734C}">
      <text>
        <r>
          <rPr>
            <b/>
            <sz val="9"/>
            <color indexed="81"/>
            <rFont val="Tahoma"/>
            <family val="2"/>
          </rPr>
          <t>Audra Ryan:</t>
        </r>
        <r>
          <rPr>
            <sz val="9"/>
            <color indexed="81"/>
            <rFont val="Tahoma"/>
            <family val="2"/>
          </rPr>
          <t xml:space="preserve">
# of Deals or $ Value?
</t>
        </r>
        <r>
          <rPr>
            <b/>
            <sz val="9"/>
            <color indexed="81"/>
            <rFont val="Tahoma"/>
            <family val="2"/>
          </rPr>
          <t>SP:#</t>
        </r>
      </text>
    </comment>
    <comment ref="AI45" authorId="5" shapeId="0" xr:uid="{9A855AE0-BA1F-4FEB-ADE6-458B32172646}">
      <text>
        <t>[Threaded comment]
Your version of Excel allows you to read this threaded comment; however, any edits to it will get removed if the file is opened in a newer version of Excel. Learn more: https://go.microsoft.com/fwlink/?linkid=870924
Comment:
    Pantheon</t>
      </text>
    </comment>
    <comment ref="AJ45" authorId="2" shapeId="0" xr:uid="{4FD88738-6EAF-4C3D-BB7E-B1DEDE57882E}">
      <text>
        <r>
          <rPr>
            <b/>
            <sz val="9"/>
            <color indexed="81"/>
            <rFont val="Tahoma"/>
            <family val="2"/>
          </rPr>
          <t>Audra Ryan:</t>
        </r>
        <r>
          <rPr>
            <sz val="9"/>
            <color indexed="81"/>
            <rFont val="Tahoma"/>
            <family val="2"/>
          </rPr>
          <t xml:space="preserve">
Saba and Berkshire</t>
        </r>
      </text>
    </comment>
    <comment ref="AL45" authorId="2" shapeId="0" xr:uid="{B61BD823-7B7F-40A1-9046-B14E1ADD40BC}">
      <text>
        <r>
          <rPr>
            <b/>
            <sz val="9"/>
            <color indexed="81"/>
            <rFont val="Tahoma"/>
            <family val="2"/>
          </rPr>
          <t>Audra Ryan:</t>
        </r>
        <r>
          <rPr>
            <sz val="9"/>
            <color indexed="81"/>
            <rFont val="Tahoma"/>
            <family val="2"/>
          </rPr>
          <t xml:space="preserve">
BayPine
</t>
        </r>
      </text>
    </comment>
    <comment ref="L46" authorId="2" shapeId="0" xr:uid="{4D901FA4-FFB8-42B0-A689-B9EB1CC513EA}">
      <text>
        <r>
          <rPr>
            <b/>
            <sz val="9"/>
            <color indexed="81"/>
            <rFont val="Tahoma"/>
            <family val="2"/>
          </rPr>
          <t>Audra Ryan:</t>
        </r>
        <r>
          <rPr>
            <sz val="9"/>
            <color indexed="81"/>
            <rFont val="Tahoma"/>
            <family val="2"/>
          </rPr>
          <t xml:space="preserve">
Stage 2+ only</t>
        </r>
      </text>
    </comment>
    <comment ref="H48" authorId="2" shapeId="0" xr:uid="{C3C3681B-7235-4C7C-AA1D-9AA835234ED5}">
      <text>
        <r>
          <rPr>
            <b/>
            <sz val="9"/>
            <color indexed="81"/>
            <rFont val="Tahoma"/>
            <family val="2"/>
          </rPr>
          <t>Audra Ryan:</t>
        </r>
        <r>
          <rPr>
            <sz val="9"/>
            <color indexed="81"/>
            <rFont val="Tahoma"/>
            <family val="2"/>
          </rPr>
          <t xml:space="preserve">
Assuming this is average of WON
</t>
        </r>
        <r>
          <rPr>
            <b/>
            <sz val="9"/>
            <color indexed="81"/>
            <rFont val="Tahoma"/>
            <family val="2"/>
          </rPr>
          <t>SP: Correct</t>
        </r>
      </text>
    </comment>
    <comment ref="H49" authorId="6" shapeId="0" xr:uid="{EE1D99CF-4AE0-4D04-927C-64258FF97F36}">
      <text>
        <t xml:space="preserve">[Threaded comment]
Your version of Excel allows you to read this threaded comment; however, any edits to it will get removed if the file is opened in a newer version of Excel. Learn more: https://go.microsoft.com/fwlink/?linkid=870924
Comment:
    Weeks
</t>
      </text>
    </comment>
    <comment ref="I51" authorId="2" shapeId="0" xr:uid="{ECA80315-91C4-4AF0-A352-9AB67432212D}">
      <text>
        <r>
          <rPr>
            <b/>
            <sz val="9"/>
            <color indexed="81"/>
            <rFont val="Tahoma"/>
            <family val="2"/>
          </rPr>
          <t>Audra Ryan:</t>
        </r>
        <r>
          <rPr>
            <sz val="9"/>
            <color indexed="81"/>
            <rFont val="Tahoma"/>
            <family val="2"/>
          </rPr>
          <t xml:space="preserve">
Stage 3</t>
        </r>
      </text>
    </comment>
    <comment ref="I52" authorId="2" shapeId="0" xr:uid="{CDEE354D-15C7-494C-96E9-AD4F18EDF729}">
      <text>
        <r>
          <rPr>
            <b/>
            <sz val="9"/>
            <color indexed="81"/>
            <rFont val="Tahoma"/>
            <family val="2"/>
          </rPr>
          <t>Audra Ryan:</t>
        </r>
        <r>
          <rPr>
            <sz val="9"/>
            <color indexed="81"/>
            <rFont val="Tahoma"/>
            <family val="2"/>
          </rPr>
          <t xml:space="preserve">
Stage 4</t>
        </r>
      </text>
    </comment>
    <comment ref="J65" authorId="2" shapeId="0" xr:uid="{65A1DA32-11CF-4C7B-AB16-FE1907841B71}">
      <text>
        <r>
          <rPr>
            <b/>
            <sz val="9"/>
            <color indexed="81"/>
            <rFont val="Tahoma"/>
            <family val="2"/>
          </rPr>
          <t>Audra Ryan:</t>
        </r>
        <r>
          <rPr>
            <sz val="9"/>
            <color indexed="81"/>
            <rFont val="Tahoma"/>
            <family val="2"/>
          </rPr>
          <t xml:space="preserve">
Added:  Jenny Weng</t>
        </r>
      </text>
    </comment>
    <comment ref="AM113" authorId="2" shapeId="0" xr:uid="{E2F1FE0E-AE7F-47D8-8312-1B8600E0CD6D}">
      <text>
        <r>
          <rPr>
            <b/>
            <sz val="9"/>
            <color indexed="81"/>
            <rFont val="Tahoma"/>
            <family val="2"/>
          </rPr>
          <t>Audra Ryan:</t>
        </r>
        <r>
          <rPr>
            <sz val="9"/>
            <color indexed="81"/>
            <rFont val="Tahoma"/>
            <family val="2"/>
          </rPr>
          <t xml:space="preserve">
Egon Zehnder</t>
        </r>
      </text>
    </comment>
    <comment ref="H118" authorId="2" shapeId="0" xr:uid="{ECBA8467-63BB-4EBD-BF6B-1F6448A5274E}">
      <text>
        <r>
          <rPr>
            <b/>
            <sz val="9"/>
            <color indexed="81"/>
            <rFont val="Tahoma"/>
            <family val="2"/>
          </rPr>
          <t>Audra Ryan:</t>
        </r>
        <r>
          <rPr>
            <sz val="9"/>
            <color indexed="81"/>
            <rFont val="Tahoma"/>
            <family val="2"/>
          </rPr>
          <t xml:space="preserve">
Does not include interns</t>
        </r>
        <r>
          <rPr>
            <b/>
            <sz val="9"/>
            <color indexed="81"/>
            <rFont val="Tahoma"/>
            <family val="2"/>
          </rPr>
          <t xml:space="preserve">
SP: OK</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Matthew Barbas</author>
    <author>Audra Ryan</author>
  </authors>
  <commentList>
    <comment ref="AF3" authorId="0" shapeId="0" xr:uid="{0E33499A-8E23-4CB2-95E4-36BE30153849}">
      <text>
        <r>
          <rPr>
            <b/>
            <sz val="9"/>
            <color indexed="81"/>
            <rFont val="Tahoma"/>
            <family val="2"/>
          </rPr>
          <t xml:space="preserve">M-&gt;Q
</t>
        </r>
        <r>
          <rPr>
            <sz val="9"/>
            <color indexed="81"/>
            <rFont val="Tahoma"/>
            <family val="2"/>
          </rPr>
          <t>Monthly to Quarterly conversion is intended to select the way in which monthly metrics are converted into quarterly.
Sum would be used for flow metrics (where you  measure amount that has occured between 2 points of time) like revenue
EoP would be for stock metrics (that you take a count of at any point in time) like cash.
Average would be used for rate metrics like gross margin. Ideally rate metrics would be linked to their sources as simple averages can sometimes distrort, but an average is often sufficiently close</t>
        </r>
      </text>
    </comment>
    <comment ref="G5" authorId="1" shapeId="0" xr:uid="{4C98AE31-BF6B-411B-AE0D-5AD518E20EDF}">
      <text>
        <r>
          <rPr>
            <b/>
            <sz val="9"/>
            <color indexed="81"/>
            <rFont val="Tahoma"/>
            <family val="2"/>
          </rPr>
          <t>Audra Ryan:</t>
        </r>
        <r>
          <rPr>
            <sz val="9"/>
            <color indexed="81"/>
            <rFont val="Tahoma"/>
            <family val="2"/>
          </rPr>
          <t xml:space="preserve">
Flat assumption: 2.16 - 10 day sprints avg per month per squad</t>
        </r>
      </text>
    </comment>
    <comment ref="E40" authorId="1" shapeId="0" xr:uid="{6E68044B-75C6-45DB-AD29-5F326364FB31}">
      <text>
        <r>
          <rPr>
            <b/>
            <sz val="9"/>
            <color indexed="81"/>
            <rFont val="Tahoma"/>
            <family val="2"/>
          </rPr>
          <t>Audra Ryan:</t>
        </r>
        <r>
          <rPr>
            <sz val="9"/>
            <color indexed="81"/>
            <rFont val="Tahoma"/>
            <family val="2"/>
          </rPr>
          <t xml:space="preserve">
60% of ARR in budget</t>
        </r>
      </text>
    </comment>
    <comment ref="E45" authorId="1" shapeId="0" xr:uid="{50327C29-C3AD-4727-A073-165D6AB4F8AA}">
      <text>
        <r>
          <rPr>
            <b/>
            <sz val="9"/>
            <color indexed="81"/>
            <rFont val="Tahoma"/>
            <family val="2"/>
          </rPr>
          <t>Audra Ryan:</t>
        </r>
        <r>
          <rPr>
            <sz val="9"/>
            <color indexed="81"/>
            <rFont val="Tahoma"/>
            <family val="2"/>
          </rPr>
          <t xml:space="preserve">
60% of Budget</t>
        </r>
      </text>
    </comment>
    <comment ref="E48" authorId="1" shapeId="0" xr:uid="{79485535-E1FB-49CC-AF4B-64B610FBFEF4}">
      <text>
        <r>
          <rPr>
            <b/>
            <sz val="9"/>
            <color indexed="81"/>
            <rFont val="Tahoma"/>
            <family val="2"/>
          </rPr>
          <t>Audra Ryan:</t>
        </r>
        <r>
          <rPr>
            <sz val="9"/>
            <color indexed="81"/>
            <rFont val="Tahoma"/>
            <family val="2"/>
          </rPr>
          <t xml:space="preserve">
Total ARR divided by number of deals in Budget</t>
        </r>
      </text>
    </comment>
    <comment ref="G78" authorId="1" shapeId="0" xr:uid="{78A02703-2DF4-46FB-B241-7CE9F409611C}">
      <text>
        <r>
          <rPr>
            <b/>
            <sz val="9"/>
            <color indexed="81"/>
            <rFont val="Tahoma"/>
            <family val="2"/>
          </rPr>
          <t>Audra Ryan:</t>
        </r>
        <r>
          <rPr>
            <sz val="9"/>
            <color indexed="81"/>
            <rFont val="Tahoma"/>
            <family val="2"/>
          </rPr>
          <t xml:space="preserve">
Estimated 20 adds
 5 losses</t>
        </r>
      </text>
    </comment>
    <comment ref="I78" authorId="1" shapeId="0" xr:uid="{29DAC576-D2FD-4B74-ACC4-850039453169}">
      <text>
        <r>
          <rPr>
            <b/>
            <sz val="9"/>
            <color indexed="81"/>
            <rFont val="Tahoma"/>
            <family val="2"/>
          </rPr>
          <t>Audra Ryan:</t>
        </r>
        <r>
          <rPr>
            <sz val="9"/>
            <color indexed="81"/>
            <rFont val="Tahoma"/>
            <family val="2"/>
          </rPr>
          <t xml:space="preserve">
Add 5
Churn 1</t>
        </r>
      </text>
    </comment>
    <comment ref="K78" authorId="1" shapeId="0" xr:uid="{B2F9E684-1D8A-4D3A-A3BE-5A03100BFD05}">
      <text>
        <r>
          <rPr>
            <b/>
            <sz val="9"/>
            <color indexed="81"/>
            <rFont val="Tahoma"/>
            <family val="2"/>
          </rPr>
          <t>Audra Ryan:</t>
        </r>
        <r>
          <rPr>
            <sz val="9"/>
            <color indexed="81"/>
            <rFont val="Tahoma"/>
            <family val="2"/>
          </rPr>
          <t xml:space="preserve">
Churn 1</t>
        </r>
      </text>
    </comment>
    <comment ref="L78" authorId="1" shapeId="0" xr:uid="{47FB0151-BE94-4437-82C3-83CB903A141A}">
      <text>
        <r>
          <rPr>
            <b/>
            <sz val="9"/>
            <color indexed="81"/>
            <rFont val="Tahoma"/>
            <family val="2"/>
          </rPr>
          <t>Audra Ryan:</t>
        </r>
        <r>
          <rPr>
            <sz val="9"/>
            <color indexed="81"/>
            <rFont val="Tahoma"/>
            <family val="2"/>
          </rPr>
          <t xml:space="preserve">
Add 4</t>
        </r>
      </text>
    </comment>
    <comment ref="O78" authorId="1" shapeId="0" xr:uid="{18E88CE5-047B-4A2D-BF7D-BE958820672F}">
      <text>
        <r>
          <rPr>
            <b/>
            <sz val="9"/>
            <color indexed="81"/>
            <rFont val="Tahoma"/>
            <family val="2"/>
          </rPr>
          <t>Audra Ryan:</t>
        </r>
        <r>
          <rPr>
            <sz val="9"/>
            <color indexed="81"/>
            <rFont val="Tahoma"/>
            <family val="2"/>
          </rPr>
          <t xml:space="preserve">
Add 4</t>
        </r>
      </text>
    </comment>
    <comment ref="R78" authorId="1" shapeId="0" xr:uid="{8FBBF30E-5C03-4EA1-9CDC-9ED90F1486F4}">
      <text>
        <r>
          <rPr>
            <b/>
            <sz val="9"/>
            <color indexed="81"/>
            <rFont val="Tahoma"/>
            <family val="2"/>
          </rPr>
          <t>Audra Ryan:</t>
        </r>
        <r>
          <rPr>
            <sz val="9"/>
            <color indexed="81"/>
            <rFont val="Tahoma"/>
            <family val="2"/>
          </rPr>
          <t xml:space="preserve">
7 Adds
2 Losses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<sst xmlns="http://schemas.openxmlformats.org/spreadsheetml/2006/main" count="2119" uniqueCount="362">
  <si>
    <t>Executive Summary</t>
  </si>
  <si>
    <t>What Went Well</t>
  </si>
  <si>
    <t>What Did Not Go Well</t>
  </si>
  <si>
    <t>Focus Areas for next month</t>
  </si>
  <si>
    <t>Finance</t>
  </si>
  <si>
    <t xml:space="preserve">- Collections improved particularly in Feb after new proccess set up with New Logo Sales + CS
- Multiple 3 year deals signed, as well as other renewals
- Vinay joined the team in Dec and is coming up to speed </t>
  </si>
  <si>
    <t xml:space="preserve">- Signficant Churn in the month (known), with more in Feb
- Alpha Quest going out of business increased churn later in the year
- No budget, OKRs or bonuses set given Shane's departure
- Only $5k of new logo from one small PortCo </t>
  </si>
  <si>
    <t>- Finalizing Budget, OKRs, Comp Plans, BoD Deck
- Finishing onboarding of Carta / 409A valuation</t>
  </si>
  <si>
    <t>Product - Development</t>
  </si>
  <si>
    <t xml:space="preserve">* Client Portal (MVP) was rolled out to the Cohort 0 clients. The team did a great job of responding to beta testing feedback and resolving issues. Great cross-functional collaboration during customer-facing demos.
* Launched support for Navan Data Ingestion (Hotel) </t>
  </si>
  <si>
    <t>* Still plagued by Power BI reporting issues occurring due to configurations belonging to Jennifer W. that were not transitioned from her local machine.</t>
  </si>
  <si>
    <t xml:space="preserve">* Hotel Directory in Client Portal -- in progress
* Rategain Data Ingestion -- in progress
* Market Data Reporting and Notifications in Client Portal -- in progress
* Seat-based Cost Allocation -- in progress
* Market Data enhancements ready to be deployed -- (1) Fast availability of data hygiene reports to proactively audit, QC 360 and to prevent managed service breaches; (2) Incorporate automation of elementary QC checks for Managed Services to prevent further service breaches
* Team is switching to Agentic AI development methods. Expect shorter build cycles and more indepth product discovery. </t>
  </si>
  <si>
    <t>Product - D&amp;T</t>
  </si>
  <si>
    <t>-No missed renewals to clients, no breaches on Managed Services
-Product Roadmap finalized for H1
-Development plans in place for all team members
-Positioning statements and OKRs took significant steps forward
-Attended 16 client meetings</t>
  </si>
  <si>
    <t xml:space="preserve">-Many conversations about OKRs with little progress
-Ambiguity about value creation / metric tracking
-Quality of life issues with C360 impacting daily tasks
-Partnership conversations have mixed initial results at best
</t>
  </si>
  <si>
    <t>Finalizing 2025 bonuses, outlining 2026 bonus framework
Ensuring content from the Insights Factory is irresistible
Data cleanse launch
Salary &amp; title architecture</t>
  </si>
  <si>
    <t>Product - Travel</t>
  </si>
  <si>
    <t>- Hotel Directory progressing quickly, due in part to engineers exploring AI tools
- Internal alignment on ICP
- Agreement to share Nishant's capacity in IND with Insights Team</t>
  </si>
  <si>
    <t xml:space="preserve">- Slow hiring process to backfill in NY + IND leading to capacity constraints
- Positioning statement + collateral incomplete; creating material for pitches remains manual
- Reporting still manual and ad hoc
- Lack of KPIs </t>
  </si>
  <si>
    <t>- Transitioning Jen's work to rest of team (American deal, Avis deal, Reporting)
- Feedback and testing for hotel directory
- Hiring &amp; onboarding new SME
- Prioritizing key partnerships (TMCs, Navan, Concur)
- Onboard Nishant</t>
  </si>
  <si>
    <t>Sales &amp; Marketing</t>
  </si>
  <si>
    <t xml:space="preserve"> - PEI Conference (6+ referrals) / Video interview
 - Global Alts Miami (client visits + partner activation)
 - C-Suite Dinner (10 senior client stakeholders)
 - Sales distribution (CWAN/ IQ EQ)
- Veritas Enterprise PortCo / Brown Advisory / early GP prospects</t>
  </si>
  <si>
    <t xml:space="preserve"> - Jordan Lee last day 3/6
 - Positioning statement delivery - collateral delay
 - Pipeline cleanup/ pivot to refreshed ICP
 - Lack of client messaging regarding CEO tranition
</t>
  </si>
  <si>
    <t xml:space="preserve"> - Deal focus- Vertias &amp; Brown Advisory
 - Revamped collateral/ website/ explainer video 
 - March 12th Concertiv Sunset Series kick-off
 - March 16h IQ EQ joint diner / CWAN + IQ EQ activation
</t>
  </si>
  <si>
    <t>Customer Success</t>
  </si>
  <si>
    <t xml:space="preserve"> - Audax renewed for 3 years 5% increase y/y
 - Norwest renewed for 3 years CPI+5% increase y/y
 - AmSec Travel renewed $50k -&gt; $65k
 - Hamilton Lane in-person reset</t>
  </si>
  <si>
    <t xml:space="preserve"> - Lack of RevOps has caused data hygeine issues and slowed PowerBI updates
 - Fewer AA-joined client meetings between performance reviews, MDAs
 - Bonus delays + Shane exit
 </t>
  </si>
  <si>
    <t xml:space="preserve"> - Morale is so so. Focused on team engagement.
 - Quinbrook exec alignment as blueprint for roadshow</t>
  </si>
  <si>
    <t>[PortCo Name]</t>
  </si>
  <si>
    <t>[Month] [Year] Reporting Package</t>
  </si>
  <si>
    <t>Sprints / Special Projects</t>
  </si>
  <si>
    <t xml:space="preserve"> </t>
  </si>
  <si>
    <t>Product Development</t>
  </si>
  <si>
    <t>Monthly</t>
  </si>
  <si>
    <t>YTD vs. Budget</t>
  </si>
  <si>
    <t>Units</t>
  </si>
  <si>
    <t>Act</t>
  </si>
  <si>
    <t>Bgt.</t>
  </si>
  <si>
    <t>Diff.</t>
  </si>
  <si>
    <t>YTD</t>
  </si>
  <si>
    <t>LTM</t>
  </si>
  <si>
    <t>Q1</t>
  </si>
  <si>
    <t>Q2</t>
  </si>
  <si>
    <t>Q3</t>
  </si>
  <si>
    <t>Q4</t>
  </si>
  <si>
    <t>Squads</t>
  </si>
  <si>
    <t># of Squads</t>
  </si>
  <si>
    <t>EoP</t>
  </si>
  <si>
    <t># of Sprints</t>
  </si>
  <si>
    <t>In-period</t>
  </si>
  <si>
    <t>Production</t>
  </si>
  <si>
    <t>Story Points Committed</t>
  </si>
  <si>
    <t>Story Points Completed</t>
  </si>
  <si>
    <t>% Completed</t>
  </si>
  <si>
    <t>Story Point Breakout %</t>
  </si>
  <si>
    <t>Product</t>
  </si>
  <si>
    <t>Maintenance / Internal</t>
  </si>
  <si>
    <t>Efficiency</t>
  </si>
  <si>
    <t>Headcount (Total)</t>
  </si>
  <si>
    <t>Headcount - Squad - Onshore</t>
  </si>
  <si>
    <t>Headcount - Squad - Offshore</t>
  </si>
  <si>
    <t>Headcount - Non-Squad</t>
  </si>
  <si>
    <t>Avg. Personnel Cost per Squad</t>
  </si>
  <si>
    <t>Avg</t>
  </si>
  <si>
    <t>P&amp;T Overhead</t>
  </si>
  <si>
    <t>Sales</t>
  </si>
  <si>
    <t>Sales ARR ($)</t>
  </si>
  <si>
    <t>New Logo ARR ($)</t>
  </si>
  <si>
    <t>Pipeline Activity (in-period)</t>
  </si>
  <si>
    <t>Sales Generated Opps.</t>
  </si>
  <si>
    <t>Marketing Generated Opps.</t>
  </si>
  <si>
    <t>Referral Generated Opps.</t>
  </si>
  <si>
    <t>New Pipeline Opportunities</t>
  </si>
  <si>
    <t>Won</t>
  </si>
  <si>
    <t>Lost + Nurture</t>
  </si>
  <si>
    <t>Win rate: Total</t>
  </si>
  <si>
    <t>Avg ACV</t>
  </si>
  <si>
    <t>Avg Age of Opps Won in Period</t>
  </si>
  <si>
    <t>Pipeline Value (EoP) by Stage</t>
  </si>
  <si>
    <t>EoP Value - Early Stage</t>
  </si>
  <si>
    <t>EoP Value - Intermediate Stage</t>
  </si>
  <si>
    <t>EoP Value - Advanced Stage</t>
  </si>
  <si>
    <t>EoP Value - Total</t>
  </si>
  <si>
    <t>Pipeline Count (EoP) by Stage</t>
  </si>
  <si>
    <t>EoP Count - Early Stage</t>
  </si>
  <si>
    <t>EoP Count - Intermediate Stage</t>
  </si>
  <si>
    <t>EoP Count - Advanced Stage</t>
  </si>
  <si>
    <t>EoP Count - Total</t>
  </si>
  <si>
    <t>Pipeline Weeks by Stage</t>
  </si>
  <si>
    <t>Pipeline Weeks - Early</t>
  </si>
  <si>
    <t>Pipeline Weeks - Intermediate</t>
  </si>
  <si>
    <t>Pipeline Weeks - Advanced</t>
  </si>
  <si>
    <t>Lost + Nurtured by Stage</t>
  </si>
  <si>
    <t>Lost + Nutured - Early</t>
  </si>
  <si>
    <t>Lost + Nutured - Intermediate</t>
  </si>
  <si>
    <t>Lost + Nutured - Advanced</t>
  </si>
  <si>
    <t>Lost + Nutured - Total</t>
  </si>
  <si>
    <t>Headcount</t>
  </si>
  <si>
    <t>Sales expense</t>
  </si>
  <si>
    <t>L3M Avg</t>
  </si>
  <si>
    <t>Sales exp. per $1 ARR</t>
  </si>
  <si>
    <t>Notes</t>
  </si>
  <si>
    <t xml:space="preserve">(1) BDR-sourced opportunities are included with Marketing </t>
  </si>
  <si>
    <t>Marketing</t>
  </si>
  <si>
    <r>
      <t>New Leads Generated</t>
    </r>
    <r>
      <rPr>
        <b/>
        <vertAlign val="superscript"/>
        <sz val="10"/>
        <color theme="1"/>
        <rFont val="Arial"/>
        <family val="2"/>
      </rPr>
      <t>(1)</t>
    </r>
  </si>
  <si>
    <t>Marketing Qualified Leads</t>
  </si>
  <si>
    <t>(x) MQL to New Opp. Conversion %</t>
  </si>
  <si>
    <t>= Mktg sourced New Opportunities</t>
  </si>
  <si>
    <r>
      <t>Effectiveness</t>
    </r>
    <r>
      <rPr>
        <b/>
        <vertAlign val="superscript"/>
        <sz val="10"/>
        <color theme="1"/>
        <rFont val="Arial"/>
        <family val="2"/>
      </rPr>
      <t>(1)</t>
    </r>
  </si>
  <si>
    <t>Mktg sourced New Opportunities</t>
  </si>
  <si>
    <t>(x) Mktg sourced New Opp. ACV</t>
  </si>
  <si>
    <t>= Mktg sourced New Opp. Value</t>
  </si>
  <si>
    <t>(x) Expected Win Rate</t>
  </si>
  <si>
    <t>= Expected Revenue of New Opp.</t>
  </si>
  <si>
    <r>
      <t>Pipeline &amp; Revenue</t>
    </r>
    <r>
      <rPr>
        <b/>
        <vertAlign val="superscript"/>
        <sz val="10"/>
        <color theme="1"/>
        <rFont val="Arial"/>
        <family val="2"/>
      </rPr>
      <t>(1)</t>
    </r>
  </si>
  <si>
    <t>Mktg sourced pipeline, EoP</t>
  </si>
  <si>
    <t>Mktg sourced Won ARR</t>
  </si>
  <si>
    <t>Lead Generation (MQLs)</t>
  </si>
  <si>
    <t>Leads - Digital (Paid)</t>
  </si>
  <si>
    <t>Leads - Digital (Organic)</t>
  </si>
  <si>
    <t>Leads - Events / Conferences</t>
  </si>
  <si>
    <t>Leads - Outbound (BDR)</t>
  </si>
  <si>
    <t>Leads - Other</t>
  </si>
  <si>
    <t>Spend - Digital (Paid)</t>
  </si>
  <si>
    <t>Spend - Digital (Organic)</t>
  </si>
  <si>
    <t>Spend - Events / Conferences</t>
  </si>
  <si>
    <t>Spend - Outbound (BDR)</t>
  </si>
  <si>
    <t>Spend - Other</t>
  </si>
  <si>
    <t>$ / Lead - Digital (Paid)</t>
  </si>
  <si>
    <t>$ / Lead - Digital (Organic)</t>
  </si>
  <si>
    <t>$ / Lead - Events / Conferences</t>
  </si>
  <si>
    <t>$ / Lead - Outbound (BDR)</t>
  </si>
  <si>
    <t>$ / Lead - Other</t>
  </si>
  <si>
    <t>Mktg expense</t>
  </si>
  <si>
    <t>Mktg exp. per $1 ARR</t>
  </si>
  <si>
    <t>(1) BDR expense is included in Sales not Marketing department costs. BDR sourced opportunities and pipeline are included with Marketing efforts. A breakout is provided in Lead Generation</t>
  </si>
  <si>
    <t>QTD vs. Budget</t>
  </si>
  <si>
    <t>Last 4 Quarters</t>
  </si>
  <si>
    <t>L3M</t>
  </si>
  <si>
    <t>M-5</t>
  </si>
  <si>
    <t>M-4</t>
  </si>
  <si>
    <t>M-3</t>
  </si>
  <si>
    <t>M-2</t>
  </si>
  <si>
    <t>M-1</t>
  </si>
  <si>
    <t>M</t>
  </si>
  <si>
    <t>QTD</t>
  </si>
  <si>
    <t>Q1 22</t>
  </si>
  <si>
    <t>Q2 22</t>
  </si>
  <si>
    <t>Q3 22</t>
  </si>
  <si>
    <t>Q4 22</t>
  </si>
  <si>
    <t>FN terminology</t>
  </si>
  <si>
    <r>
      <t>Opportunities</t>
    </r>
    <r>
      <rPr>
        <b/>
        <vertAlign val="superscript"/>
        <sz val="10"/>
        <color theme="1"/>
        <rFont val="Arial"/>
        <family val="2"/>
      </rPr>
      <t>(1)</t>
    </r>
  </si>
  <si>
    <t>Opportunities from Sales</t>
  </si>
  <si>
    <t>Opportunities from Marketing</t>
  </si>
  <si>
    <t>Total New Opportunities</t>
  </si>
  <si>
    <t>Pipeline Activity</t>
  </si>
  <si>
    <t>Nurture</t>
  </si>
  <si>
    <t>Lost</t>
  </si>
  <si>
    <t>Win rate: HTH</t>
  </si>
  <si>
    <t>Weeks in pipe</t>
  </si>
  <si>
    <t>Pipeline Value</t>
  </si>
  <si>
    <t>Early</t>
  </si>
  <si>
    <t>Intermediate</t>
  </si>
  <si>
    <t>Advanced</t>
  </si>
  <si>
    <t>Total</t>
  </si>
  <si>
    <t>Pipeline Count</t>
  </si>
  <si>
    <t>Pipeline Weeks</t>
  </si>
  <si>
    <t>Customer Success ARR ($)</t>
  </si>
  <si>
    <t>Cross-sell</t>
  </si>
  <si>
    <t>Upsell</t>
  </si>
  <si>
    <t>Price</t>
  </si>
  <si>
    <t>Total Gross Growth</t>
  </si>
  <si>
    <t>(-) Churn</t>
  </si>
  <si>
    <t>Total Net Growth</t>
  </si>
  <si>
    <t xml:space="preserve">Gross Growth % </t>
  </si>
  <si>
    <t xml:space="preserve">Churn % </t>
  </si>
  <si>
    <t>NRR %</t>
  </si>
  <si>
    <t>Client Activity (#)</t>
  </si>
  <si>
    <t># of Clients</t>
  </si>
  <si>
    <t>Reference Clients</t>
  </si>
  <si>
    <t>Churned Clients</t>
  </si>
  <si>
    <t># Growth Clients (up/cross sold + price)</t>
  </si>
  <si>
    <t># Renewed Clients</t>
  </si>
  <si>
    <t>Renewals</t>
  </si>
  <si>
    <t xml:space="preserve">ARR up for Renewal </t>
  </si>
  <si>
    <t>% of Total</t>
  </si>
  <si>
    <t>Obtainment</t>
  </si>
  <si>
    <t>NRR on Renewal</t>
  </si>
  <si>
    <t>Estimated Client Satisfaction (# of Clients)</t>
  </si>
  <si>
    <t>Very Satisfied Clients (NPS 9-10)</t>
  </si>
  <si>
    <t>Satisfied Clients (NPS 7-8)</t>
  </si>
  <si>
    <t>Dissatisfied Clients (NPS 5-6)</t>
  </si>
  <si>
    <t>At-Risk Clients (NPS &lt;4)</t>
  </si>
  <si>
    <t>NPS Estimate</t>
  </si>
  <si>
    <t>C.S. Efficiency</t>
  </si>
  <si>
    <t>C.S. upsell / cross-sell ARR</t>
  </si>
  <si>
    <t>C.S. expense</t>
  </si>
  <si>
    <t>C.S. exp. per $1 ARR</t>
  </si>
  <si>
    <t>Onboarding</t>
  </si>
  <si>
    <t>In-Progress (BoP)</t>
  </si>
  <si>
    <t>BoP</t>
  </si>
  <si>
    <t>+ New in Period</t>
  </si>
  <si>
    <t>- Closed in Period</t>
  </si>
  <si>
    <t>In-Progress (EoP)</t>
  </si>
  <si>
    <t>Avg. Age of Ongoing Onboardings</t>
  </si>
  <si>
    <t>Onboarding Revenue</t>
  </si>
  <si>
    <t>Onboarding. Rev - Onboarding Costs</t>
  </si>
  <si>
    <t>Income Statement Items</t>
  </si>
  <si>
    <t>ARR</t>
  </si>
  <si>
    <t>Revenue</t>
  </si>
  <si>
    <t>(-) Service/Delivery (CoS/CoGS)</t>
  </si>
  <si>
    <t>(-) Product</t>
  </si>
  <si>
    <t>(-) Technology</t>
  </si>
  <si>
    <t>(-) Sales</t>
  </si>
  <si>
    <t>(-) Marketing</t>
  </si>
  <si>
    <t>(-) Customer Success</t>
  </si>
  <si>
    <t>(-) G&amp;A</t>
  </si>
  <si>
    <t>Adj. EBITDA</t>
  </si>
  <si>
    <t>Other (Severance, Legal, etc.)</t>
  </si>
  <si>
    <t>Balance Sheet Items</t>
  </si>
  <si>
    <t>Debt &amp; Debt-like Items</t>
  </si>
  <si>
    <t>(-) Cash</t>
  </si>
  <si>
    <t>Net Debt</t>
  </si>
  <si>
    <t>Other</t>
  </si>
  <si>
    <t>Employees</t>
  </si>
  <si>
    <t>VeArc</t>
  </si>
  <si>
    <t>3rd Party Providers</t>
  </si>
  <si>
    <t>Zero-Based Budgeting</t>
  </si>
  <si>
    <t>Rule of 200 (in Month)</t>
  </si>
  <si>
    <t>New Logo ARR Growth (annualized)</t>
  </si>
  <si>
    <t>NRR (annualized)</t>
  </si>
  <si>
    <t>Gross Margin</t>
  </si>
  <si>
    <t>EBITDA Margin</t>
  </si>
  <si>
    <t>Score</t>
  </si>
  <si>
    <t>Rule of 200 (YTD)</t>
  </si>
  <si>
    <t>New Logo ARR Growth (YTD)</t>
  </si>
  <si>
    <t>NRR (YTD)</t>
  </si>
  <si>
    <t>Gross Margin (YTD)</t>
  </si>
  <si>
    <t>EBITDA Margin (YTD)</t>
  </si>
  <si>
    <t>Score (YTD)</t>
  </si>
  <si>
    <t>Actuals</t>
  </si>
  <si>
    <t>Department</t>
  </si>
  <si>
    <t>Category</t>
  </si>
  <si>
    <t>ID</t>
  </si>
  <si>
    <t>Line Item</t>
  </si>
  <si>
    <t>Assignee</t>
  </si>
  <si>
    <t>M-&gt;Q</t>
  </si>
  <si>
    <t>#</t>
  </si>
  <si>
    <t>Engineering</t>
  </si>
  <si>
    <t>Average</t>
  </si>
  <si>
    <t>Sum</t>
  </si>
  <si>
    <t> </t>
  </si>
  <si>
    <t>%</t>
  </si>
  <si>
    <t>$</t>
  </si>
  <si>
    <t>New Leads Generated</t>
  </si>
  <si>
    <t>Effectiveness</t>
  </si>
  <si>
    <t>Pipeline &amp; Revenue</t>
  </si>
  <si>
    <t>Content Engagement by Channel</t>
  </si>
  <si>
    <t>ARR ($)</t>
  </si>
  <si>
    <t>CS</t>
  </si>
  <si>
    <t>Client Satisfaction (#)</t>
  </si>
  <si>
    <t>N/A</t>
  </si>
  <si>
    <t>Total Headcount</t>
  </si>
  <si>
    <t>Rule of 200</t>
  </si>
  <si>
    <t>Glossary</t>
  </si>
  <si>
    <t>Term</t>
  </si>
  <si>
    <t>Definition</t>
  </si>
  <si>
    <t># of story points that the team set out to the complete at the beginning of a sprint</t>
  </si>
  <si>
    <t>% of Story Points dedicated to developing product/features for customers</t>
  </si>
  <si>
    <t xml:space="preserve">% of Story Points dedicated to Maintained or development of Internal Tools </t>
  </si>
  <si>
    <t>Non-personnel Product and Technology expense</t>
  </si>
  <si>
    <t>Leads that were generated from the activities of the marketing organization</t>
  </si>
  <si>
    <t>MQLs that enter the sales pipeline by meeting stage 1 qualification criteria</t>
  </si>
  <si>
    <t>Mktg sourced New Opp. ACV</t>
  </si>
  <si>
    <t>The Average Contract Value of MQLs that became New Opportunities</t>
  </si>
  <si>
    <t>The $ value of pipeline opportunities that were sourced through marketing activities (EoP)</t>
  </si>
  <si>
    <t xml:space="preserve">ARR value of won opportunities (in the period) that were sourced through marketing activities </t>
  </si>
  <si>
    <t xml:space="preserve">Opportunities in the sales funnel that originated through customer referrals </t>
  </si>
  <si>
    <t>Opportunities that left the sales funnel do to either moving to the 1) Lost or 2) Nature stage</t>
  </si>
  <si>
    <t># of weeks that opportunities won (in the period) sat in the pipeline</t>
  </si>
  <si>
    <t>The notional value of all opportunities in the pipeline by stage (as of EoP)</t>
  </si>
  <si>
    <t>The # of opportunities in the pipeline by stage (as of EoP)</t>
  </si>
  <si>
    <t>The Avg. # of weeks that opportunities have been sitting in the pipeline by stage (as of EoP)</t>
  </si>
  <si>
    <t>At which stage opportunities left the pipeline (either to lose or nature state; within the period)</t>
  </si>
  <si>
    <t>New ARR obtainment (in the month) as a % of the ending ARR for the year prior, multiplied by 12</t>
  </si>
  <si>
    <t>Lost ARR (in the month) as a % of the ending ARR for the year prior, multiplied by 12</t>
  </si>
  <si>
    <t>NRR % (Net Retained Revenue)</t>
  </si>
  <si>
    <t>ARR from existing customers as a % of ARR from the same customers in prior year</t>
  </si>
  <si>
    <t>Number of clients for which ARR was expanded in the period through cross/upsell or price</t>
  </si>
  <si>
    <t># of client renewals within the period</t>
  </si>
  <si>
    <t>Avg # of weeks that in-progress onboardings have been underway</t>
  </si>
  <si>
    <t>Revenue in the period from onboarding services charged to customer</t>
  </si>
  <si>
    <t>The above less the cost of the onboarding department for the same period</t>
  </si>
  <si>
    <t>Below the line or one-time expenses that might be excluded from EBITDA</t>
  </si>
  <si>
    <t>Annualized ARR Growth + NRR + GM and EBITDA margin for period; target is 200+</t>
  </si>
  <si>
    <t>Budget</t>
  </si>
  <si>
    <t>Lead Generation</t>
  </si>
  <si>
    <t>Pipeline Weeks - Total</t>
  </si>
  <si>
    <t>PortCo Name</t>
  </si>
  <si>
    <t>Concertiv</t>
  </si>
  <si>
    <t>Report Month</t>
  </si>
  <si>
    <t>December 2023</t>
  </si>
  <si>
    <t>2023 ARR</t>
  </si>
  <si>
    <t>Schedule of ARR Renewal</t>
  </si>
  <si>
    <t xml:space="preserve">ARR Renewal </t>
  </si>
  <si>
    <t>Up for Renewal</t>
  </si>
  <si>
    <t>Budget @ 120%</t>
  </si>
  <si>
    <t>NRR</t>
  </si>
  <si>
    <t>December 2025</t>
  </si>
  <si>
    <t>2024 ARR</t>
  </si>
  <si>
    <t xml:space="preserve">Client ARR Renewal </t>
  </si>
  <si>
    <t>Company</t>
  </si>
  <si>
    <t>Date</t>
  </si>
  <si>
    <t>New logo sales</t>
  </si>
  <si>
    <t>Trailing 3 mo</t>
  </si>
  <si>
    <t>Q-4</t>
  </si>
  <si>
    <t>Q-3</t>
  </si>
  <si>
    <t>Q-2</t>
  </si>
  <si>
    <t>Q-1</t>
  </si>
  <si>
    <t>Y-1</t>
  </si>
  <si>
    <t>Y0</t>
  </si>
  <si>
    <t>Q0</t>
  </si>
  <si>
    <t xml:space="preserve">
New ARR</t>
  </si>
  <si>
    <t>-</t>
  </si>
  <si>
    <t>New opportunity
potential</t>
  </si>
  <si>
    <t>Actual</t>
  </si>
  <si>
    <t>Existing pipeline potential</t>
  </si>
  <si>
    <t>YTD ARR sales</t>
  </si>
  <si>
    <t>% of OKR attained</t>
  </si>
  <si>
    <t>Pipeline</t>
  </si>
  <si>
    <t xml:space="preserve">
Change</t>
  </si>
  <si>
    <t>New</t>
  </si>
  <si>
    <t>New opportunity potential -- LTM new opportunities, win rate, ACV, adjusted for remaining time in year to work through sales cycle</t>
  </si>
  <si>
    <t>Pipeline potential -- active pipeline and LTM win rate</t>
  </si>
  <si>
    <t>YTD -- ARR won YTD</t>
  </si>
  <si>
    <t xml:space="preserve">
Stage</t>
  </si>
  <si>
    <t xml:space="preserve">
Value
($M)</t>
  </si>
  <si>
    <t>End-of-period</t>
  </si>
  <si>
    <t xml:space="preserve">
Number</t>
  </si>
  <si>
    <t xml:space="preserve">
Weeks</t>
  </si>
  <si>
    <t xml:space="preserve">
Efficiency</t>
  </si>
  <si>
    <t>S&amp;M expense</t>
  </si>
  <si>
    <t>Trailing 1Q avg.</t>
  </si>
  <si>
    <t>S&amp;M exp. per $1 rev.</t>
  </si>
  <si>
    <t>CAC payback (months)</t>
  </si>
  <si>
    <t>Won ARR</t>
  </si>
  <si>
    <t>New Count</t>
  </si>
  <si>
    <t>Nurture Count</t>
  </si>
  <si>
    <t>Lost Count</t>
  </si>
  <si>
    <t>Won Count</t>
  </si>
  <si>
    <t>Won Avg Weeks in Pipe</t>
  </si>
  <si>
    <t>Active ARR</t>
  </si>
  <si>
    <t>Early ARR</t>
  </si>
  <si>
    <t>Intermediate ARR</t>
  </si>
  <si>
    <t>Advanced ARR</t>
  </si>
  <si>
    <t>Early Count</t>
  </si>
  <si>
    <t>Intermediate Count</t>
  </si>
  <si>
    <t>Advanced Count</t>
  </si>
  <si>
    <t>Early Avg Weeks in Pipe</t>
  </si>
  <si>
    <t>Intermediate Avg Weeks in Pipe</t>
  </si>
  <si>
    <t>Advanced Avg Weeks in Pipe</t>
  </si>
  <si>
    <t>Total Active Weeks in Pipe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</si>
</sst>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quot;k&quot;;\(&quot;$&quot;#,##0&quot;k&quot;\);&quot; -&quot;"/>
    <numFmt numFmtId="165" formatCode="0%;\(0%\);&quot; -&quot;"/>
    <numFmt numFmtId="166" formatCode="#,##0_);\(#,##0\);&quot; -&quot;"/>
    <numFmt numFmtId="167" formatCode="&quot;$&quot;#,##0.0&quot;M&quot;;\(&quot;$&quot;#,##0.0&quot;M&quot;\);&quot; -&quot;"/>
    <numFmt numFmtId="168" formatCode="&quot;$&quot;#,##0.00_);\(&quot;$&quot;#,##0.00\);&quot; -&quot;"/>
    <numFmt numFmtId="169" formatCode="0&quot;E&quot;"/>
    <numFmt numFmtId="170" formatCode="&quot;&quot;;&quot;&quot;;&quot;&quot;"/>
    <numFmt numFmtId="171" formatCode="[$-409]mmm\-yy;@"/>
    <numFmt numFmtId="172" formatCode="&quot;Q&quot;0"/>
    <numFmt numFmtId="173" formatCode="0.0;\(0.0\);\-"/>
    <numFmt numFmtId="174" formatCode="0;\(0\);\-"/>
    <numFmt numFmtId="175" formatCode="0%;\(0%\);&quot;-&quot;"/>
    <numFmt numFmtId="176" formatCode="#,##0.0;\(#,##0.0\);\-"/>
    <numFmt numFmtId="177" formatCode="#,##0;\(#,##0\);\-"/>
    <numFmt numFmtId="178" formatCode="#,##0.00;\(#,##0.00\);\-"/>
    <numFmt numFmtId="179" formatCode="0.0%"/>
    <numFmt numFmtId="180" formatCode="&quot;$&quot;#,##0_);[Red]\(&quot;$&quot;#,##0\);&quot;-&quot;"/>
    <numFmt numFmtId="181" formatCode="&quot;$&quot;#,##0_);\(&quot;$&quot;#,##0\);&quot; -&quot;"/>
    <numFmt numFmtId="182" formatCode="&quot;$&quot;#,##0_);\(&quot;$&quot;#,##0\);&quot;-&quot;"/>
    <numFmt numFmtId="183" formatCode="0.0"/>
    <numFmt numFmtId="184" formatCode="_(&quot;$&quot;* #,##0_);_(&quot;$&quot;* \(#,##0\);_(&quot;$&quot;* &quot;-&quot;??_);_(@_)"/>
    <numFmt numFmtId="185" formatCode="_(* #,##0_);_(* \(#,##0\);_(* &quot;-&quot;??_);_(@_)"/>
    <numFmt numFmtId="186" formatCode="&quot;$&quot;#,##0_);[Red]\(&quot;$&quot;#,##0\);\-;"/>
    <numFmt numFmtId="187" formatCode="0.0%;\(0.0%\);&quot;-&quot;"/>
    <numFmt numFmtId="188" formatCode="#,##0_);\(#,##0\);\-"/>
    <numFmt numFmtId="189" formatCode="&quot;$&quot;#,##0_);&quot;$&quot;\(#,##0\);\-"/>
    <numFmt numFmtId="190" formatCode="&quot;$&quot;#,##0.0_);\(&quot;$&quot;#,##0.0\);&quot;-&quot;"/>
    <numFmt numFmtId="191" formatCode="&quot;$&quot;#,##0.00_);\(&quot;$&quot;#,##0.00\);&quot;-&quot;"/>
    <numFmt numFmtId="192" formatCode="&quot;$&quot;#,##0.00_);[Red]\(&quot;$&quot;#,##0.00\);&quot;-&quot;"/>
    <numFmt numFmtId="193" formatCode="_(* #,##0.0_);_(* \(#,##0.0\);_(* &quot;-&quot;??_);_(@_)"/>
    <numFmt numFmtId="194" formatCode="0.000%"/>
    <numFmt numFmtId="195" formatCode="[$-409]mmmm;@"/>
  </numFmts>
  <fonts count="46">
    <font>
      <sz val="11"/>
      <color theme="1"/>
      <name val="Calibri"/>
      <family val="2"/>
      <scheme val="minor"/>
    </font>
    <font>
      <sz val="11"/>
      <color theme="0"/>
      <name val="Arial"/>
      <family val="2"/>
    </font>
    <font>
      <sz val="11"/>
      <color theme="1"/>
      <name val="Arial"/>
      <family val="2"/>
    </font>
    <font>
      <sz val="11"/>
      <name val="Arial"/>
      <family val="2"/>
    </font>
    <font>
      <sz val="11"/>
      <color theme="0" tint="-0.249977111117893"/>
      <name val="Arial"/>
      <family val="2"/>
    </font>
    <font>
      <sz val="10"/>
      <color theme="1"/>
      <name val="Arial"/>
      <family val="2"/>
    </font>
    <font>
      <b/>
      <sz val="11"/>
      <color rgb="FF512D6D"/>
      <name val="Arial"/>
      <family val="2"/>
    </font>
    <font>
      <sz val="11"/>
      <color rgb="FF006600"/>
      <name val="Arial"/>
      <family val="2"/>
    </font>
    <font>
      <u/>
      <sz val="11"/>
      <color rgb="FFC00000"/>
      <name val="Arial"/>
      <family val="2"/>
    </font>
    <font>
      <b/>
      <sz val="11"/>
      <color theme="0"/>
      <name val="Arial"/>
      <family val="2"/>
    </font>
    <font>
      <i/>
      <sz val="11"/>
      <color theme="0" tint="-0.499984740745262"/>
      <name val="Arial"/>
      <family val="2"/>
    </font>
    <font>
      <sz val="11"/>
      <color theme="0" tint="-0.14999847407452621"/>
      <name val="Arial"/>
      <family val="2"/>
    </font>
    <font>
      <i/>
      <u/>
      <sz val="11"/>
      <color theme="1" tint="0.34998626667073579"/>
      <name val="Arial"/>
      <family val="2"/>
    </font>
    <font>
      <sz val="10"/>
      <color theme="0"/>
      <name val="Arial"/>
      <family val="2"/>
    </font>
    <font>
      <sz val="10"/>
      <color theme="1"/>
      <name val="Arial"/>
      <family val="2"/>
    </font>
    <font>
      <i/>
      <sz val="10"/>
      <color theme="1"/>
      <name val="Arial"/>
      <family val="2"/>
    </font>
    <font>
      <b/>
      <sz val="10"/>
      <color theme="1"/>
      <name val="Arial"/>
      <family val="2"/>
    </font>
    <font>
      <sz val="16"/>
      <name val="Arial"/>
      <family val="2"/>
    </font>
    <font>
      <sz val="6"/>
      <color theme="1"/>
      <name val="Arial"/>
      <family val="2"/>
    </font>
    <font>
      <sz val="6"/>
      <name val="Arial"/>
      <family val="2"/>
    </font>
    <font>
      <i/>
      <sz val="6"/>
      <color theme="0" tint="-0.249977111117893"/>
      <name val="Arial"/>
      <family val="2"/>
    </font>
    <font>
      <b/>
      <sz val="6"/>
      <color theme="1"/>
      <name val="Arial"/>
      <family val="2"/>
    </font>
    <font>
      <i/>
      <sz val="6"/>
      <color theme="1"/>
      <name val="Arial"/>
      <family val="2"/>
    </font>
    <font>
      <b/>
      <vertAlign val="superscript"/>
      <sz val="10"/>
      <color theme="1"/>
      <name val="Arial"/>
      <family val="2"/>
    </font>
    <font>
      <sz val="11"/>
      <color theme="1"/>
      <name val="Calibri"/>
      <family val="2"/>
      <scheme val="minor"/>
    </font>
    <font>
      <sz val="10"/>
      <color theme="1"/>
      <name val="Arial"/>
      <family val="2"/>
    </font>
    <font>
      <sz val="10"/>
      <name val="Arial"/>
      <family val="2"/>
    </font>
    <font>
      <sz val="9"/>
      <color theme="1"/>
      <name val="Arial"/>
      <family val="2"/>
    </font>
    <font>
      <sz val="9"/>
      <name val="Arial"/>
      <family val="2"/>
    </font>
    <font>
      <sz val="10"/>
      <color theme="4"/>
      <name val="Arial"/>
      <family val="2"/>
    </font>
    <font>
      <i/>
      <sz val="10"/>
      <color indexed="8"/>
      <name val="Arial"/>
      <family val="2"/>
    </font>
    <font>
      <b/>
      <sz val="11"/>
      <color theme="1"/>
      <name val="Calibri"/>
      <family val="2"/>
      <scheme val="minor"/>
    </font>
    <font>
      <sz val="10"/>
      <color rgb="FF00B050"/>
      <name val="Arial"/>
      <family val="2"/>
    </font>
    <font>
      <b/>
      <sz val="9"/>
      <color indexed="81"/>
      <name val="Tahoma"/>
      <family val="2"/>
    </font>
    <font>
      <sz val="9"/>
      <color indexed="81"/>
      <name val="Tahoma"/>
      <family val="2"/>
    </font>
    <font>
      <sz val="10"/>
      <color rgb="FFFF0000"/>
      <name val="Arial"/>
      <family val="2"/>
    </font>
    <font>
      <sz val="10"/>
      <color theme="8" tint="-0.249977111117893"/>
      <name val="Arial"/>
      <family val="2"/>
    </font>
    <font>
      <sz val="10"/>
      <name val="Verdana"/>
      <family val="2"/>
    </font>
    <font>
      <sz val="12"/>
      <color theme="1"/>
      <name val="Calibri"/>
      <family val="2"/>
      <scheme val="minor"/>
    </font>
    <font>
      <sz val="10"/>
      <color theme="9"/>
      <name val="Arial"/>
      <family val="2"/>
    </font>
    <font>
      <sz val="10"/>
      <color theme="4" tint="-0.249977111117893"/>
      <name val="Arial"/>
      <family val="2"/>
    </font>
    <font>
      <b/>
      <sz val="9"/>
      <color rgb="FF000000"/>
      <name val="Tahoma"/>
      <family val="2"/>
    </font>
    <font>
      <sz val="9"/>
      <color rgb="FF000000"/>
      <name val="Tahoma"/>
      <family val="2"/>
    </font>
    <font>
      <sz val="9"/>
      <color theme="1"/>
      <name val="Menlo"/>
      <family val="2"/>
    </font>
    <font>
      <sz val="10"/>
      <color rgb="FF4472C4"/>
      <name val="Arial"/>
      <family val="2"/>
    </font>
    <font>
      <sz val="12"/>
      <color theme="1"/>
      <name val="Arial"/>
      <family val="2"/>
    </font>
  </fonts>
  <fills count="22">
    <fill>
      <patternFill patternType="none"/>
    </fill>
    <fill>
      <patternFill patternType="gray125"/>
    </fill>
    <fill>
      <patternFill patternType="solid">
        <fgColor rgb="FF512D6D"/>
        <bgColor indexed="64"/>
      </patternFill>
    </fill>
    <fill>
      <patternFill patternType="solid">
        <fgColor theme="0" tint="-0.249977111117893"/>
        <bgColor indexed="64"/>
      </patternFill>
    </fill>
    <fill>
      <patternFill patternType="solid">
        <fgColor theme="0"/>
        <bgColor indexed="64"/>
      </patternFill>
    </fill>
    <fill>
      <patternFill patternType="solid">
        <fgColor theme="7" tint="0.79998168889431442"/>
        <bgColor indexed="64"/>
      </patternFill>
    </fill>
    <fill>
      <patternFill patternType="solid">
        <fgColor rgb="FFE2D3ED"/>
        <bgColor indexed="64"/>
      </patternFill>
    </fill>
    <fill>
      <patternFill patternType="solid">
        <fgColor theme="0" tint="-0.14999847407452621"/>
        <bgColor indexed="64"/>
      </patternFill>
    </fill>
    <fill>
      <patternFill patternType="solid">
        <fgColor rgb="FFD9D9D9"/>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5" tint="-0.249977111117893"/>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rgb="FFFFFF00"/>
        <bgColor indexed="64"/>
      </patternFill>
    </fill>
    <fill>
      <patternFill patternType="solid">
        <fgColor rgb="FFFFF2CC"/>
        <bgColor rgb="FF000000"/>
      </patternFill>
    </fill>
    <fill>
      <patternFill patternType="solid">
        <fgColor rgb="FF00B050"/>
        <bgColor indexed="64"/>
      </patternFill>
    </fill>
    <fill>
      <patternFill patternType="solid">
        <fgColor rgb="FFC00000"/>
        <bgColor indexed="64"/>
      </patternFill>
    </fill>
    <fill>
      <patternFill patternType="solid">
        <fgColor theme="7"/>
        <bgColor indexed="64"/>
      </patternFill>
    </fill>
    <fill>
      <patternFill patternType="solid">
        <fgColor theme="5" tint="0.79998168889431442"/>
        <bgColor indexed="64"/>
      </patternFill>
    </fill>
  </fills>
  <borders count="47">
    <border>
      <left/>
      <right/>
      <top/>
      <bottom/>
      <diagonal/>
    </border>
    <border>
      <left/>
      <right style="thick">
        <color rgb="FFFFFFFF"/>
      </right>
      <top/>
      <bottom/>
      <diagonal/>
    </border>
    <border>
      <left style="thick">
        <color rgb="FFFFFFFF"/>
      </left>
      <right style="thin">
        <color theme="0"/>
      </right>
      <top style="thick">
        <color rgb="FFFFFFFF"/>
      </top>
      <bottom style="thick">
        <color rgb="FFFFFFFF"/>
      </bottom>
      <diagonal/>
    </border>
    <border>
      <left style="thin">
        <color theme="0"/>
      </left>
      <right/>
      <top/>
      <bottom/>
      <diagonal/>
    </border>
    <border>
      <left/>
      <right/>
      <top/>
      <bottom style="dotted">
        <color rgb="FF000000"/>
      </bottom>
      <diagonal/>
    </border>
    <border>
      <left/>
      <right/>
      <top style="dotted">
        <color rgb="FF000000"/>
      </top>
      <bottom/>
      <diagonal/>
    </border>
    <border>
      <left style="thin">
        <color theme="0"/>
      </left>
      <right/>
      <top/>
      <bottom style="thin">
        <color indexed="64"/>
      </bottom>
      <diagonal/>
    </border>
    <border>
      <left/>
      <right/>
      <top/>
      <bottom style="thin">
        <color indexed="64"/>
      </bottom>
      <diagonal/>
    </border>
    <border>
      <left style="thin">
        <color theme="0"/>
      </left>
      <right/>
      <top/>
      <bottom style="dotted">
        <color auto="1"/>
      </bottom>
      <diagonal/>
    </border>
    <border>
      <left/>
      <right/>
      <top/>
      <bottom style="dotted">
        <color auto="1"/>
      </bottom>
      <diagonal/>
    </border>
    <border>
      <left style="thin">
        <color theme="0"/>
      </left>
      <right/>
      <top/>
      <bottom style="dotted">
        <color rgb="FF000000"/>
      </bottom>
      <diagonal/>
    </border>
    <border>
      <left style="thin">
        <color theme="0"/>
      </left>
      <right/>
      <top style="dotted">
        <color rgb="FF000000"/>
      </top>
      <bottom/>
      <diagonal/>
    </border>
    <border>
      <left style="thick">
        <color rgb="FFFFFFFF"/>
      </left>
      <right style="thin">
        <color theme="0"/>
      </right>
      <top style="thick">
        <color rgb="FFFFFFFF"/>
      </top>
      <bottom/>
      <diagonal/>
    </border>
    <border>
      <left/>
      <right/>
      <top style="dotted">
        <color rgb="FF000000"/>
      </top>
      <bottom style="thin">
        <color indexed="64"/>
      </bottom>
      <diagonal/>
    </border>
    <border>
      <left/>
      <right/>
      <top style="thick">
        <color theme="0"/>
      </top>
      <bottom style="thick">
        <color theme="0"/>
      </bottom>
      <diagonal/>
    </border>
    <border>
      <left/>
      <right/>
      <top style="thin">
        <color indexed="64"/>
      </top>
      <bottom/>
      <diagonal/>
    </border>
    <border>
      <left/>
      <right/>
      <top style="dotted">
        <color auto="1"/>
      </top>
      <bottom/>
      <diagonal/>
    </border>
    <border>
      <left/>
      <right style="medium">
        <color theme="0"/>
      </right>
      <top/>
      <bottom/>
      <diagonal/>
    </border>
    <border>
      <left style="medium">
        <color theme="0"/>
      </left>
      <right/>
      <top/>
      <bottom/>
      <diagonal/>
    </border>
    <border>
      <left style="medium">
        <color theme="0"/>
      </left>
      <right style="medium">
        <color theme="0"/>
      </right>
      <top style="medium">
        <color theme="0"/>
      </top>
      <bottom style="medium">
        <color theme="0"/>
      </bottom>
      <diagonal/>
    </border>
    <border>
      <left/>
      <right style="dotted">
        <color indexed="64"/>
      </right>
      <top/>
      <bottom/>
      <diagonal/>
    </border>
    <border>
      <left/>
      <right style="dotted">
        <color indexed="64"/>
      </right>
      <top/>
      <bottom style="thin">
        <color indexed="64"/>
      </bottom>
      <diagonal/>
    </border>
    <border>
      <left/>
      <right style="dotted">
        <color indexed="64"/>
      </right>
      <top/>
      <bottom style="dotted">
        <color auto="1"/>
      </bottom>
      <diagonal/>
    </border>
    <border>
      <left/>
      <right/>
      <top/>
      <bottom style="medium">
        <color theme="0"/>
      </bottom>
      <diagonal/>
    </border>
    <border>
      <left style="medium">
        <color theme="0"/>
      </left>
      <right/>
      <top style="medium">
        <color theme="0"/>
      </top>
      <bottom style="medium">
        <color theme="0"/>
      </bottom>
      <diagonal/>
    </border>
    <border>
      <left style="medium">
        <color theme="0"/>
      </left>
      <right style="medium">
        <color theme="0"/>
      </right>
      <top style="medium">
        <color theme="0"/>
      </top>
      <bottom/>
      <diagonal/>
    </border>
    <border>
      <left/>
      <right style="dotted">
        <color indexed="64"/>
      </right>
      <top style="dotted">
        <color rgb="FF000000"/>
      </top>
      <bottom/>
      <diagonal/>
    </border>
    <border>
      <left/>
      <right style="dotted">
        <color indexed="64"/>
      </right>
      <top/>
      <bottom style="dotted">
        <color rgb="FF000000"/>
      </bottom>
      <diagonal/>
    </border>
    <border>
      <left/>
      <right style="dotted">
        <color indexed="64"/>
      </right>
      <top style="dotted">
        <color rgb="FF000000"/>
      </top>
      <bottom style="thin">
        <color indexed="64"/>
      </bottom>
      <diagonal/>
    </border>
    <border>
      <left style="dotted">
        <color indexed="64"/>
      </left>
      <right style="dotted">
        <color indexed="64"/>
      </right>
      <top style="dotted">
        <color indexed="64"/>
      </top>
      <bottom style="dotted">
        <color indexed="64"/>
      </bottom>
      <diagonal/>
    </border>
    <border>
      <left/>
      <right/>
      <top style="thin">
        <color indexed="64"/>
      </top>
      <bottom style="thin">
        <color indexed="64"/>
      </bottom>
      <diagonal/>
    </border>
    <border>
      <left/>
      <right style="dotted">
        <color indexed="64"/>
      </right>
      <top style="thin">
        <color indexed="64"/>
      </top>
      <bottom/>
      <diagonal/>
    </border>
    <border>
      <left/>
      <right/>
      <top style="thin">
        <color indexed="64"/>
      </top>
      <bottom style="medium">
        <color theme="0"/>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right style="thin">
        <color indexed="64"/>
      </right>
      <top/>
      <bottom/>
      <diagonal/>
    </border>
    <border>
      <left/>
      <right style="medium">
        <color theme="0"/>
      </right>
      <top style="medium">
        <color theme="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medium">
        <color theme="0"/>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medium">
        <color rgb="FF000000"/>
      </bottom>
      <diagonal/>
    </border>
  </borders>
  <cellStyleXfs count="7">
    <xf numFmtId="0" fontId="0" fillId="0" borderId="0"/>
    <xf numFmtId="9" fontId="24" fillId="0" borderId="0" applyFont="0" applyFill="0" applyBorder="0" applyAlignment="0" applyProtection="0"/>
    <xf numFmtId="43" fontId="24" fillId="0" borderId="0" applyFont="0" applyFill="0" applyBorder="0" applyAlignment="0" applyProtection="0"/>
    <xf numFmtId="44" fontId="24" fillId="0" borderId="0" applyFont="0" applyFill="0" applyBorder="0" applyAlignment="0" applyProtection="0"/>
    <xf numFmtId="0" fontId="37" fillId="0" borderId="0"/>
    <xf numFmtId="0" fontId="38" fillId="0" borderId="0"/>
    <xf numFmtId="44" fontId="38" fillId="0" borderId="0" applyFont="0" applyFill="0" applyBorder="0" applyAlignment="0" applyProtection="0"/>
  </cellStyleXfs>
  <cellXfs count="402">
    <xf numFmtId="0" fontId="0" fillId="0" borderId="0" xfId="0"/>
    <xf numFmtId="0" fontId="2" fillId="0" borderId="3" xfId="0" applyFont="1" applyBorder="1" applyAlignment="1">
      <alignment horizontal="left" vertical="top" wrapText="1" indent="1" readingOrder="1"/>
    </xf>
    <xf numFmtId="0" fontId="3" fillId="0" borderId="0" xfId="0" applyFont="1" applyAlignment="1">
      <alignment horizontal="left" vertical="center" wrapText="1" indent="1" readingOrder="1"/>
    </xf>
    <xf numFmtId="0" fontId="4" fillId="0" borderId="0" xfId="0" applyFont="1" applyAlignment="1">
      <alignment horizontal="left" vertical="center" wrapText="1" indent="1" readingOrder="1"/>
    </xf>
    <xf numFmtId="0" fontId="3" fillId="0" borderId="4" xfId="0" applyFont="1" applyBorder="1" applyAlignment="1">
      <alignment horizontal="left" vertical="center" wrapText="1" indent="1" readingOrder="1"/>
    </xf>
    <xf numFmtId="0" fontId="3" fillId="0" borderId="5" xfId="0" applyFont="1" applyBorder="1" applyAlignment="1">
      <alignment horizontal="left" vertical="center" indent="1" readingOrder="1"/>
    </xf>
    <xf numFmtId="0" fontId="4" fillId="0" borderId="5" xfId="0" applyFont="1" applyBorder="1" applyAlignment="1">
      <alignment horizontal="left" vertical="center" indent="1" readingOrder="1"/>
    </xf>
    <xf numFmtId="0" fontId="3" fillId="0" borderId="4" xfId="0" applyFont="1" applyBorder="1" applyAlignment="1">
      <alignment horizontal="left" vertical="center" indent="1" readingOrder="1"/>
    </xf>
    <xf numFmtId="0" fontId="4" fillId="0" borderId="4" xfId="0" applyFont="1" applyBorder="1" applyAlignment="1">
      <alignment horizontal="left" vertical="center" indent="1" readingOrder="1"/>
    </xf>
    <xf numFmtId="0" fontId="3" fillId="0" borderId="5" xfId="0" applyFont="1" applyBorder="1" applyAlignment="1">
      <alignment horizontal="left" vertical="center" wrapText="1" indent="1" readingOrder="1"/>
    </xf>
    <xf numFmtId="0" fontId="4" fillId="0" borderId="5" xfId="0" applyFont="1" applyBorder="1" applyAlignment="1">
      <alignment horizontal="left" vertical="center" wrapText="1" indent="1" readingOrder="1"/>
    </xf>
    <xf numFmtId="0" fontId="3" fillId="0" borderId="7" xfId="0" applyFont="1" applyBorder="1" applyAlignment="1">
      <alignment horizontal="left" vertical="center" wrapText="1" indent="1" readingOrder="1"/>
    </xf>
    <xf numFmtId="0" fontId="4" fillId="0" borderId="7" xfId="0" applyFont="1" applyBorder="1" applyAlignment="1">
      <alignment horizontal="left" vertical="center" wrapText="1" indent="1" readingOrder="1"/>
    </xf>
    <xf numFmtId="0" fontId="1" fillId="0" borderId="0" xfId="0" applyFont="1" applyAlignment="1">
      <alignment horizontal="left" vertical="center" wrapText="1" indent="1"/>
    </xf>
    <xf numFmtId="0" fontId="3" fillId="0" borderId="0" xfId="0" applyFont="1" applyAlignment="1">
      <alignment horizontal="left" vertical="center" wrapText="1" indent="1"/>
    </xf>
    <xf numFmtId="0" fontId="4" fillId="0" borderId="0" xfId="0" applyFont="1" applyAlignment="1">
      <alignment horizontal="left" vertical="center" wrapText="1" indent="1"/>
    </xf>
    <xf numFmtId="0" fontId="2" fillId="0" borderId="8" xfId="0" applyFont="1" applyBorder="1" applyAlignment="1">
      <alignment horizontal="left" vertical="top" wrapText="1" indent="1" readingOrder="1"/>
    </xf>
    <xf numFmtId="0" fontId="3" fillId="0" borderId="9" xfId="0" applyFont="1" applyBorder="1" applyAlignment="1">
      <alignment horizontal="left" vertical="center" wrapText="1" indent="1"/>
    </xf>
    <xf numFmtId="0" fontId="4" fillId="0" borderId="9" xfId="0" applyFont="1" applyBorder="1" applyAlignment="1">
      <alignment horizontal="left" vertical="center" wrapText="1" indent="1"/>
    </xf>
    <xf numFmtId="0" fontId="2" fillId="0" borderId="10" xfId="0" applyFont="1" applyBorder="1" applyAlignment="1">
      <alignment horizontal="left" vertical="top" wrapText="1" indent="1" readingOrder="1"/>
    </xf>
    <xf numFmtId="0" fontId="3" fillId="0" borderId="4" xfId="0" applyFont="1" applyBorder="1" applyAlignment="1">
      <alignment horizontal="left" vertical="center" wrapText="1" indent="1"/>
    </xf>
    <xf numFmtId="0" fontId="4" fillId="0" borderId="4" xfId="0" applyFont="1" applyBorder="1" applyAlignment="1">
      <alignment horizontal="left" vertical="center" wrapText="1" indent="1" readingOrder="1"/>
    </xf>
    <xf numFmtId="0" fontId="3" fillId="0" borderId="13" xfId="0" applyFont="1" applyBorder="1" applyAlignment="1">
      <alignment horizontal="left" vertical="center" wrapText="1" indent="1" readingOrder="1"/>
    </xf>
    <xf numFmtId="0" fontId="4" fillId="0" borderId="13" xfId="0" applyFont="1" applyBorder="1" applyAlignment="1">
      <alignment horizontal="left" vertical="center" wrapText="1" indent="1" readingOrder="1"/>
    </xf>
    <xf numFmtId="0" fontId="4" fillId="0" borderId="0" xfId="0" applyFont="1" applyAlignment="1">
      <alignment horizontal="left" vertical="center" indent="1" readingOrder="1"/>
    </xf>
    <xf numFmtId="0" fontId="2" fillId="0" borderId="0" xfId="0" applyFont="1"/>
    <xf numFmtId="0" fontId="5" fillId="0" borderId="0" xfId="0" applyFont="1"/>
    <xf numFmtId="0" fontId="5" fillId="0" borderId="0" xfId="0" quotePrefix="1" applyFont="1"/>
    <xf numFmtId="0" fontId="2" fillId="3" borderId="0" xfId="0" applyFont="1" applyFill="1"/>
    <xf numFmtId="0" fontId="5" fillId="0" borderId="15" xfId="0" applyFont="1" applyBorder="1"/>
    <xf numFmtId="0" fontId="5" fillId="0" borderId="7" xfId="0" applyFont="1" applyBorder="1"/>
    <xf numFmtId="0" fontId="2" fillId="3" borderId="0" xfId="0" applyFont="1" applyFill="1" applyAlignment="1">
      <alignment vertical="center"/>
    </xf>
    <xf numFmtId="0" fontId="2" fillId="4" borderId="0" xfId="0" applyFont="1" applyFill="1"/>
    <xf numFmtId="0" fontId="2" fillId="5" borderId="0" xfId="0" applyFont="1" applyFill="1" applyAlignment="1">
      <alignment vertical="center"/>
    </xf>
    <xf numFmtId="0" fontId="2" fillId="0" borderId="7" xfId="0" applyFont="1" applyBorder="1"/>
    <xf numFmtId="0" fontId="2" fillId="0" borderId="0" xfId="0" applyFont="1" applyAlignment="1">
      <alignment horizontal="centerContinuous"/>
    </xf>
    <xf numFmtId="0" fontId="1" fillId="2" borderId="19" xfId="0" applyFont="1" applyFill="1" applyBorder="1" applyAlignment="1">
      <alignment horizontal="center" vertical="center" readingOrder="1"/>
    </xf>
    <xf numFmtId="169" fontId="1" fillId="2" borderId="19" xfId="0" applyNumberFormat="1" applyFont="1" applyFill="1" applyBorder="1" applyAlignment="1">
      <alignment horizontal="center" vertical="center" readingOrder="1"/>
    </xf>
    <xf numFmtId="0" fontId="1" fillId="0" borderId="19" xfId="0" applyFont="1" applyBorder="1" applyAlignment="1">
      <alignment horizontal="center" vertical="center" readingOrder="1"/>
    </xf>
    <xf numFmtId="169" fontId="1" fillId="0" borderId="19" xfId="0" applyNumberFormat="1" applyFont="1" applyBorder="1" applyAlignment="1">
      <alignment horizontal="center" vertical="center" readingOrder="1"/>
    </xf>
    <xf numFmtId="0" fontId="2" fillId="0" borderId="0" xfId="0" applyFont="1" applyAlignment="1">
      <alignment horizontal="center"/>
    </xf>
    <xf numFmtId="0" fontId="7" fillId="0" borderId="0" xfId="0" applyFont="1" applyAlignment="1">
      <alignment horizontal="left" vertical="center" wrapText="1" indent="1"/>
    </xf>
    <xf numFmtId="164" fontId="7" fillId="0" borderId="0" xfId="0" applyNumberFormat="1" applyFont="1" applyAlignment="1">
      <alignment horizontal="center" vertical="center" wrapText="1"/>
    </xf>
    <xf numFmtId="0" fontId="2" fillId="4" borderId="0" xfId="0" applyFont="1" applyFill="1" applyAlignment="1">
      <alignment horizontal="left" vertical="center" wrapText="1" indent="1"/>
    </xf>
    <xf numFmtId="0" fontId="2" fillId="4" borderId="20" xfId="0" applyFont="1" applyFill="1" applyBorder="1"/>
    <xf numFmtId="0" fontId="2" fillId="4" borderId="0" xfId="0" applyFont="1" applyFill="1" applyAlignment="1">
      <alignment horizontal="left" indent="1"/>
    </xf>
    <xf numFmtId="0" fontId="1" fillId="0" borderId="0" xfId="0" applyFont="1" applyAlignment="1">
      <alignment horizontal="left" vertical="center" indent="1"/>
    </xf>
    <xf numFmtId="164" fontId="3" fillId="0" borderId="0" xfId="0" applyNumberFormat="1" applyFont="1" applyAlignment="1">
      <alignment horizontal="center" vertical="center" wrapText="1"/>
    </xf>
    <xf numFmtId="164" fontId="3" fillId="0" borderId="0" xfId="0" applyNumberFormat="1" applyFont="1" applyAlignment="1">
      <alignment horizontal="center" vertical="center" readingOrder="1"/>
    </xf>
    <xf numFmtId="0" fontId="2" fillId="6" borderId="0" xfId="0" applyFont="1" applyFill="1"/>
    <xf numFmtId="164" fontId="3" fillId="0" borderId="20" xfId="0" applyNumberFormat="1" applyFont="1" applyBorder="1" applyAlignment="1">
      <alignment horizontal="center" vertical="center" wrapText="1"/>
    </xf>
    <xf numFmtId="0" fontId="2" fillId="2" borderId="0" xfId="0" applyFont="1" applyFill="1"/>
    <xf numFmtId="0" fontId="2" fillId="4" borderId="0" xfId="0" applyFont="1" applyFill="1" applyAlignment="1">
      <alignment horizontal="left" vertical="center" indent="1"/>
    </xf>
    <xf numFmtId="0" fontId="8" fillId="3" borderId="0" xfId="0" applyFont="1" applyFill="1"/>
    <xf numFmtId="0" fontId="3" fillId="0" borderId="7" xfId="0" applyFont="1" applyBorder="1" applyAlignment="1">
      <alignment horizontal="left" vertical="center" indent="1" readingOrder="1"/>
    </xf>
    <xf numFmtId="165" fontId="6" fillId="0" borderId="7" xfId="0" applyNumberFormat="1" applyFont="1" applyBorder="1" applyAlignment="1">
      <alignment horizontal="center" vertical="center" readingOrder="1"/>
    </xf>
    <xf numFmtId="165" fontId="6" fillId="0" borderId="21" xfId="0" applyNumberFormat="1" applyFont="1" applyBorder="1" applyAlignment="1">
      <alignment horizontal="center" vertical="center" readingOrder="1"/>
    </xf>
    <xf numFmtId="165" fontId="9" fillId="0" borderId="7" xfId="0" applyNumberFormat="1" applyFont="1" applyBorder="1" applyAlignment="1">
      <alignment horizontal="center" vertical="center" readingOrder="1"/>
    </xf>
    <xf numFmtId="166" fontId="7" fillId="0" borderId="0" xfId="0" applyNumberFormat="1" applyFont="1" applyAlignment="1">
      <alignment horizontal="center" vertical="center" wrapText="1" readingOrder="1"/>
    </xf>
    <xf numFmtId="166" fontId="3" fillId="0" borderId="0" xfId="0" applyNumberFormat="1" applyFont="1" applyAlignment="1">
      <alignment horizontal="center" vertical="center" wrapText="1" readingOrder="1"/>
    </xf>
    <xf numFmtId="0" fontId="4" fillId="3" borderId="0" xfId="0" applyFont="1" applyFill="1" applyAlignment="1">
      <alignment vertical="center"/>
    </xf>
    <xf numFmtId="170" fontId="4" fillId="3" borderId="0" xfId="0" applyNumberFormat="1" applyFont="1" applyFill="1"/>
    <xf numFmtId="164" fontId="4" fillId="3" borderId="0" xfId="0" applyNumberFormat="1" applyFont="1" applyFill="1" applyAlignment="1">
      <alignment horizontal="center" vertical="center" wrapText="1"/>
    </xf>
    <xf numFmtId="166" fontId="10" fillId="0" borderId="0" xfId="0" applyNumberFormat="1" applyFont="1" applyAlignment="1">
      <alignment horizontal="center" vertical="center" wrapText="1" readingOrder="1"/>
    </xf>
    <xf numFmtId="0" fontId="4" fillId="3" borderId="0" xfId="0" applyFont="1" applyFill="1"/>
    <xf numFmtId="165" fontId="3" fillId="0" borderId="5" xfId="0" applyNumberFormat="1" applyFont="1" applyBorder="1" applyAlignment="1">
      <alignment horizontal="center" vertical="center" wrapText="1" readingOrder="1"/>
    </xf>
    <xf numFmtId="14" fontId="2" fillId="3" borderId="0" xfId="0" applyNumberFormat="1" applyFont="1" applyFill="1"/>
    <xf numFmtId="165" fontId="3" fillId="0" borderId="4" xfId="0" applyNumberFormat="1" applyFont="1" applyBorder="1" applyAlignment="1">
      <alignment horizontal="center" vertical="center" wrapText="1" readingOrder="1"/>
    </xf>
    <xf numFmtId="164" fontId="2" fillId="0" borderId="5" xfId="0" applyNumberFormat="1" applyFont="1" applyBorder="1" applyAlignment="1">
      <alignment horizontal="center" vertical="center" readingOrder="1"/>
    </xf>
    <xf numFmtId="166" fontId="7" fillId="0" borderId="7" xfId="0" applyNumberFormat="1" applyFont="1" applyBorder="1" applyAlignment="1">
      <alignment horizontal="center" vertical="center" wrapText="1" readingOrder="1"/>
    </xf>
    <xf numFmtId="166" fontId="7" fillId="0" borderId="21" xfId="0" applyNumberFormat="1" applyFont="1" applyBorder="1" applyAlignment="1">
      <alignment horizontal="center" vertical="center" wrapText="1" readingOrder="1"/>
    </xf>
    <xf numFmtId="166" fontId="3" fillId="0" borderId="7" xfId="0" applyNumberFormat="1" applyFont="1" applyBorder="1" applyAlignment="1">
      <alignment horizontal="center" vertical="center" wrapText="1" readingOrder="1"/>
    </xf>
    <xf numFmtId="167" fontId="1" fillId="0" borderId="0" xfId="0" applyNumberFormat="1" applyFont="1" applyAlignment="1">
      <alignment horizontal="center" vertical="center" wrapText="1"/>
    </xf>
    <xf numFmtId="165" fontId="1" fillId="0" borderId="0" xfId="0" applyNumberFormat="1" applyFont="1" applyAlignment="1">
      <alignment horizontal="center" vertical="center" readingOrder="1"/>
    </xf>
    <xf numFmtId="167" fontId="7" fillId="0" borderId="0" xfId="0" applyNumberFormat="1" applyFont="1" applyAlignment="1">
      <alignment horizontal="center" vertical="center" wrapText="1"/>
    </xf>
    <xf numFmtId="167" fontId="7" fillId="0" borderId="20" xfId="0" applyNumberFormat="1" applyFont="1" applyBorder="1" applyAlignment="1">
      <alignment horizontal="center" vertical="center" wrapText="1"/>
    </xf>
    <xf numFmtId="165" fontId="2" fillId="0" borderId="0" xfId="0" applyNumberFormat="1" applyFont="1" applyAlignment="1">
      <alignment horizontal="center" vertical="center" wrapText="1" readingOrder="1"/>
    </xf>
    <xf numFmtId="167" fontId="7" fillId="0" borderId="9" xfId="0" applyNumberFormat="1" applyFont="1" applyBorder="1" applyAlignment="1">
      <alignment horizontal="center" vertical="center" wrapText="1"/>
    </xf>
    <xf numFmtId="167" fontId="7" fillId="0" borderId="22" xfId="0" applyNumberFormat="1" applyFont="1" applyBorder="1" applyAlignment="1">
      <alignment horizontal="center" vertical="center" wrapText="1"/>
    </xf>
    <xf numFmtId="165" fontId="2" fillId="0" borderId="4" xfId="0" applyNumberFormat="1" applyFont="1" applyBorder="1" applyAlignment="1">
      <alignment horizontal="center" vertical="center" wrapText="1" readingOrder="1"/>
    </xf>
    <xf numFmtId="166" fontId="1" fillId="0" borderId="0" xfId="0" applyNumberFormat="1" applyFont="1" applyAlignment="1">
      <alignment horizontal="center" vertical="center" wrapText="1"/>
    </xf>
    <xf numFmtId="166" fontId="7" fillId="0" borderId="0" xfId="0" applyNumberFormat="1" applyFont="1" applyAlignment="1">
      <alignment horizontal="center" vertical="center" wrapText="1"/>
    </xf>
    <xf numFmtId="166" fontId="7" fillId="0" borderId="4" xfId="0" applyNumberFormat="1" applyFont="1" applyBorder="1" applyAlignment="1">
      <alignment horizontal="center" vertical="center" wrapText="1"/>
    </xf>
    <xf numFmtId="166" fontId="7" fillId="0" borderId="5" xfId="0" applyNumberFormat="1" applyFont="1" applyBorder="1" applyAlignment="1">
      <alignment horizontal="center" vertical="center" wrapText="1" readingOrder="1"/>
    </xf>
    <xf numFmtId="165" fontId="2" fillId="0" borderId="5" xfId="0" applyNumberFormat="1" applyFont="1" applyBorder="1" applyAlignment="1">
      <alignment horizontal="center" vertical="center" wrapText="1" readingOrder="1"/>
    </xf>
    <xf numFmtId="166" fontId="7" fillId="0" borderId="4" xfId="0" applyNumberFormat="1" applyFont="1" applyBorder="1" applyAlignment="1">
      <alignment horizontal="center" vertical="center" wrapText="1" readingOrder="1"/>
    </xf>
    <xf numFmtId="166" fontId="7" fillId="0" borderId="13" xfId="0" applyNumberFormat="1" applyFont="1" applyBorder="1" applyAlignment="1">
      <alignment horizontal="center" vertical="center" wrapText="1" readingOrder="1"/>
    </xf>
    <xf numFmtId="165" fontId="11" fillId="0" borderId="13" xfId="0" applyNumberFormat="1" applyFont="1" applyBorder="1" applyAlignment="1">
      <alignment horizontal="center" vertical="center" wrapText="1" readingOrder="1"/>
    </xf>
    <xf numFmtId="164" fontId="7" fillId="0" borderId="0" xfId="0" applyNumberFormat="1" applyFont="1" applyAlignment="1">
      <alignment horizontal="center" vertical="center" wrapText="1" readingOrder="1"/>
    </xf>
    <xf numFmtId="168" fontId="2" fillId="0" borderId="0" xfId="0" applyNumberFormat="1" applyFont="1" applyAlignment="1">
      <alignment horizontal="center" vertical="center" wrapText="1" readingOrder="1"/>
    </xf>
    <xf numFmtId="166" fontId="3" fillId="0" borderId="0" xfId="0" applyNumberFormat="1" applyFont="1" applyAlignment="1">
      <alignment horizontal="center" vertical="center" readingOrder="1"/>
    </xf>
    <xf numFmtId="3" fontId="2" fillId="3" borderId="0" xfId="0" applyNumberFormat="1" applyFont="1" applyFill="1"/>
    <xf numFmtId="14" fontId="1" fillId="2" borderId="17" xfId="0" applyNumberFormat="1" applyFont="1" applyFill="1" applyBorder="1" applyAlignment="1">
      <alignment horizontal="center" vertical="center"/>
    </xf>
    <xf numFmtId="0" fontId="1" fillId="2" borderId="18" xfId="0" applyFont="1" applyFill="1" applyBorder="1" applyAlignment="1">
      <alignment horizontal="center" vertical="center"/>
    </xf>
    <xf numFmtId="0" fontId="12" fillId="4" borderId="0" xfId="0" applyFont="1" applyFill="1" applyAlignment="1">
      <alignment horizontal="center" vertical="top"/>
    </xf>
    <xf numFmtId="164" fontId="2" fillId="0" borderId="0" xfId="0" applyNumberFormat="1" applyFont="1" applyAlignment="1">
      <alignment horizontal="center" vertical="center" wrapText="1" readingOrder="1"/>
    </xf>
    <xf numFmtId="166" fontId="1" fillId="0" borderId="16" xfId="0" applyNumberFormat="1" applyFont="1" applyBorder="1" applyAlignment="1">
      <alignment horizontal="center" vertical="center" wrapText="1"/>
    </xf>
    <xf numFmtId="0" fontId="1" fillId="0" borderId="24" xfId="0" applyFont="1" applyBorder="1" applyAlignment="1">
      <alignment horizontal="center" vertical="center" readingOrder="1"/>
    </xf>
    <xf numFmtId="166" fontId="7" fillId="0" borderId="15" xfId="0" applyNumberFormat="1" applyFont="1" applyBorder="1" applyAlignment="1">
      <alignment horizontal="center" vertical="center" wrapText="1" readingOrder="1"/>
    </xf>
    <xf numFmtId="164" fontId="7" fillId="0" borderId="15" xfId="0" applyNumberFormat="1" applyFont="1" applyBorder="1" applyAlignment="1">
      <alignment horizontal="center" vertical="center" wrapText="1" readingOrder="1"/>
    </xf>
    <xf numFmtId="164" fontId="2" fillId="0" borderId="0" xfId="0" applyNumberFormat="1" applyFont="1" applyAlignment="1">
      <alignment horizontal="right" vertical="center" indent="1"/>
    </xf>
    <xf numFmtId="0" fontId="2" fillId="0" borderId="0" xfId="0" applyFont="1" applyAlignment="1">
      <alignment horizontal="right" indent="1"/>
    </xf>
    <xf numFmtId="0" fontId="1" fillId="2" borderId="24" xfId="0" applyFont="1" applyFill="1" applyBorder="1" applyAlignment="1">
      <alignment horizontal="center" vertical="center" readingOrder="1"/>
    </xf>
    <xf numFmtId="0" fontId="1" fillId="0" borderId="25" xfId="0" applyFont="1" applyBorder="1" applyAlignment="1">
      <alignment horizontal="center" vertical="center" readingOrder="1"/>
    </xf>
    <xf numFmtId="164" fontId="7" fillId="0" borderId="20" xfId="0" applyNumberFormat="1" applyFont="1" applyBorder="1" applyAlignment="1">
      <alignment horizontal="center" vertical="center" wrapText="1"/>
    </xf>
    <xf numFmtId="166" fontId="7" fillId="0" borderId="20" xfId="0" applyNumberFormat="1" applyFont="1" applyBorder="1" applyAlignment="1">
      <alignment horizontal="center" vertical="center" wrapText="1" readingOrder="1"/>
    </xf>
    <xf numFmtId="165" fontId="3" fillId="0" borderId="26" xfId="0" applyNumberFormat="1" applyFont="1" applyBorder="1" applyAlignment="1">
      <alignment horizontal="center" vertical="center" wrapText="1" readingOrder="1"/>
    </xf>
    <xf numFmtId="165" fontId="3" fillId="0" borderId="27" xfId="0" applyNumberFormat="1" applyFont="1" applyBorder="1" applyAlignment="1">
      <alignment horizontal="center" vertical="center" wrapText="1" readingOrder="1"/>
    </xf>
    <xf numFmtId="164" fontId="2" fillId="0" borderId="26" xfId="0" applyNumberFormat="1" applyFont="1" applyBorder="1" applyAlignment="1">
      <alignment horizontal="center" vertical="center" readingOrder="1"/>
    </xf>
    <xf numFmtId="167" fontId="1" fillId="0" borderId="20" xfId="0" applyNumberFormat="1" applyFont="1" applyBorder="1" applyAlignment="1">
      <alignment horizontal="center" vertical="center" wrapText="1"/>
    </xf>
    <xf numFmtId="166" fontId="1" fillId="0" borderId="20" xfId="0" applyNumberFormat="1" applyFont="1" applyBorder="1" applyAlignment="1">
      <alignment horizontal="center" vertical="center" wrapText="1"/>
    </xf>
    <xf numFmtId="166" fontId="7" fillId="0" borderId="20" xfId="0" applyNumberFormat="1" applyFont="1" applyBorder="1" applyAlignment="1">
      <alignment horizontal="center" vertical="center" wrapText="1"/>
    </xf>
    <xf numFmtId="166" fontId="7" fillId="0" borderId="26" xfId="0" applyNumberFormat="1" applyFont="1" applyBorder="1" applyAlignment="1">
      <alignment horizontal="center" vertical="center" wrapText="1" readingOrder="1"/>
    </xf>
    <xf numFmtId="166" fontId="7" fillId="0" borderId="27" xfId="0" applyNumberFormat="1" applyFont="1" applyBorder="1" applyAlignment="1">
      <alignment horizontal="center" vertical="center" wrapText="1" readingOrder="1"/>
    </xf>
    <xf numFmtId="166" fontId="7" fillId="0" borderId="28" xfId="0" applyNumberFormat="1" applyFont="1" applyBorder="1" applyAlignment="1">
      <alignment horizontal="center" vertical="center" wrapText="1" readingOrder="1"/>
    </xf>
    <xf numFmtId="0" fontId="2" fillId="0" borderId="29" xfId="0" applyFont="1" applyBorder="1"/>
    <xf numFmtId="0" fontId="5" fillId="0" borderId="0" xfId="0" applyFont="1" applyAlignment="1">
      <alignment horizontal="center"/>
    </xf>
    <xf numFmtId="0" fontId="13" fillId="2" borderId="19" xfId="0" applyFont="1" applyFill="1" applyBorder="1" applyAlignment="1">
      <alignment horizontal="center" vertical="center" readingOrder="1"/>
    </xf>
    <xf numFmtId="169" fontId="13" fillId="2" borderId="19" xfId="0" applyNumberFormat="1" applyFont="1" applyFill="1" applyBorder="1" applyAlignment="1">
      <alignment horizontal="center" vertical="center" readingOrder="1"/>
    </xf>
    <xf numFmtId="0" fontId="13" fillId="2" borderId="24" xfId="0" applyFont="1" applyFill="1" applyBorder="1" applyAlignment="1">
      <alignment horizontal="center" vertical="center" readingOrder="1"/>
    </xf>
    <xf numFmtId="0" fontId="13" fillId="0" borderId="0" xfId="0" applyFont="1" applyAlignment="1">
      <alignment horizontal="center" vertical="center" readingOrder="1"/>
    </xf>
    <xf numFmtId="169" fontId="13" fillId="0" borderId="0" xfId="0" applyNumberFormat="1" applyFont="1" applyAlignment="1">
      <alignment horizontal="center" vertical="center" readingOrder="1"/>
    </xf>
    <xf numFmtId="0" fontId="5" fillId="0" borderId="20" xfId="0" applyFont="1" applyBorder="1"/>
    <xf numFmtId="0" fontId="14" fillId="0" borderId="0" xfId="0" applyFont="1"/>
    <xf numFmtId="0" fontId="5" fillId="0" borderId="9" xfId="0" applyFont="1" applyBorder="1"/>
    <xf numFmtId="0" fontId="5" fillId="0" borderId="22" xfId="0" applyFont="1" applyBorder="1"/>
    <xf numFmtId="0" fontId="16" fillId="7" borderId="0" xfId="0" applyFont="1" applyFill="1"/>
    <xf numFmtId="0" fontId="5" fillId="7" borderId="0" xfId="0" applyFont="1" applyFill="1"/>
    <xf numFmtId="0" fontId="15" fillId="7" borderId="0" xfId="0" applyFont="1" applyFill="1"/>
    <xf numFmtId="0" fontId="5" fillId="0" borderId="31" xfId="0" applyFont="1" applyBorder="1"/>
    <xf numFmtId="0" fontId="17" fillId="8" borderId="30" xfId="0" applyFont="1" applyFill="1" applyBorder="1"/>
    <xf numFmtId="0" fontId="5" fillId="0" borderId="0" xfId="0" applyFont="1" applyAlignment="1">
      <alignment horizontal="left"/>
    </xf>
    <xf numFmtId="0" fontId="5" fillId="0" borderId="7" xfId="0" quotePrefix="1" applyFont="1" applyBorder="1"/>
    <xf numFmtId="0" fontId="5" fillId="0" borderId="0" xfId="0" applyFont="1" applyAlignment="1">
      <alignment horizontal="left" indent="1"/>
    </xf>
    <xf numFmtId="0" fontId="16" fillId="0" borderId="15" xfId="0" applyFont="1" applyBorder="1"/>
    <xf numFmtId="0" fontId="18" fillId="0" borderId="0" xfId="0" applyFont="1"/>
    <xf numFmtId="0" fontId="18" fillId="0" borderId="7" xfId="0" applyFont="1" applyBorder="1"/>
    <xf numFmtId="0" fontId="19" fillId="8" borderId="30" xfId="0" applyFont="1" applyFill="1" applyBorder="1"/>
    <xf numFmtId="0" fontId="18" fillId="7" borderId="0" xfId="0" applyFont="1" applyFill="1"/>
    <xf numFmtId="0" fontId="20" fillId="0" borderId="0" xfId="0" applyFont="1"/>
    <xf numFmtId="0" fontId="21" fillId="0" borderId="15" xfId="0" applyFont="1" applyBorder="1"/>
    <xf numFmtId="0" fontId="22" fillId="0" borderId="0" xfId="0" applyFont="1"/>
    <xf numFmtId="0" fontId="20" fillId="0" borderId="15" xfId="0" applyFont="1" applyBorder="1"/>
    <xf numFmtId="0" fontId="22" fillId="7" borderId="0" xfId="0" applyFont="1" applyFill="1"/>
    <xf numFmtId="0" fontId="20" fillId="0" borderId="9" xfId="0" applyFont="1" applyBorder="1"/>
    <xf numFmtId="0" fontId="20" fillId="7" borderId="0" xfId="0" applyFont="1" applyFill="1"/>
    <xf numFmtId="0" fontId="16" fillId="0" borderId="0" xfId="0" applyFont="1"/>
    <xf numFmtId="0" fontId="25" fillId="0" borderId="0" xfId="0" applyFont="1"/>
    <xf numFmtId="0" fontId="15" fillId="0" borderId="0" xfId="0" applyFont="1"/>
    <xf numFmtId="0" fontId="5" fillId="0" borderId="15" xfId="0" quotePrefix="1" applyFont="1" applyBorder="1"/>
    <xf numFmtId="0" fontId="15" fillId="0" borderId="30" xfId="0" applyFont="1" applyBorder="1" applyAlignment="1">
      <alignment horizontal="left"/>
    </xf>
    <xf numFmtId="0" fontId="26" fillId="0" borderId="0" xfId="0" applyFont="1"/>
    <xf numFmtId="0" fontId="5" fillId="0" borderId="7" xfId="0" applyFont="1" applyBorder="1" applyAlignment="1">
      <alignment horizontal="right"/>
    </xf>
    <xf numFmtId="0" fontId="27" fillId="0" borderId="15" xfId="0" applyFont="1" applyBorder="1"/>
    <xf numFmtId="0" fontId="27" fillId="0" borderId="33" xfId="0" applyFont="1" applyBorder="1"/>
    <xf numFmtId="0" fontId="27" fillId="0" borderId="0" xfId="0" applyFont="1"/>
    <xf numFmtId="0" fontId="27" fillId="0" borderId="34" xfId="0" applyFont="1" applyBorder="1"/>
    <xf numFmtId="0" fontId="27" fillId="0" borderId="7" xfId="0" applyFont="1" applyBorder="1"/>
    <xf numFmtId="0" fontId="27" fillId="0" borderId="35" xfId="0" applyFont="1" applyBorder="1"/>
    <xf numFmtId="0" fontId="28" fillId="0" borderId="0" xfId="0" applyFont="1"/>
    <xf numFmtId="0" fontId="29" fillId="5" borderId="38" xfId="0" applyFont="1" applyFill="1" applyBorder="1"/>
    <xf numFmtId="0" fontId="26" fillId="0" borderId="38" xfId="0" applyFont="1" applyBorder="1"/>
    <xf numFmtId="173" fontId="5" fillId="0" borderId="0" xfId="0" applyNumberFormat="1" applyFont="1"/>
    <xf numFmtId="173" fontId="13" fillId="0" borderId="0" xfId="0" applyNumberFormat="1" applyFont="1" applyAlignment="1">
      <alignment horizontal="center" vertical="center" readingOrder="1"/>
    </xf>
    <xf numFmtId="173" fontId="5" fillId="7" borderId="0" xfId="0" applyNumberFormat="1" applyFont="1" applyFill="1"/>
    <xf numFmtId="173" fontId="18" fillId="7" borderId="0" xfId="0" applyNumberFormat="1" applyFont="1" applyFill="1"/>
    <xf numFmtId="173" fontId="15" fillId="7" borderId="0" xfId="0" applyNumberFormat="1" applyFont="1" applyFill="1"/>
    <xf numFmtId="0" fontId="30" fillId="0" borderId="0" xfId="0" applyFont="1"/>
    <xf numFmtId="174" fontId="5" fillId="0" borderId="0" xfId="0" applyNumberFormat="1" applyFont="1"/>
    <xf numFmtId="0" fontId="16" fillId="0" borderId="23" xfId="0" applyFont="1" applyBorder="1" applyAlignment="1">
      <alignment horizontal="center"/>
    </xf>
    <xf numFmtId="171" fontId="13" fillId="2" borderId="37" xfId="0" applyNumberFormat="1" applyFont="1" applyFill="1" applyBorder="1" applyAlignment="1">
      <alignment horizontal="center" vertical="center" readingOrder="1"/>
    </xf>
    <xf numFmtId="0" fontId="20" fillId="0" borderId="0" xfId="0" applyFont="1" applyAlignment="1">
      <alignment horizontal="center"/>
    </xf>
    <xf numFmtId="0" fontId="20" fillId="0" borderId="15" xfId="0" applyFont="1" applyBorder="1" applyAlignment="1">
      <alignment horizontal="center"/>
    </xf>
    <xf numFmtId="0" fontId="18" fillId="0" borderId="0" xfId="0" applyFont="1" applyAlignment="1">
      <alignment horizontal="center"/>
    </xf>
    <xf numFmtId="0" fontId="18" fillId="7" borderId="0" xfId="0" applyFont="1" applyFill="1" applyAlignment="1">
      <alignment horizontal="center"/>
    </xf>
    <xf numFmtId="0" fontId="20" fillId="0" borderId="9" xfId="0" applyFont="1" applyBorder="1" applyAlignment="1">
      <alignment horizontal="center"/>
    </xf>
    <xf numFmtId="0" fontId="20" fillId="7" borderId="0" xfId="0" applyFont="1" applyFill="1" applyAlignment="1">
      <alignment horizontal="center"/>
    </xf>
    <xf numFmtId="0" fontId="22" fillId="0" borderId="0" xfId="0" applyFont="1" applyAlignment="1">
      <alignment horizontal="center"/>
    </xf>
    <xf numFmtId="0" fontId="22" fillId="7" borderId="0" xfId="0" applyFont="1" applyFill="1" applyAlignment="1">
      <alignment horizontal="center"/>
    </xf>
    <xf numFmtId="0" fontId="21" fillId="0" borderId="15" xfId="0" applyFont="1" applyBorder="1" applyAlignment="1">
      <alignment horizontal="center"/>
    </xf>
    <xf numFmtId="175" fontId="5" fillId="0" borderId="0" xfId="1" applyNumberFormat="1" applyFont="1"/>
    <xf numFmtId="175" fontId="16" fillId="0" borderId="15" xfId="1" applyNumberFormat="1" applyFont="1" applyBorder="1"/>
    <xf numFmtId="174" fontId="5" fillId="0" borderId="15" xfId="0" applyNumberFormat="1" applyFont="1" applyBorder="1"/>
    <xf numFmtId="0" fontId="29" fillId="5" borderId="38" xfId="0" applyFont="1" applyFill="1" applyBorder="1" applyAlignment="1">
      <alignment horizontal="center"/>
    </xf>
    <xf numFmtId="0" fontId="31" fillId="10" borderId="0" xfId="0" applyFont="1" applyFill="1"/>
    <xf numFmtId="0" fontId="0" fillId="11" borderId="0" xfId="0" applyFill="1"/>
    <xf numFmtId="0" fontId="32" fillId="0" borderId="38" xfId="0" applyFont="1" applyBorder="1" applyAlignment="1">
      <alignment horizontal="center"/>
    </xf>
    <xf numFmtId="171" fontId="13" fillId="2" borderId="25" xfId="0" applyNumberFormat="1" applyFont="1" applyFill="1" applyBorder="1" applyAlignment="1">
      <alignment horizontal="center" vertical="center" readingOrder="1"/>
    </xf>
    <xf numFmtId="0" fontId="32" fillId="0" borderId="0" xfId="0" applyFont="1"/>
    <xf numFmtId="9" fontId="29" fillId="5" borderId="38" xfId="0" applyNumberFormat="1" applyFont="1" applyFill="1" applyBorder="1"/>
    <xf numFmtId="176" fontId="29" fillId="5" borderId="38" xfId="0" applyNumberFormat="1" applyFont="1" applyFill="1" applyBorder="1"/>
    <xf numFmtId="177" fontId="29" fillId="5" borderId="38" xfId="0" applyNumberFormat="1" applyFont="1" applyFill="1" applyBorder="1"/>
    <xf numFmtId="178" fontId="29" fillId="5" borderId="38" xfId="0" applyNumberFormat="1" applyFont="1" applyFill="1" applyBorder="1"/>
    <xf numFmtId="0" fontId="26" fillId="4" borderId="38" xfId="0" applyFont="1" applyFill="1" applyBorder="1"/>
    <xf numFmtId="9" fontId="26" fillId="4" borderId="38" xfId="0" applyNumberFormat="1" applyFont="1" applyFill="1" applyBorder="1"/>
    <xf numFmtId="177" fontId="26" fillId="4" borderId="38" xfId="0" applyNumberFormat="1" applyFont="1" applyFill="1" applyBorder="1"/>
    <xf numFmtId="176" fontId="26" fillId="4" borderId="38" xfId="0" applyNumberFormat="1" applyFont="1" applyFill="1" applyBorder="1"/>
    <xf numFmtId="178" fontId="26" fillId="4" borderId="38" xfId="0" applyNumberFormat="1" applyFont="1" applyFill="1" applyBorder="1"/>
    <xf numFmtId="178" fontId="35" fillId="4" borderId="38" xfId="0" applyNumberFormat="1" applyFont="1" applyFill="1" applyBorder="1"/>
    <xf numFmtId="178" fontId="35" fillId="0" borderId="38" xfId="0" applyNumberFormat="1" applyFont="1" applyBorder="1"/>
    <xf numFmtId="0" fontId="35" fillId="0" borderId="38" xfId="0" applyFont="1" applyBorder="1"/>
    <xf numFmtId="9" fontId="35" fillId="4" borderId="38" xfId="0" applyNumberFormat="1" applyFont="1" applyFill="1" applyBorder="1"/>
    <xf numFmtId="9" fontId="35" fillId="0" borderId="38" xfId="0" applyNumberFormat="1" applyFont="1" applyBorder="1"/>
    <xf numFmtId="171" fontId="13" fillId="2" borderId="19" xfId="0" applyNumberFormat="1" applyFont="1" applyFill="1" applyBorder="1" applyAlignment="1">
      <alignment horizontal="center" vertical="center" readingOrder="1"/>
    </xf>
    <xf numFmtId="0" fontId="5" fillId="9" borderId="0" xfId="0" applyFont="1" applyFill="1"/>
    <xf numFmtId="179" fontId="5" fillId="0" borderId="0" xfId="0" applyNumberFormat="1" applyFont="1"/>
    <xf numFmtId="0" fontId="16" fillId="7" borderId="36" xfId="0" applyFont="1" applyFill="1" applyBorder="1"/>
    <xf numFmtId="0" fontId="5" fillId="0" borderId="36" xfId="0" applyFont="1" applyBorder="1"/>
    <xf numFmtId="0" fontId="26" fillId="0" borderId="38" xfId="0" applyFont="1" applyBorder="1" applyAlignment="1">
      <alignment horizontal="right"/>
    </xf>
    <xf numFmtId="9" fontId="29" fillId="5" borderId="38" xfId="1" applyFont="1" applyFill="1" applyBorder="1"/>
    <xf numFmtId="173" fontId="5" fillId="0" borderId="0" xfId="0" applyNumberFormat="1" applyFont="1" applyAlignment="1">
      <alignment horizontal="right"/>
    </xf>
    <xf numFmtId="180" fontId="5" fillId="0" borderId="0" xfId="0" applyNumberFormat="1" applyFont="1" applyAlignment="1">
      <alignment horizontal="right"/>
    </xf>
    <xf numFmtId="180" fontId="5" fillId="0" borderId="15" xfId="0" applyNumberFormat="1" applyFont="1" applyBorder="1" applyAlignment="1">
      <alignment horizontal="right"/>
    </xf>
    <xf numFmtId="175" fontId="5" fillId="0" borderId="0" xfId="1" applyNumberFormat="1" applyFont="1" applyAlignment="1">
      <alignment horizontal="right"/>
    </xf>
    <xf numFmtId="9" fontId="26" fillId="4" borderId="38" xfId="0" applyNumberFormat="1" applyFont="1" applyFill="1" applyBorder="1" applyAlignment="1">
      <alignment horizontal="right"/>
    </xf>
    <xf numFmtId="181" fontId="5" fillId="0" borderId="0" xfId="0" applyNumberFormat="1" applyFont="1"/>
    <xf numFmtId="181" fontId="5" fillId="0" borderId="15" xfId="0" applyNumberFormat="1" applyFont="1" applyBorder="1"/>
    <xf numFmtId="9" fontId="29" fillId="5" borderId="38" xfId="0" applyNumberFormat="1" applyFont="1" applyFill="1" applyBorder="1" applyAlignment="1">
      <alignment horizontal="center"/>
    </xf>
    <xf numFmtId="178" fontId="35" fillId="4" borderId="38" xfId="0" applyNumberFormat="1" applyFont="1" applyFill="1" applyBorder="1" applyAlignment="1">
      <alignment horizontal="right"/>
    </xf>
    <xf numFmtId="181" fontId="5" fillId="0" borderId="0" xfId="0" applyNumberFormat="1" applyFont="1" applyAlignment="1">
      <alignment horizontal="right"/>
    </xf>
    <xf numFmtId="182" fontId="5" fillId="0" borderId="0" xfId="0" applyNumberFormat="1" applyFont="1" applyAlignment="1">
      <alignment horizontal="right"/>
    </xf>
    <xf numFmtId="182" fontId="5" fillId="0" borderId="15" xfId="0" applyNumberFormat="1" applyFont="1" applyBorder="1" applyAlignment="1">
      <alignment horizontal="right"/>
    </xf>
    <xf numFmtId="7" fontId="5" fillId="0" borderId="0" xfId="0" applyNumberFormat="1" applyFont="1"/>
    <xf numFmtId="6" fontId="0" fillId="11" borderId="0" xfId="0" applyNumberFormat="1" applyFill="1" applyAlignment="1">
      <alignment horizontal="left"/>
    </xf>
    <xf numFmtId="183" fontId="29" fillId="5" borderId="38" xfId="0" applyNumberFormat="1" applyFont="1" applyFill="1" applyBorder="1"/>
    <xf numFmtId="184" fontId="29" fillId="5" borderId="38" xfId="3" applyNumberFormat="1" applyFont="1" applyFill="1" applyBorder="1"/>
    <xf numFmtId="185" fontId="29" fillId="5" borderId="38" xfId="2" applyNumberFormat="1" applyFont="1" applyFill="1" applyBorder="1"/>
    <xf numFmtId="185" fontId="29" fillId="5" borderId="38" xfId="0" applyNumberFormat="1" applyFont="1" applyFill="1" applyBorder="1"/>
    <xf numFmtId="0" fontId="29" fillId="12" borderId="38" xfId="0" applyFont="1" applyFill="1" applyBorder="1"/>
    <xf numFmtId="0" fontId="26" fillId="12" borderId="38" xfId="0" applyFont="1" applyFill="1" applyBorder="1"/>
    <xf numFmtId="0" fontId="29" fillId="13" borderId="38" xfId="0" applyFont="1" applyFill="1" applyBorder="1"/>
    <xf numFmtId="44" fontId="29" fillId="5" borderId="38" xfId="3" applyFont="1" applyFill="1" applyBorder="1"/>
    <xf numFmtId="185" fontId="29" fillId="12" borderId="38" xfId="2" applyNumberFormat="1" applyFont="1" applyFill="1" applyBorder="1"/>
    <xf numFmtId="185" fontId="26" fillId="5" borderId="38" xfId="2" applyNumberFormat="1" applyFont="1" applyFill="1" applyBorder="1"/>
    <xf numFmtId="184" fontId="26" fillId="5" borderId="38" xfId="3" applyNumberFormat="1" applyFont="1" applyFill="1" applyBorder="1"/>
    <xf numFmtId="44" fontId="26" fillId="5" borderId="38" xfId="3" applyFont="1" applyFill="1" applyBorder="1"/>
    <xf numFmtId="186" fontId="5" fillId="0" borderId="0" xfId="0" applyNumberFormat="1" applyFont="1" applyAlignment="1">
      <alignment horizontal="right"/>
    </xf>
    <xf numFmtId="186" fontId="5" fillId="0" borderId="0" xfId="0" applyNumberFormat="1" applyFont="1"/>
    <xf numFmtId="9" fontId="29" fillId="0" borderId="38" xfId="0" applyNumberFormat="1" applyFont="1" applyBorder="1"/>
    <xf numFmtId="179" fontId="26" fillId="0" borderId="38" xfId="2" applyNumberFormat="1" applyFont="1" applyFill="1" applyBorder="1"/>
    <xf numFmtId="187" fontId="5" fillId="0" borderId="0" xfId="1" applyNumberFormat="1" applyFont="1"/>
    <xf numFmtId="187" fontId="5" fillId="0" borderId="0" xfId="1" applyNumberFormat="1" applyFont="1" applyAlignment="1">
      <alignment horizontal="right"/>
    </xf>
    <xf numFmtId="185" fontId="26" fillId="0" borderId="38" xfId="2" applyNumberFormat="1" applyFont="1" applyFill="1" applyBorder="1"/>
    <xf numFmtId="179" fontId="26" fillId="0" borderId="38" xfId="0" applyNumberFormat="1" applyFont="1" applyBorder="1"/>
    <xf numFmtId="9" fontId="26" fillId="0" borderId="38" xfId="0" applyNumberFormat="1" applyFont="1" applyBorder="1"/>
    <xf numFmtId="49" fontId="0" fillId="11" borderId="0" xfId="0" applyNumberFormat="1" applyFill="1" applyAlignment="1">
      <alignment horizontal="left"/>
    </xf>
    <xf numFmtId="184" fontId="26" fillId="0" borderId="38" xfId="3" applyNumberFormat="1" applyFont="1" applyBorder="1"/>
    <xf numFmtId="0" fontId="29" fillId="0" borderId="38" xfId="0" applyFont="1" applyBorder="1"/>
    <xf numFmtId="9" fontId="29" fillId="0" borderId="38" xfId="1" applyFont="1" applyFill="1" applyBorder="1"/>
    <xf numFmtId="44" fontId="26" fillId="0" borderId="38" xfId="3" applyFont="1" applyBorder="1"/>
    <xf numFmtId="9" fontId="26" fillId="0" borderId="38" xfId="1" applyFont="1" applyFill="1" applyBorder="1"/>
    <xf numFmtId="10" fontId="26" fillId="0" borderId="38" xfId="1" applyNumberFormat="1" applyFont="1" applyFill="1" applyBorder="1"/>
    <xf numFmtId="184" fontId="26" fillId="0" borderId="38" xfId="3" applyNumberFormat="1" applyFont="1" applyFill="1" applyBorder="1"/>
    <xf numFmtId="0" fontId="26" fillId="12" borderId="38" xfId="0" applyFont="1" applyFill="1" applyBorder="1" applyAlignment="1">
      <alignment horizontal="center"/>
    </xf>
    <xf numFmtId="184" fontId="36" fillId="5" borderId="38" xfId="3" applyNumberFormat="1" applyFont="1" applyFill="1" applyBorder="1"/>
    <xf numFmtId="43" fontId="29" fillId="5" borderId="38" xfId="2" applyFont="1" applyFill="1" applyBorder="1"/>
    <xf numFmtId="0" fontId="5" fillId="4" borderId="0" xfId="0" applyFont="1" applyFill="1"/>
    <xf numFmtId="9" fontId="26" fillId="0" borderId="38" xfId="1" applyFont="1" applyBorder="1"/>
    <xf numFmtId="0" fontId="29" fillId="14" borderId="38" xfId="0" applyFont="1" applyFill="1" applyBorder="1"/>
    <xf numFmtId="9" fontId="29" fillId="15" borderId="38" xfId="1" applyFont="1" applyFill="1" applyBorder="1"/>
    <xf numFmtId="6" fontId="5" fillId="0" borderId="0" xfId="0" applyNumberFormat="1" applyFont="1"/>
    <xf numFmtId="179" fontId="29" fillId="5" borderId="38" xfId="0" applyNumberFormat="1" applyFont="1" applyFill="1" applyBorder="1"/>
    <xf numFmtId="9" fontId="26" fillId="5" borderId="38" xfId="2" applyNumberFormat="1" applyFont="1" applyFill="1" applyBorder="1"/>
    <xf numFmtId="9" fontId="26" fillId="16" borderId="38" xfId="2" applyNumberFormat="1" applyFont="1" applyFill="1" applyBorder="1"/>
    <xf numFmtId="179" fontId="26" fillId="0" borderId="38" xfId="0" applyNumberFormat="1" applyFont="1" applyBorder="1" applyAlignment="1">
      <alignment horizontal="right"/>
    </xf>
    <xf numFmtId="175" fontId="16" fillId="0" borderId="15" xfId="1" applyNumberFormat="1" applyFont="1" applyBorder="1" applyAlignment="1">
      <alignment horizontal="right"/>
    </xf>
    <xf numFmtId="180" fontId="5" fillId="0" borderId="0" xfId="0" applyNumberFormat="1" applyFont="1"/>
    <xf numFmtId="8" fontId="5" fillId="0" borderId="0" xfId="0" applyNumberFormat="1" applyFont="1" applyAlignment="1">
      <alignment horizontal="right"/>
    </xf>
    <xf numFmtId="184" fontId="5" fillId="0" borderId="0" xfId="3" applyNumberFormat="1" applyFont="1" applyAlignment="1"/>
    <xf numFmtId="9" fontId="5" fillId="0" borderId="9" xfId="0" applyNumberFormat="1" applyFont="1" applyBorder="1"/>
    <xf numFmtId="188" fontId="5" fillId="0" borderId="0" xfId="3" applyNumberFormat="1" applyFont="1" applyAlignment="1"/>
    <xf numFmtId="189" fontId="5" fillId="0" borderId="15" xfId="3" applyNumberFormat="1" applyFont="1" applyBorder="1" applyAlignment="1"/>
    <xf numFmtId="174" fontId="15" fillId="7" borderId="0" xfId="0" applyNumberFormat="1" applyFont="1" applyFill="1"/>
    <xf numFmtId="6" fontId="5" fillId="0" borderId="0" xfId="3" applyNumberFormat="1" applyFont="1" applyAlignment="1"/>
    <xf numFmtId="8" fontId="5" fillId="0" borderId="0" xfId="0" applyNumberFormat="1" applyFont="1"/>
    <xf numFmtId="8" fontId="29" fillId="5" borderId="38" xfId="0" applyNumberFormat="1" applyFont="1" applyFill="1" applyBorder="1" applyAlignment="1">
      <alignment horizontal="right"/>
    </xf>
    <xf numFmtId="190" fontId="5" fillId="0" borderId="0" xfId="0" applyNumberFormat="1" applyFont="1" applyAlignment="1">
      <alignment horizontal="right"/>
    </xf>
    <xf numFmtId="3" fontId="29" fillId="5" borderId="38" xfId="0" applyNumberFormat="1" applyFont="1" applyFill="1" applyBorder="1"/>
    <xf numFmtId="6" fontId="26" fillId="4" borderId="38" xfId="0" applyNumberFormat="1" applyFont="1" applyFill="1" applyBorder="1" applyAlignment="1">
      <alignment horizontal="right"/>
    </xf>
    <xf numFmtId="6" fontId="26" fillId="4" borderId="38" xfId="0" applyNumberFormat="1" applyFont="1" applyFill="1" applyBorder="1"/>
    <xf numFmtId="191" fontId="5" fillId="0" borderId="0" xfId="0" applyNumberFormat="1" applyFont="1" applyAlignment="1">
      <alignment horizontal="right"/>
    </xf>
    <xf numFmtId="192" fontId="5" fillId="0" borderId="0" xfId="0" applyNumberFormat="1" applyFont="1" applyAlignment="1">
      <alignment horizontal="right"/>
    </xf>
    <xf numFmtId="193" fontId="29" fillId="5" borderId="38" xfId="2" applyNumberFormat="1" applyFont="1" applyFill="1" applyBorder="1"/>
    <xf numFmtId="1" fontId="29" fillId="5" borderId="38" xfId="0" applyNumberFormat="1" applyFont="1" applyFill="1" applyBorder="1"/>
    <xf numFmtId="44" fontId="26" fillId="0" borderId="38" xfId="3" applyFont="1" applyBorder="1" applyAlignment="1">
      <alignment horizontal="right"/>
    </xf>
    <xf numFmtId="0" fontId="5" fillId="0" borderId="0" xfId="0" applyFont="1" applyAlignment="1">
      <alignment horizontal="right"/>
    </xf>
    <xf numFmtId="0" fontId="18" fillId="7" borderId="0" xfId="0" applyFont="1" applyFill="1" applyAlignment="1">
      <alignment horizontal="right"/>
    </xf>
    <xf numFmtId="184" fontId="29" fillId="5" borderId="38" xfId="3" applyNumberFormat="1" applyFont="1" applyFill="1" applyBorder="1" applyAlignment="1">
      <alignment horizontal="right"/>
    </xf>
    <xf numFmtId="184" fontId="29" fillId="5" borderId="38" xfId="3" applyNumberFormat="1" applyFont="1" applyFill="1" applyBorder="1" applyAlignment="1"/>
    <xf numFmtId="44" fontId="26" fillId="0" borderId="38" xfId="3" applyFont="1" applyBorder="1" applyAlignment="1"/>
    <xf numFmtId="184" fontId="26" fillId="4" borderId="38" xfId="3" applyNumberFormat="1" applyFont="1" applyFill="1" applyBorder="1"/>
    <xf numFmtId="194" fontId="26" fillId="0" borderId="38" xfId="1" applyNumberFormat="1" applyFont="1" applyFill="1" applyBorder="1"/>
    <xf numFmtId="174" fontId="5" fillId="0" borderId="0" xfId="0" applyNumberFormat="1" applyFont="1" applyAlignment="1">
      <alignment horizontal="right"/>
    </xf>
    <xf numFmtId="174" fontId="5" fillId="0" borderId="15" xfId="0" applyNumberFormat="1" applyFont="1" applyBorder="1" applyAlignment="1">
      <alignment horizontal="right"/>
    </xf>
    <xf numFmtId="174" fontId="15" fillId="7" borderId="0" xfId="0" applyNumberFormat="1" applyFont="1" applyFill="1" applyAlignment="1">
      <alignment horizontal="right"/>
    </xf>
    <xf numFmtId="0" fontId="31" fillId="0" borderId="0" xfId="0" applyFont="1"/>
    <xf numFmtId="195" fontId="31" fillId="0" borderId="0" xfId="0" applyNumberFormat="1" applyFont="1" applyAlignment="1">
      <alignment horizontal="center"/>
    </xf>
    <xf numFmtId="6" fontId="0" fillId="0" borderId="0" xfId="0" applyNumberFormat="1" applyAlignment="1">
      <alignment horizontal="right"/>
    </xf>
    <xf numFmtId="179" fontId="0" fillId="0" borderId="0" xfId="0" applyNumberFormat="1" applyAlignment="1">
      <alignment horizontal="right"/>
    </xf>
    <xf numFmtId="9" fontId="0" fillId="0" borderId="0" xfId="0" applyNumberFormat="1" applyAlignment="1">
      <alignment horizontal="right"/>
    </xf>
    <xf numFmtId="9" fontId="26" fillId="0" borderId="38" xfId="2" applyNumberFormat="1" applyFont="1" applyFill="1" applyBorder="1"/>
    <xf numFmtId="9" fontId="5" fillId="0" borderId="0" xfId="0" applyNumberFormat="1" applyFont="1"/>
    <xf numFmtId="3" fontId="29" fillId="5" borderId="38" xfId="1" applyNumberFormat="1" applyFont="1" applyFill="1" applyBorder="1"/>
    <xf numFmtId="9" fontId="5" fillId="0" borderId="0" xfId="0" applyNumberFormat="1" applyFont="1" applyAlignment="1">
      <alignment horizontal="right"/>
    </xf>
    <xf numFmtId="177" fontId="26" fillId="4" borderId="38" xfId="0" applyNumberFormat="1" applyFont="1" applyFill="1" applyBorder="1" applyAlignment="1">
      <alignment horizontal="right"/>
    </xf>
    <xf numFmtId="6" fontId="26" fillId="0" borderId="38" xfId="0" applyNumberFormat="1" applyFont="1" applyBorder="1"/>
    <xf numFmtId="6" fontId="29" fillId="5" borderId="38" xfId="0" applyNumberFormat="1" applyFont="1" applyFill="1" applyBorder="1"/>
    <xf numFmtId="185" fontId="39" fillId="0" borderId="38" xfId="2" applyNumberFormat="1" applyFont="1" applyFill="1" applyBorder="1"/>
    <xf numFmtId="9" fontId="39" fillId="0" borderId="38" xfId="2" applyNumberFormat="1" applyFont="1" applyFill="1" applyBorder="1"/>
    <xf numFmtId="0" fontId="40" fillId="5" borderId="38" xfId="0" applyFont="1" applyFill="1" applyBorder="1" applyAlignment="1">
      <alignment horizontal="center"/>
    </xf>
    <xf numFmtId="175" fontId="5" fillId="0" borderId="0" xfId="1" applyNumberFormat="1" applyFont="1" applyFill="1" applyAlignment="1">
      <alignment horizontal="right"/>
    </xf>
    <xf numFmtId="1" fontId="32" fillId="0" borderId="38" xfId="0" applyNumberFormat="1" applyFont="1" applyBorder="1"/>
    <xf numFmtId="0" fontId="16" fillId="0" borderId="0" xfId="0" applyFont="1" applyAlignment="1">
      <alignment horizontal="center"/>
    </xf>
    <xf numFmtId="185" fontId="26" fillId="4" borderId="38" xfId="2" applyNumberFormat="1" applyFont="1" applyFill="1" applyBorder="1"/>
    <xf numFmtId="6" fontId="0" fillId="0" borderId="0" xfId="0" applyNumberFormat="1"/>
    <xf numFmtId="184" fontId="5" fillId="0" borderId="0" xfId="0" applyNumberFormat="1" applyFont="1"/>
    <xf numFmtId="178" fontId="35" fillId="0" borderId="38" xfId="0" applyNumberFormat="1" applyFont="1" applyBorder="1" applyAlignment="1">
      <alignment horizontal="right"/>
    </xf>
    <xf numFmtId="0" fontId="25" fillId="0" borderId="0" xfId="0" applyFont="1" applyAlignment="1">
      <alignment horizontal="right"/>
    </xf>
    <xf numFmtId="0" fontId="17" fillId="8" borderId="30" xfId="0" applyFont="1" applyFill="1" applyBorder="1" applyAlignment="1">
      <alignment horizontal="right"/>
    </xf>
    <xf numFmtId="0" fontId="16" fillId="0" borderId="0" xfId="0" applyFont="1" applyAlignment="1">
      <alignment horizontal="right"/>
    </xf>
    <xf numFmtId="169" fontId="13" fillId="0" borderId="0" xfId="0" applyNumberFormat="1" applyFont="1" applyAlignment="1">
      <alignment horizontal="right" vertical="center" readingOrder="1"/>
    </xf>
    <xf numFmtId="0" fontId="5" fillId="7" borderId="0" xfId="0" applyFont="1" applyFill="1" applyAlignment="1">
      <alignment horizontal="right"/>
    </xf>
    <xf numFmtId="9" fontId="5" fillId="0" borderId="9" xfId="0" applyNumberFormat="1" applyFont="1" applyBorder="1" applyAlignment="1">
      <alignment horizontal="right"/>
    </xf>
    <xf numFmtId="0" fontId="15" fillId="7" borderId="0" xfId="0" applyFont="1" applyFill="1" applyAlignment="1">
      <alignment horizontal="right"/>
    </xf>
    <xf numFmtId="188" fontId="5" fillId="0" borderId="0" xfId="3" applyNumberFormat="1" applyFont="1" applyAlignment="1">
      <alignment horizontal="right"/>
    </xf>
    <xf numFmtId="189" fontId="5" fillId="0" borderId="15" xfId="3" applyNumberFormat="1" applyFont="1" applyBorder="1" applyAlignment="1">
      <alignment horizontal="right"/>
    </xf>
    <xf numFmtId="6" fontId="5" fillId="0" borderId="0" xfId="3" applyNumberFormat="1" applyFont="1" applyAlignment="1">
      <alignment horizontal="right"/>
    </xf>
    <xf numFmtId="181" fontId="5" fillId="0" borderId="15" xfId="0" applyNumberFormat="1" applyFont="1" applyBorder="1" applyAlignment="1">
      <alignment horizontal="right"/>
    </xf>
    <xf numFmtId="0" fontId="14" fillId="0" borderId="0" xfId="0" applyFont="1" applyAlignment="1">
      <alignment horizontal="right"/>
    </xf>
    <xf numFmtId="173" fontId="13" fillId="0" borderId="0" xfId="0" applyNumberFormat="1" applyFont="1" applyAlignment="1">
      <alignment horizontal="right" vertical="center" readingOrder="1"/>
    </xf>
    <xf numFmtId="173" fontId="5" fillId="7" borderId="0" xfId="0" applyNumberFormat="1" applyFont="1" applyFill="1" applyAlignment="1">
      <alignment horizontal="right"/>
    </xf>
    <xf numFmtId="173" fontId="18" fillId="7" borderId="0" xfId="0" applyNumberFormat="1" applyFont="1" applyFill="1" applyAlignment="1">
      <alignment horizontal="right"/>
    </xf>
    <xf numFmtId="173" fontId="15" fillId="7" borderId="0" xfId="0" applyNumberFormat="1" applyFont="1" applyFill="1" applyAlignment="1">
      <alignment horizontal="right"/>
    </xf>
    <xf numFmtId="173" fontId="5" fillId="0" borderId="15" xfId="0" applyNumberFormat="1" applyFont="1" applyBorder="1" applyAlignment="1">
      <alignment horizontal="right"/>
    </xf>
    <xf numFmtId="184" fontId="5" fillId="0" borderId="0" xfId="3" applyNumberFormat="1" applyFont="1" applyAlignment="1">
      <alignment horizontal="right"/>
    </xf>
    <xf numFmtId="9" fontId="29" fillId="13" borderId="38" xfId="1" applyFont="1" applyFill="1" applyBorder="1"/>
    <xf numFmtId="1" fontId="29" fillId="0" borderId="38" xfId="0" applyNumberFormat="1" applyFont="1" applyBorder="1"/>
    <xf numFmtId="0" fontId="35" fillId="0" borderId="0" xfId="0" applyFont="1"/>
    <xf numFmtId="184" fontId="29" fillId="13" borderId="38" xfId="3" applyNumberFormat="1" applyFont="1" applyFill="1" applyBorder="1"/>
    <xf numFmtId="184" fontId="39" fillId="0" borderId="38" xfId="3" applyNumberFormat="1" applyFont="1" applyFill="1" applyBorder="1"/>
    <xf numFmtId="1" fontId="32" fillId="12" borderId="38" xfId="0" applyNumberFormat="1" applyFont="1" applyFill="1" applyBorder="1"/>
    <xf numFmtId="1" fontId="29" fillId="5" borderId="38" xfId="2" applyNumberFormat="1" applyFont="1" applyFill="1" applyBorder="1" applyAlignment="1">
      <alignment horizontal="right"/>
    </xf>
    <xf numFmtId="184" fontId="29" fillId="13" borderId="38" xfId="0" applyNumberFormat="1" applyFont="1" applyFill="1" applyBorder="1"/>
    <xf numFmtId="184" fontId="5" fillId="5" borderId="38" xfId="3" applyNumberFormat="1" applyFont="1" applyFill="1" applyBorder="1"/>
    <xf numFmtId="179" fontId="29" fillId="0" borderId="38" xfId="1" applyNumberFormat="1" applyFont="1" applyFill="1" applyBorder="1"/>
    <xf numFmtId="185" fontId="29" fillId="0" borderId="38" xfId="0" applyNumberFormat="1" applyFont="1" applyBorder="1"/>
    <xf numFmtId="6" fontId="29" fillId="0" borderId="38" xfId="0" applyNumberFormat="1" applyFont="1" applyBorder="1"/>
    <xf numFmtId="185" fontId="29" fillId="0" borderId="38" xfId="2" applyNumberFormat="1" applyFont="1" applyFill="1" applyBorder="1"/>
    <xf numFmtId="8" fontId="29" fillId="0" borderId="38" xfId="0" applyNumberFormat="1" applyFont="1" applyBorder="1" applyAlignment="1">
      <alignment horizontal="right"/>
    </xf>
    <xf numFmtId="44" fontId="29" fillId="0" borderId="38" xfId="3" applyFont="1" applyFill="1" applyBorder="1" applyAlignment="1">
      <alignment horizontal="right"/>
    </xf>
    <xf numFmtId="44" fontId="29" fillId="0" borderId="38" xfId="3" applyFont="1" applyFill="1" applyBorder="1"/>
    <xf numFmtId="184" fontId="29" fillId="0" borderId="38" xfId="3" applyNumberFormat="1" applyFont="1" applyFill="1" applyBorder="1"/>
    <xf numFmtId="44" fontId="26" fillId="0" borderId="38" xfId="3" applyFont="1" applyFill="1" applyBorder="1"/>
    <xf numFmtId="0" fontId="5" fillId="0" borderId="0" xfId="0" quotePrefix="1" applyFont="1" applyAlignment="1">
      <alignment horizontal="left"/>
    </xf>
    <xf numFmtId="180" fontId="5" fillId="0" borderId="0" xfId="3" applyNumberFormat="1" applyFont="1" applyAlignment="1">
      <alignment horizontal="right"/>
    </xf>
    <xf numFmtId="8" fontId="26" fillId="4" borderId="38" xfId="0" applyNumberFormat="1" applyFont="1" applyFill="1" applyBorder="1"/>
    <xf numFmtId="184" fontId="32" fillId="0" borderId="38" xfId="3" applyNumberFormat="1" applyFont="1" applyFill="1" applyBorder="1"/>
    <xf numFmtId="9" fontId="32" fillId="0" borderId="38" xfId="1" applyFont="1" applyFill="1" applyBorder="1"/>
    <xf numFmtId="184" fontId="26" fillId="0" borderId="38" xfId="3" applyNumberFormat="1" applyFont="1" applyBorder="1" applyAlignment="1">
      <alignment horizontal="right"/>
    </xf>
    <xf numFmtId="0" fontId="43" fillId="0" borderId="0" xfId="0" applyFont="1"/>
    <xf numFmtId="0" fontId="44" fillId="17" borderId="38" xfId="0" applyFont="1" applyFill="1" applyBorder="1"/>
    <xf numFmtId="0" fontId="44" fillId="17" borderId="39" xfId="0" applyFont="1" applyFill="1" applyBorder="1"/>
    <xf numFmtId="0" fontId="44" fillId="17" borderId="40" xfId="0" applyFont="1" applyFill="1" applyBorder="1"/>
    <xf numFmtId="0" fontId="44" fillId="17" borderId="41" xfId="0" applyFont="1" applyFill="1" applyBorder="1"/>
    <xf numFmtId="176" fontId="29" fillId="5" borderId="40" xfId="0" applyNumberFormat="1" applyFont="1" applyFill="1" applyBorder="1"/>
    <xf numFmtId="177" fontId="29" fillId="5" borderId="40" xfId="0" applyNumberFormat="1" applyFont="1" applyFill="1" applyBorder="1"/>
    <xf numFmtId="171" fontId="13" fillId="0" borderId="25" xfId="0" applyNumberFormat="1" applyFont="1" applyBorder="1" applyAlignment="1">
      <alignment horizontal="center" vertical="center" readingOrder="1"/>
    </xf>
    <xf numFmtId="177" fontId="26" fillId="0" borderId="38" xfId="0" applyNumberFormat="1" applyFont="1" applyBorder="1"/>
    <xf numFmtId="0" fontId="5" fillId="0" borderId="46" xfId="0" applyFont="1" applyBorder="1"/>
    <xf numFmtId="0" fontId="16" fillId="18" borderId="46" xfId="0" applyFont="1" applyFill="1" applyBorder="1" applyAlignment="1">
      <alignment horizontal="center"/>
    </xf>
    <xf numFmtId="0" fontId="16" fillId="19" borderId="46" xfId="0" applyFont="1" applyFill="1" applyBorder="1" applyAlignment="1">
      <alignment horizontal="center"/>
    </xf>
    <xf numFmtId="0" fontId="16" fillId="20" borderId="46" xfId="0" applyFont="1" applyFill="1" applyBorder="1" applyAlignment="1">
      <alignment horizontal="center"/>
    </xf>
    <xf numFmtId="0" fontId="5" fillId="21" borderId="44" xfId="0" applyFont="1" applyFill="1" applyBorder="1" applyAlignment="1">
      <alignment vertical="center" wrapText="1"/>
    </xf>
    <xf numFmtId="0" fontId="5" fillId="5" borderId="44" xfId="0" applyFont="1" applyFill="1" applyBorder="1" applyAlignment="1">
      <alignment vertical="center" wrapText="1"/>
    </xf>
    <xf numFmtId="0" fontId="5" fillId="9" borderId="44" xfId="0" applyFont="1" applyFill="1" applyBorder="1" applyAlignment="1">
      <alignment vertical="center" wrapText="1"/>
    </xf>
    <xf numFmtId="0" fontId="5" fillId="9" borderId="44" xfId="0" quotePrefix="1" applyFont="1" applyFill="1" applyBorder="1" applyAlignment="1">
      <alignment vertical="center" wrapText="1"/>
    </xf>
    <xf numFmtId="0" fontId="5" fillId="5" borderId="44" xfId="0" quotePrefix="1" applyFont="1" applyFill="1" applyBorder="1" applyAlignment="1">
      <alignment vertical="center" wrapText="1"/>
    </xf>
    <xf numFmtId="184" fontId="0" fillId="0" borderId="0" xfId="0" applyNumberFormat="1"/>
    <xf numFmtId="0" fontId="5" fillId="9" borderId="43" xfId="0" quotePrefix="1" applyFont="1" applyFill="1" applyBorder="1" applyAlignment="1">
      <alignment vertical="center" wrapText="1"/>
    </xf>
    <xf numFmtId="0" fontId="5" fillId="21" borderId="43" xfId="0" quotePrefix="1" applyFont="1" applyFill="1" applyBorder="1" applyAlignment="1">
      <alignment vertical="center" wrapText="1"/>
    </xf>
    <xf numFmtId="0" fontId="5" fillId="5" borderId="43" xfId="0" quotePrefix="1" applyFont="1" applyFill="1" applyBorder="1" applyAlignment="1">
      <alignment vertical="center" wrapText="1"/>
    </xf>
    <xf numFmtId="0" fontId="5" fillId="9" borderId="45" xfId="0" applyFont="1" applyFill="1" applyBorder="1" applyAlignment="1">
      <alignment vertical="center" wrapText="1"/>
    </xf>
    <xf numFmtId="0" fontId="5" fillId="21" borderId="45" xfId="0" applyFont="1" applyFill="1" applyBorder="1" applyAlignment="1">
      <alignment vertical="center" wrapText="1"/>
    </xf>
    <xf numFmtId="0" fontId="5" fillId="5" borderId="45" xfId="0" applyFont="1" applyFill="1" applyBorder="1" applyAlignment="1">
      <alignment vertical="center" wrapText="1"/>
    </xf>
    <xf numFmtId="0" fontId="5" fillId="21" borderId="44" xfId="0" quotePrefix="1" applyFont="1" applyFill="1" applyBorder="1" applyAlignment="1">
      <alignment vertical="center" wrapText="1"/>
    </xf>
    <xf numFmtId="0" fontId="45" fillId="0" borderId="43" xfId="0" applyFont="1" applyBorder="1" applyAlignment="1">
      <alignment vertical="center" wrapText="1"/>
    </xf>
    <xf numFmtId="0" fontId="45" fillId="0" borderId="44" xfId="0" applyFont="1" applyBorder="1" applyAlignment="1">
      <alignment vertical="center" wrapText="1"/>
    </xf>
    <xf numFmtId="0" fontId="45" fillId="0" borderId="45" xfId="0" applyFont="1" applyBorder="1" applyAlignment="1">
      <alignment vertical="center" wrapText="1"/>
    </xf>
    <xf numFmtId="0" fontId="16" fillId="0" borderId="32" xfId="0" applyFont="1" applyBorder="1" applyAlignment="1">
      <alignment horizontal="center"/>
    </xf>
    <xf numFmtId="172" fontId="16" fillId="0" borderId="32" xfId="0" applyNumberFormat="1" applyFont="1" applyBorder="1" applyAlignment="1">
      <alignment horizontal="center"/>
    </xf>
    <xf numFmtId="169" fontId="13" fillId="0" borderId="42" xfId="0" applyNumberFormat="1" applyFont="1" applyBorder="1" applyAlignment="1">
      <alignment horizontal="center" vertical="center" readingOrder="1"/>
    </xf>
    <xf numFmtId="0" fontId="5" fillId="0" borderId="23" xfId="0" applyFont="1" applyBorder="1" applyAlignment="1">
      <alignment horizontal="center"/>
    </xf>
    <xf numFmtId="0" fontId="2" fillId="7" borderId="14" xfId="0" applyFont="1" applyFill="1" applyBorder="1" applyAlignment="1">
      <alignment horizontal="right" vertical="top" wrapText="1" indent="1" readingOrder="1"/>
    </xf>
    <xf numFmtId="0" fontId="2" fillId="0" borderId="0" xfId="0" applyFont="1" applyAlignment="1">
      <alignment horizontal="left" vertical="center" indent="1" readingOrder="1"/>
    </xf>
    <xf numFmtId="0" fontId="2" fillId="0" borderId="23" xfId="0" applyFont="1" applyBorder="1" applyAlignment="1">
      <alignment horizontal="center"/>
    </xf>
    <xf numFmtId="0" fontId="3" fillId="0" borderId="7" xfId="0" applyFont="1" applyBorder="1" applyAlignment="1">
      <alignment horizontal="left" vertical="center" indent="1" readingOrder="1"/>
    </xf>
    <xf numFmtId="0" fontId="2" fillId="7" borderId="1" xfId="0" applyFont="1" applyFill="1" applyBorder="1" applyAlignment="1">
      <alignment horizontal="center" vertical="center" textRotation="90"/>
    </xf>
    <xf numFmtId="0" fontId="2" fillId="7" borderId="2" xfId="0" applyFont="1" applyFill="1" applyBorder="1" applyAlignment="1">
      <alignment horizontal="right" vertical="top" wrapText="1" indent="1" readingOrder="1"/>
    </xf>
    <xf numFmtId="0" fontId="2" fillId="0" borderId="3" xfId="0" applyFont="1" applyBorder="1" applyAlignment="1">
      <alignment horizontal="left" vertical="top" wrapText="1" indent="1" readingOrder="1"/>
    </xf>
    <xf numFmtId="0" fontId="2" fillId="0" borderId="6" xfId="0" applyFont="1" applyBorder="1" applyAlignment="1">
      <alignment horizontal="left" vertical="top" wrapText="1" indent="1" readingOrder="1"/>
    </xf>
    <xf numFmtId="0" fontId="2" fillId="7" borderId="12" xfId="0" applyFont="1" applyFill="1" applyBorder="1" applyAlignment="1">
      <alignment horizontal="right" vertical="top" wrapText="1" indent="1" readingOrder="1"/>
    </xf>
    <xf numFmtId="0" fontId="2" fillId="0" borderId="11" xfId="0" applyFont="1" applyBorder="1" applyAlignment="1">
      <alignment horizontal="left" vertical="top" wrapText="1" indent="1" readingOrder="1"/>
    </xf>
  </cellXfs>
  <cellStyles count="7">
    <cellStyle name="Comma" xfId="2" builtinId="3"/>
    <cellStyle name="Currency" xfId="3" builtinId="4"/>
    <cellStyle name="Currency 2 2 2 2" xfId="6" xr:uid="{43D5116A-3736-4686-ACB8-8B70E3CA9461}"/>
    <cellStyle name="Normal" xfId="0" builtinId="0"/>
    <cellStyle name="Normal 12 2 2" xfId="5" xr:uid="{175886BD-3B55-4BAC-9F15-12036F186C95}"/>
    <cellStyle name="Normal 8" xfId="4" xr:uid="{21F4A9BB-82BF-4A12-AAC6-CECD7784B5BA}"/>
    <cellStyle name="Percent" xfId="1" builtinId="5"/>
  </cellStyles>
  <dxfs count="0"/>
  <tableStyles count="0" defaultTableStyle="TableStyleMedium2" defaultPivotStyle="PivotStyleLight16"/>
  <colors>
    <mruColors>
      <color rgb="FF512D6D"/>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153864</xdr:colOff>
      <xdr:row>5</xdr:row>
      <xdr:rowOff>1249</xdr:rowOff>
    </xdr:from>
    <xdr:to>
      <xdr:col>2</xdr:col>
      <xdr:colOff>337037</xdr:colOff>
      <xdr:row>10</xdr:row>
      <xdr:rowOff>46537</xdr:rowOff>
    </xdr:to>
    <xdr:sp macro="" textlink="">
      <xdr:nvSpPr>
        <xdr:cNvPr id="3" name="Rectangle 2">
          <a:extLst>
            <a:ext uri="{FF2B5EF4-FFF2-40B4-BE49-F238E27FC236}">
              <a16:creationId xmlns:a16="http://schemas.microsoft.com/office/drawing/2014/main" id="{EE70CE82-53EC-47DB-AB3E-C011B0FE8C0E}"/>
            </a:ext>
          </a:extLst>
        </xdr:cNvPr>
        <xdr:cNvSpPr/>
      </xdr:nvSpPr>
      <xdr:spPr>
        <a:xfrm>
          <a:off x="153864" y="820399"/>
          <a:ext cx="945173" cy="854913"/>
        </a:xfrm>
        <a:prstGeom prst="rect">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Name</a:t>
          </a:r>
        </a:p>
      </xdr:txBody>
    </xdr:sp>
    <xdr:clientData/>
  </xdr:twoCellAnchor>
  <xdr:twoCellAnchor>
    <xdr:from>
      <xdr:col>2</xdr:col>
      <xdr:colOff>401266</xdr:colOff>
      <xdr:row>10</xdr:row>
      <xdr:rowOff>103739</xdr:rowOff>
    </xdr:from>
    <xdr:to>
      <xdr:col>7</xdr:col>
      <xdr:colOff>464634</xdr:colOff>
      <xdr:row>15</xdr:row>
      <xdr:rowOff>155693</xdr:rowOff>
    </xdr:to>
    <xdr:sp macro="" textlink="">
      <xdr:nvSpPr>
        <xdr:cNvPr id="4" name="TextBox 3">
          <a:extLst>
            <a:ext uri="{FF2B5EF4-FFF2-40B4-BE49-F238E27FC236}">
              <a16:creationId xmlns:a16="http://schemas.microsoft.com/office/drawing/2014/main" id="{D28A20A4-2572-4335-B9F6-234B501F47ED}"/>
            </a:ext>
          </a:extLst>
        </xdr:cNvPr>
        <xdr:cNvSpPr txBox="1"/>
      </xdr:nvSpPr>
      <xdr:spPr>
        <a:xfrm>
          <a:off x="1163266" y="1733122"/>
          <a:ext cx="3103262" cy="862592"/>
        </a:xfrm>
        <a:prstGeom prst="rect">
          <a:avLst/>
        </a:prstGeom>
        <a:solidFill>
          <a:schemeClr val="lt1"/>
        </a:solidFill>
        <a:ln w="1270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US" sz="1000">
            <a:solidFill>
              <a:schemeClr val="dk1"/>
            </a:solidFill>
            <a:effectLst/>
            <a:latin typeface="Arial" panose="020B0604020202020204" pitchFamily="34" charset="0"/>
            <a:ea typeface="+mn-ea"/>
            <a:cs typeface="Arial" panose="020B0604020202020204" pitchFamily="34" charset="0"/>
          </a:endParaRPr>
        </a:p>
      </xdr:txBody>
    </xdr:sp>
    <xdr:clientData/>
  </xdr:twoCellAnchor>
  <xdr:twoCellAnchor>
    <xdr:from>
      <xdr:col>2</xdr:col>
      <xdr:colOff>401514</xdr:colOff>
      <xdr:row>5</xdr:row>
      <xdr:rowOff>1249</xdr:rowOff>
    </xdr:from>
    <xdr:to>
      <xdr:col>7</xdr:col>
      <xdr:colOff>466725</xdr:colOff>
      <xdr:row>10</xdr:row>
      <xdr:rowOff>46537</xdr:rowOff>
    </xdr:to>
    <xdr:sp macro="" textlink="">
      <xdr:nvSpPr>
        <xdr:cNvPr id="16" name="Rectangle 15">
          <a:extLst>
            <a:ext uri="{FF2B5EF4-FFF2-40B4-BE49-F238E27FC236}">
              <a16:creationId xmlns:a16="http://schemas.microsoft.com/office/drawing/2014/main" id="{18A4BE8E-FDA6-B4C1-3128-41B84EA21AF1}"/>
            </a:ext>
          </a:extLst>
        </xdr:cNvPr>
        <xdr:cNvSpPr/>
      </xdr:nvSpPr>
      <xdr:spPr>
        <a:xfrm>
          <a:off x="1163514" y="820399"/>
          <a:ext cx="3113211" cy="854913"/>
        </a:xfrm>
        <a:prstGeom prst="rect">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Description</a:t>
          </a:r>
        </a:p>
      </xdr:txBody>
    </xdr:sp>
    <xdr:clientData/>
  </xdr:twoCellAnchor>
  <xdr:twoCellAnchor>
    <xdr:from>
      <xdr:col>7</xdr:col>
      <xdr:colOff>544389</xdr:colOff>
      <xdr:row>5</xdr:row>
      <xdr:rowOff>1249</xdr:rowOff>
    </xdr:from>
    <xdr:to>
      <xdr:col>12</xdr:col>
      <xdr:colOff>1704975</xdr:colOff>
      <xdr:row>10</xdr:row>
      <xdr:rowOff>46537</xdr:rowOff>
    </xdr:to>
    <xdr:sp macro="" textlink="">
      <xdr:nvSpPr>
        <xdr:cNvPr id="17" name="Rectangle 16">
          <a:extLst>
            <a:ext uri="{FF2B5EF4-FFF2-40B4-BE49-F238E27FC236}">
              <a16:creationId xmlns:a16="http://schemas.microsoft.com/office/drawing/2014/main" id="{DDA289F3-22F1-BA59-F98D-E58E86A450D3}"/>
            </a:ext>
          </a:extLst>
        </xdr:cNvPr>
        <xdr:cNvSpPr/>
      </xdr:nvSpPr>
      <xdr:spPr>
        <a:xfrm>
          <a:off x="4354389" y="820399"/>
          <a:ext cx="4684836" cy="854913"/>
        </a:xfrm>
        <a:prstGeom prst="rect">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Update</a:t>
          </a:r>
        </a:p>
      </xdr:txBody>
    </xdr:sp>
    <xdr:clientData/>
  </xdr:twoCellAnchor>
  <xdr:twoCellAnchor>
    <xdr:from>
      <xdr:col>7</xdr:col>
      <xdr:colOff>543622</xdr:colOff>
      <xdr:row>10</xdr:row>
      <xdr:rowOff>103739</xdr:rowOff>
    </xdr:from>
    <xdr:to>
      <xdr:col>12</xdr:col>
      <xdr:colOff>1709854</xdr:colOff>
      <xdr:row>15</xdr:row>
      <xdr:rowOff>155693</xdr:rowOff>
    </xdr:to>
    <xdr:sp macro="" textlink="">
      <xdr:nvSpPr>
        <xdr:cNvPr id="18" name="TextBox 17">
          <a:extLst>
            <a:ext uri="{FF2B5EF4-FFF2-40B4-BE49-F238E27FC236}">
              <a16:creationId xmlns:a16="http://schemas.microsoft.com/office/drawing/2014/main" id="{F0861601-8AD7-EF5B-A498-732093ECC59F}"/>
            </a:ext>
          </a:extLst>
        </xdr:cNvPr>
        <xdr:cNvSpPr txBox="1"/>
      </xdr:nvSpPr>
      <xdr:spPr>
        <a:xfrm>
          <a:off x="4348976" y="1734605"/>
          <a:ext cx="4688158" cy="865064"/>
        </a:xfrm>
        <a:prstGeom prst="rect">
          <a:avLst/>
        </a:prstGeom>
        <a:solidFill>
          <a:schemeClr val="lt1"/>
        </a:solidFill>
        <a:ln w="1270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a:latin typeface="Arial" panose="020B0604020202020204" pitchFamily="34" charset="0"/>
            <a:cs typeface="Arial" panose="020B0604020202020204" pitchFamily="34" charset="0"/>
          </a:endParaRPr>
        </a:p>
      </xdr:txBody>
    </xdr:sp>
    <xdr:clientData/>
  </xdr:twoCellAnchor>
  <xdr:twoCellAnchor>
    <xdr:from>
      <xdr:col>2</xdr:col>
      <xdr:colOff>401266</xdr:colOff>
      <xdr:row>16</xdr:row>
      <xdr:rowOff>45123</xdr:rowOff>
    </xdr:from>
    <xdr:to>
      <xdr:col>7</xdr:col>
      <xdr:colOff>464634</xdr:colOff>
      <xdr:row>21</xdr:row>
      <xdr:rowOff>97078</xdr:rowOff>
    </xdr:to>
    <xdr:sp macro="" textlink="">
      <xdr:nvSpPr>
        <xdr:cNvPr id="20" name="TextBox 19">
          <a:extLst>
            <a:ext uri="{FF2B5EF4-FFF2-40B4-BE49-F238E27FC236}">
              <a16:creationId xmlns:a16="http://schemas.microsoft.com/office/drawing/2014/main" id="{EF6FFDF4-22DF-1884-CD48-78F9D2C478AC}"/>
            </a:ext>
          </a:extLst>
        </xdr:cNvPr>
        <xdr:cNvSpPr txBox="1"/>
      </xdr:nvSpPr>
      <xdr:spPr>
        <a:xfrm>
          <a:off x="1163266" y="2631527"/>
          <a:ext cx="3104041" cy="857916"/>
        </a:xfrm>
        <a:prstGeom prst="rect">
          <a:avLst/>
        </a:prstGeom>
        <a:solidFill>
          <a:schemeClr val="lt1"/>
        </a:solidFill>
        <a:ln w="1270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a:latin typeface="Arial" panose="020B0604020202020204" pitchFamily="34" charset="0"/>
            <a:cs typeface="Arial" panose="020B0604020202020204" pitchFamily="34" charset="0"/>
          </a:endParaRPr>
        </a:p>
      </xdr:txBody>
    </xdr:sp>
    <xdr:clientData/>
  </xdr:twoCellAnchor>
  <xdr:twoCellAnchor>
    <xdr:from>
      <xdr:col>7</xdr:col>
      <xdr:colOff>543622</xdr:colOff>
      <xdr:row>16</xdr:row>
      <xdr:rowOff>45123</xdr:rowOff>
    </xdr:from>
    <xdr:to>
      <xdr:col>12</xdr:col>
      <xdr:colOff>1709854</xdr:colOff>
      <xdr:row>21</xdr:row>
      <xdr:rowOff>97078</xdr:rowOff>
    </xdr:to>
    <xdr:sp macro="" textlink="">
      <xdr:nvSpPr>
        <xdr:cNvPr id="21" name="TextBox 20">
          <a:extLst>
            <a:ext uri="{FF2B5EF4-FFF2-40B4-BE49-F238E27FC236}">
              <a16:creationId xmlns:a16="http://schemas.microsoft.com/office/drawing/2014/main" id="{788B818B-681A-A3CE-0382-36096E352EEE}"/>
            </a:ext>
          </a:extLst>
        </xdr:cNvPr>
        <xdr:cNvSpPr txBox="1"/>
      </xdr:nvSpPr>
      <xdr:spPr>
        <a:xfrm>
          <a:off x="4346295" y="2631527"/>
          <a:ext cx="4683155" cy="857916"/>
        </a:xfrm>
        <a:prstGeom prst="rect">
          <a:avLst/>
        </a:prstGeom>
        <a:solidFill>
          <a:schemeClr val="lt1"/>
        </a:solidFill>
        <a:ln w="1270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a:latin typeface="Arial" panose="020B0604020202020204" pitchFamily="34" charset="0"/>
            <a:cs typeface="Arial" panose="020B0604020202020204" pitchFamily="34" charset="0"/>
          </a:endParaRPr>
        </a:p>
      </xdr:txBody>
    </xdr:sp>
    <xdr:clientData/>
  </xdr:twoCellAnchor>
  <xdr:twoCellAnchor>
    <xdr:from>
      <xdr:col>2</xdr:col>
      <xdr:colOff>401266</xdr:colOff>
      <xdr:row>22</xdr:row>
      <xdr:rowOff>1161</xdr:rowOff>
    </xdr:from>
    <xdr:to>
      <xdr:col>7</xdr:col>
      <xdr:colOff>464634</xdr:colOff>
      <xdr:row>27</xdr:row>
      <xdr:rowOff>53116</xdr:rowOff>
    </xdr:to>
    <xdr:sp macro="" textlink="">
      <xdr:nvSpPr>
        <xdr:cNvPr id="23" name="TextBox 22">
          <a:extLst>
            <a:ext uri="{FF2B5EF4-FFF2-40B4-BE49-F238E27FC236}">
              <a16:creationId xmlns:a16="http://schemas.microsoft.com/office/drawing/2014/main" id="{E3D404C5-E2EB-B3D9-1176-9CCD7709C867}"/>
            </a:ext>
          </a:extLst>
        </xdr:cNvPr>
        <xdr:cNvSpPr txBox="1"/>
      </xdr:nvSpPr>
      <xdr:spPr>
        <a:xfrm>
          <a:off x="1163266" y="3554719"/>
          <a:ext cx="3104041" cy="857916"/>
        </a:xfrm>
        <a:prstGeom prst="rect">
          <a:avLst/>
        </a:prstGeom>
        <a:solidFill>
          <a:schemeClr val="lt1"/>
        </a:solidFill>
        <a:ln w="1270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a:latin typeface="Arial" panose="020B0604020202020204" pitchFamily="34" charset="0"/>
            <a:cs typeface="Arial" panose="020B0604020202020204" pitchFamily="34" charset="0"/>
          </a:endParaRPr>
        </a:p>
      </xdr:txBody>
    </xdr:sp>
    <xdr:clientData/>
  </xdr:twoCellAnchor>
  <xdr:twoCellAnchor>
    <xdr:from>
      <xdr:col>7</xdr:col>
      <xdr:colOff>543622</xdr:colOff>
      <xdr:row>22</xdr:row>
      <xdr:rowOff>1161</xdr:rowOff>
    </xdr:from>
    <xdr:to>
      <xdr:col>12</xdr:col>
      <xdr:colOff>1709854</xdr:colOff>
      <xdr:row>27</xdr:row>
      <xdr:rowOff>53116</xdr:rowOff>
    </xdr:to>
    <xdr:sp macro="" textlink="">
      <xdr:nvSpPr>
        <xdr:cNvPr id="24" name="TextBox 23">
          <a:extLst>
            <a:ext uri="{FF2B5EF4-FFF2-40B4-BE49-F238E27FC236}">
              <a16:creationId xmlns:a16="http://schemas.microsoft.com/office/drawing/2014/main" id="{4A2C5AA4-DADB-2FF8-1530-E4637A9230F6}"/>
            </a:ext>
          </a:extLst>
        </xdr:cNvPr>
        <xdr:cNvSpPr txBox="1"/>
      </xdr:nvSpPr>
      <xdr:spPr>
        <a:xfrm>
          <a:off x="4346295" y="3554719"/>
          <a:ext cx="4683155" cy="857916"/>
        </a:xfrm>
        <a:prstGeom prst="rect">
          <a:avLst/>
        </a:prstGeom>
        <a:solidFill>
          <a:schemeClr val="lt1"/>
        </a:solidFill>
        <a:ln w="1270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a:latin typeface="Arial" panose="020B0604020202020204" pitchFamily="34" charset="0"/>
            <a:cs typeface="Arial" panose="020B0604020202020204" pitchFamily="34" charset="0"/>
          </a:endParaRPr>
        </a:p>
      </xdr:txBody>
    </xdr:sp>
    <xdr:clientData/>
  </xdr:twoCellAnchor>
  <xdr:twoCellAnchor>
    <xdr:from>
      <xdr:col>2</xdr:col>
      <xdr:colOff>401266</xdr:colOff>
      <xdr:row>27</xdr:row>
      <xdr:rowOff>124986</xdr:rowOff>
    </xdr:from>
    <xdr:to>
      <xdr:col>7</xdr:col>
      <xdr:colOff>464634</xdr:colOff>
      <xdr:row>33</xdr:row>
      <xdr:rowOff>15016</xdr:rowOff>
    </xdr:to>
    <xdr:sp macro="" textlink="">
      <xdr:nvSpPr>
        <xdr:cNvPr id="26" name="TextBox 25">
          <a:extLst>
            <a:ext uri="{FF2B5EF4-FFF2-40B4-BE49-F238E27FC236}">
              <a16:creationId xmlns:a16="http://schemas.microsoft.com/office/drawing/2014/main" id="{B4A65ED9-161B-A873-ABD4-2D04CA1690A9}"/>
            </a:ext>
          </a:extLst>
        </xdr:cNvPr>
        <xdr:cNvSpPr txBox="1"/>
      </xdr:nvSpPr>
      <xdr:spPr>
        <a:xfrm>
          <a:off x="1163266" y="4506486"/>
          <a:ext cx="3111368" cy="861580"/>
        </a:xfrm>
        <a:prstGeom prst="rect">
          <a:avLst/>
        </a:prstGeom>
        <a:solidFill>
          <a:schemeClr val="lt1"/>
        </a:solidFill>
        <a:ln w="1270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a:latin typeface="Arial" panose="020B0604020202020204" pitchFamily="34" charset="0"/>
            <a:cs typeface="Arial" panose="020B0604020202020204" pitchFamily="34" charset="0"/>
          </a:endParaRPr>
        </a:p>
      </xdr:txBody>
    </xdr:sp>
    <xdr:clientData/>
  </xdr:twoCellAnchor>
  <xdr:twoCellAnchor>
    <xdr:from>
      <xdr:col>7</xdr:col>
      <xdr:colOff>543622</xdr:colOff>
      <xdr:row>27</xdr:row>
      <xdr:rowOff>124986</xdr:rowOff>
    </xdr:from>
    <xdr:to>
      <xdr:col>12</xdr:col>
      <xdr:colOff>1709854</xdr:colOff>
      <xdr:row>33</xdr:row>
      <xdr:rowOff>15016</xdr:rowOff>
    </xdr:to>
    <xdr:sp macro="" textlink="">
      <xdr:nvSpPr>
        <xdr:cNvPr id="27" name="TextBox 26">
          <a:extLst>
            <a:ext uri="{FF2B5EF4-FFF2-40B4-BE49-F238E27FC236}">
              <a16:creationId xmlns:a16="http://schemas.microsoft.com/office/drawing/2014/main" id="{40B02A01-8EC2-8D8D-A1A4-DA3641EEE65F}"/>
            </a:ext>
          </a:extLst>
        </xdr:cNvPr>
        <xdr:cNvSpPr txBox="1"/>
      </xdr:nvSpPr>
      <xdr:spPr>
        <a:xfrm>
          <a:off x="4353622" y="4506486"/>
          <a:ext cx="4690482" cy="861580"/>
        </a:xfrm>
        <a:prstGeom prst="rect">
          <a:avLst/>
        </a:prstGeom>
        <a:solidFill>
          <a:schemeClr val="lt1"/>
        </a:solidFill>
        <a:ln w="1270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a:latin typeface="Arial" panose="020B0604020202020204" pitchFamily="34" charset="0"/>
            <a:cs typeface="Arial" panose="020B0604020202020204" pitchFamily="34" charset="0"/>
          </a:endParaRPr>
        </a:p>
      </xdr:txBody>
    </xdr:sp>
    <xdr:clientData/>
  </xdr:twoCellAnchor>
  <xdr:twoCellAnchor>
    <xdr:from>
      <xdr:col>2</xdr:col>
      <xdr:colOff>401266</xdr:colOff>
      <xdr:row>33</xdr:row>
      <xdr:rowOff>86886</xdr:rowOff>
    </xdr:from>
    <xdr:to>
      <xdr:col>7</xdr:col>
      <xdr:colOff>464634</xdr:colOff>
      <xdr:row>38</xdr:row>
      <xdr:rowOff>138841</xdr:rowOff>
    </xdr:to>
    <xdr:sp macro="" textlink="">
      <xdr:nvSpPr>
        <xdr:cNvPr id="29" name="TextBox 28">
          <a:extLst>
            <a:ext uri="{FF2B5EF4-FFF2-40B4-BE49-F238E27FC236}">
              <a16:creationId xmlns:a16="http://schemas.microsoft.com/office/drawing/2014/main" id="{B788993E-A1FC-C194-6F4B-D300C832F84F}"/>
            </a:ext>
          </a:extLst>
        </xdr:cNvPr>
        <xdr:cNvSpPr txBox="1"/>
      </xdr:nvSpPr>
      <xdr:spPr>
        <a:xfrm>
          <a:off x="1163266" y="5439936"/>
          <a:ext cx="3111368" cy="861580"/>
        </a:xfrm>
        <a:prstGeom prst="rect">
          <a:avLst/>
        </a:prstGeom>
        <a:solidFill>
          <a:schemeClr val="lt1"/>
        </a:solidFill>
        <a:ln w="1270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a:latin typeface="Arial" panose="020B0604020202020204" pitchFamily="34" charset="0"/>
            <a:cs typeface="Arial" panose="020B0604020202020204" pitchFamily="34" charset="0"/>
          </a:endParaRPr>
        </a:p>
      </xdr:txBody>
    </xdr:sp>
    <xdr:clientData/>
  </xdr:twoCellAnchor>
  <xdr:twoCellAnchor>
    <xdr:from>
      <xdr:col>7</xdr:col>
      <xdr:colOff>543622</xdr:colOff>
      <xdr:row>33</xdr:row>
      <xdr:rowOff>86886</xdr:rowOff>
    </xdr:from>
    <xdr:to>
      <xdr:col>12</xdr:col>
      <xdr:colOff>1709854</xdr:colOff>
      <xdr:row>38</xdr:row>
      <xdr:rowOff>138841</xdr:rowOff>
    </xdr:to>
    <xdr:sp macro="" textlink="">
      <xdr:nvSpPr>
        <xdr:cNvPr id="30" name="TextBox 29">
          <a:extLst>
            <a:ext uri="{FF2B5EF4-FFF2-40B4-BE49-F238E27FC236}">
              <a16:creationId xmlns:a16="http://schemas.microsoft.com/office/drawing/2014/main" id="{C691FA6E-2DB7-5D10-C73B-9AD25E33C62F}"/>
            </a:ext>
          </a:extLst>
        </xdr:cNvPr>
        <xdr:cNvSpPr txBox="1"/>
      </xdr:nvSpPr>
      <xdr:spPr>
        <a:xfrm>
          <a:off x="4353622" y="5439936"/>
          <a:ext cx="4690482" cy="861580"/>
        </a:xfrm>
        <a:prstGeom prst="rect">
          <a:avLst/>
        </a:prstGeom>
        <a:solidFill>
          <a:schemeClr val="lt1"/>
        </a:solidFill>
        <a:ln w="1270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a:latin typeface="Arial" panose="020B0604020202020204" pitchFamily="34" charset="0"/>
            <a:cs typeface="Arial" panose="020B0604020202020204" pitchFamily="34" charset="0"/>
          </a:endParaRPr>
        </a:p>
      </xdr:txBody>
    </xdr:sp>
    <xdr:clientData/>
  </xdr:twoCellAnchor>
  <xdr:twoCellAnchor>
    <xdr:from>
      <xdr:col>0</xdr:col>
      <xdr:colOff>150894</xdr:colOff>
      <xdr:row>10</xdr:row>
      <xdr:rowOff>103739</xdr:rowOff>
    </xdr:from>
    <xdr:to>
      <xdr:col>2</xdr:col>
      <xdr:colOff>342900</xdr:colOff>
      <xdr:row>15</xdr:row>
      <xdr:rowOff>155693</xdr:rowOff>
    </xdr:to>
    <xdr:sp macro="" textlink="">
      <xdr:nvSpPr>
        <xdr:cNvPr id="32" name="TextBox 31">
          <a:extLst>
            <a:ext uri="{FF2B5EF4-FFF2-40B4-BE49-F238E27FC236}">
              <a16:creationId xmlns:a16="http://schemas.microsoft.com/office/drawing/2014/main" id="{E185DC9E-A8E7-FB39-E927-500484E3337F}"/>
            </a:ext>
          </a:extLst>
        </xdr:cNvPr>
        <xdr:cNvSpPr txBox="1"/>
      </xdr:nvSpPr>
      <xdr:spPr>
        <a:xfrm>
          <a:off x="150894" y="1742039"/>
          <a:ext cx="954006" cy="868383"/>
        </a:xfrm>
        <a:prstGeom prst="rect">
          <a:avLst/>
        </a:prstGeom>
        <a:solidFill>
          <a:schemeClr val="lt1"/>
        </a:solidFill>
        <a:ln w="1270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a:latin typeface="Arial" panose="020B0604020202020204" pitchFamily="34" charset="0"/>
            <a:cs typeface="Arial" panose="020B0604020202020204" pitchFamily="34" charset="0"/>
          </a:endParaRPr>
        </a:p>
      </xdr:txBody>
    </xdr:sp>
    <xdr:clientData/>
  </xdr:twoCellAnchor>
  <xdr:twoCellAnchor>
    <xdr:from>
      <xdr:col>0</xdr:col>
      <xdr:colOff>150894</xdr:colOff>
      <xdr:row>16</xdr:row>
      <xdr:rowOff>56114</xdr:rowOff>
    </xdr:from>
    <xdr:to>
      <xdr:col>2</xdr:col>
      <xdr:colOff>342900</xdr:colOff>
      <xdr:row>21</xdr:row>
      <xdr:rowOff>108068</xdr:rowOff>
    </xdr:to>
    <xdr:sp macro="" textlink="">
      <xdr:nvSpPr>
        <xdr:cNvPr id="33" name="TextBox 32">
          <a:extLst>
            <a:ext uri="{FF2B5EF4-FFF2-40B4-BE49-F238E27FC236}">
              <a16:creationId xmlns:a16="http://schemas.microsoft.com/office/drawing/2014/main" id="{D800110D-8E67-A646-7E26-119FCD6E54DB}"/>
            </a:ext>
          </a:extLst>
        </xdr:cNvPr>
        <xdr:cNvSpPr txBox="1"/>
      </xdr:nvSpPr>
      <xdr:spPr>
        <a:xfrm>
          <a:off x="150894" y="2656439"/>
          <a:ext cx="954006" cy="861579"/>
        </a:xfrm>
        <a:prstGeom prst="rect">
          <a:avLst/>
        </a:prstGeom>
        <a:solidFill>
          <a:schemeClr val="lt1"/>
        </a:solidFill>
        <a:ln w="1270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a:latin typeface="Arial" panose="020B0604020202020204" pitchFamily="34" charset="0"/>
            <a:cs typeface="Arial" panose="020B0604020202020204" pitchFamily="34" charset="0"/>
          </a:endParaRPr>
        </a:p>
      </xdr:txBody>
    </xdr:sp>
    <xdr:clientData/>
  </xdr:twoCellAnchor>
  <xdr:twoCellAnchor>
    <xdr:from>
      <xdr:col>0</xdr:col>
      <xdr:colOff>150894</xdr:colOff>
      <xdr:row>22</xdr:row>
      <xdr:rowOff>8489</xdr:rowOff>
    </xdr:from>
    <xdr:to>
      <xdr:col>2</xdr:col>
      <xdr:colOff>342900</xdr:colOff>
      <xdr:row>27</xdr:row>
      <xdr:rowOff>60443</xdr:rowOff>
    </xdr:to>
    <xdr:sp macro="" textlink="">
      <xdr:nvSpPr>
        <xdr:cNvPr id="34" name="TextBox 33">
          <a:extLst>
            <a:ext uri="{FF2B5EF4-FFF2-40B4-BE49-F238E27FC236}">
              <a16:creationId xmlns:a16="http://schemas.microsoft.com/office/drawing/2014/main" id="{AFA6EB68-67FF-BAAB-5AC5-0F67B2B6BAE0}"/>
            </a:ext>
          </a:extLst>
        </xdr:cNvPr>
        <xdr:cNvSpPr txBox="1"/>
      </xdr:nvSpPr>
      <xdr:spPr>
        <a:xfrm>
          <a:off x="150894" y="3580364"/>
          <a:ext cx="954006" cy="861579"/>
        </a:xfrm>
        <a:prstGeom prst="rect">
          <a:avLst/>
        </a:prstGeom>
        <a:solidFill>
          <a:schemeClr val="lt1"/>
        </a:solidFill>
        <a:ln w="1270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a:latin typeface="Arial" panose="020B0604020202020204" pitchFamily="34" charset="0"/>
            <a:cs typeface="Arial" panose="020B0604020202020204" pitchFamily="34" charset="0"/>
          </a:endParaRPr>
        </a:p>
      </xdr:txBody>
    </xdr:sp>
    <xdr:clientData/>
  </xdr:twoCellAnchor>
  <xdr:twoCellAnchor>
    <xdr:from>
      <xdr:col>0</xdr:col>
      <xdr:colOff>150894</xdr:colOff>
      <xdr:row>27</xdr:row>
      <xdr:rowOff>122789</xdr:rowOff>
    </xdr:from>
    <xdr:to>
      <xdr:col>2</xdr:col>
      <xdr:colOff>342900</xdr:colOff>
      <xdr:row>33</xdr:row>
      <xdr:rowOff>12818</xdr:rowOff>
    </xdr:to>
    <xdr:sp macro="" textlink="">
      <xdr:nvSpPr>
        <xdr:cNvPr id="35" name="TextBox 34">
          <a:extLst>
            <a:ext uri="{FF2B5EF4-FFF2-40B4-BE49-F238E27FC236}">
              <a16:creationId xmlns:a16="http://schemas.microsoft.com/office/drawing/2014/main" id="{15E413AA-5E61-1E7A-C578-3AFD269CDC9D}"/>
            </a:ext>
          </a:extLst>
        </xdr:cNvPr>
        <xdr:cNvSpPr txBox="1"/>
      </xdr:nvSpPr>
      <xdr:spPr>
        <a:xfrm>
          <a:off x="150894" y="4504289"/>
          <a:ext cx="954006" cy="861579"/>
        </a:xfrm>
        <a:prstGeom prst="rect">
          <a:avLst/>
        </a:prstGeom>
        <a:solidFill>
          <a:schemeClr val="lt1"/>
        </a:solidFill>
        <a:ln w="1270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a:latin typeface="Arial" panose="020B0604020202020204" pitchFamily="34" charset="0"/>
            <a:cs typeface="Arial" panose="020B0604020202020204" pitchFamily="34" charset="0"/>
          </a:endParaRPr>
        </a:p>
      </xdr:txBody>
    </xdr:sp>
    <xdr:clientData/>
  </xdr:twoCellAnchor>
  <xdr:twoCellAnchor>
    <xdr:from>
      <xdr:col>0</xdr:col>
      <xdr:colOff>150894</xdr:colOff>
      <xdr:row>33</xdr:row>
      <xdr:rowOff>84689</xdr:rowOff>
    </xdr:from>
    <xdr:to>
      <xdr:col>2</xdr:col>
      <xdr:colOff>342900</xdr:colOff>
      <xdr:row>38</xdr:row>
      <xdr:rowOff>136643</xdr:rowOff>
    </xdr:to>
    <xdr:sp macro="" textlink="">
      <xdr:nvSpPr>
        <xdr:cNvPr id="36" name="TextBox 35">
          <a:extLst>
            <a:ext uri="{FF2B5EF4-FFF2-40B4-BE49-F238E27FC236}">
              <a16:creationId xmlns:a16="http://schemas.microsoft.com/office/drawing/2014/main" id="{9E98C497-1469-4B5F-843D-7811300CBCC8}"/>
            </a:ext>
          </a:extLst>
        </xdr:cNvPr>
        <xdr:cNvSpPr txBox="1"/>
      </xdr:nvSpPr>
      <xdr:spPr>
        <a:xfrm>
          <a:off x="150894" y="5437739"/>
          <a:ext cx="954006" cy="861579"/>
        </a:xfrm>
        <a:prstGeom prst="rect">
          <a:avLst/>
        </a:prstGeom>
        <a:solidFill>
          <a:schemeClr val="lt1"/>
        </a:solidFill>
        <a:ln w="1270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28</xdr:row>
      <xdr:rowOff>142875</xdr:rowOff>
    </xdr:from>
    <xdr:to>
      <xdr:col>46</xdr:col>
      <xdr:colOff>333375</xdr:colOff>
      <xdr:row>48</xdr:row>
      <xdr:rowOff>44450</xdr:rowOff>
    </xdr:to>
    <xdr:pic>
      <xdr:nvPicPr>
        <xdr:cNvPr id="4" name="Picture 3">
          <a:extLst>
            <a:ext uri="{FF2B5EF4-FFF2-40B4-BE49-F238E27FC236}">
              <a16:creationId xmlns:a16="http://schemas.microsoft.com/office/drawing/2014/main" id="{F121DDEA-6A23-A57A-B880-51FE7BA3E4DE}"/>
            </a:ext>
          </a:extLst>
        </xdr:cNvPr>
        <xdr:cNvPicPr>
          <a:picLocks noChangeAspect="1"/>
        </xdr:cNvPicPr>
      </xdr:nvPicPr>
      <xdr:blipFill>
        <a:blip xmlns:r="http://schemas.openxmlformats.org/officeDocument/2006/relationships" r:embed="rId1"/>
        <a:stretch>
          <a:fillRect/>
        </a:stretch>
      </xdr:blipFill>
      <xdr:spPr>
        <a:xfrm>
          <a:off x="104775" y="4695825"/>
          <a:ext cx="7200900" cy="31813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323850</xdr:colOff>
      <xdr:row>44</xdr:row>
      <xdr:rowOff>152400</xdr:rowOff>
    </xdr:from>
    <xdr:to>
      <xdr:col>4</xdr:col>
      <xdr:colOff>123825</xdr:colOff>
      <xdr:row>46</xdr:row>
      <xdr:rowOff>152400</xdr:rowOff>
    </xdr:to>
    <xdr:sp macro="" textlink="">
      <xdr:nvSpPr>
        <xdr:cNvPr id="35" name="TextBox 22">
          <a:extLst>
            <a:ext uri="{FF2B5EF4-FFF2-40B4-BE49-F238E27FC236}">
              <a16:creationId xmlns:a16="http://schemas.microsoft.com/office/drawing/2014/main" id="{61C8AABB-B348-BDAB-135B-1E57B02AECB4}"/>
            </a:ext>
          </a:extLst>
        </xdr:cNvPr>
        <xdr:cNvSpPr txBox="1"/>
      </xdr:nvSpPr>
      <xdr:spPr>
        <a:xfrm>
          <a:off x="438150" y="7362825"/>
          <a:ext cx="291465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Define "Opportunity" in footnotes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xdr:colOff>
      <xdr:row>4</xdr:row>
      <xdr:rowOff>169371</xdr:rowOff>
    </xdr:from>
    <xdr:to>
      <xdr:col>2</xdr:col>
      <xdr:colOff>472441</xdr:colOff>
      <xdr:row>8</xdr:row>
      <xdr:rowOff>134216</xdr:rowOff>
    </xdr:to>
    <xdr:sp macro="" textlink="">
      <xdr:nvSpPr>
        <xdr:cNvPr id="28" name="Rectangle 15">
          <a:extLst>
            <a:ext uri="{FF2B5EF4-FFF2-40B4-BE49-F238E27FC236}">
              <a16:creationId xmlns:a16="http://schemas.microsoft.com/office/drawing/2014/main" id="{21932E52-165C-46C6-83B0-93ED33163575}"/>
            </a:ext>
          </a:extLst>
        </xdr:cNvPr>
        <xdr:cNvSpPr/>
      </xdr:nvSpPr>
      <xdr:spPr>
        <a:xfrm>
          <a:off x="160194" y="849110"/>
          <a:ext cx="1282065" cy="830754"/>
        </a:xfrm>
        <a:prstGeom prst="rect">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Product Development</a:t>
          </a:r>
        </a:p>
      </xdr:txBody>
    </xdr:sp>
    <xdr:clientData/>
  </xdr:twoCellAnchor>
  <xdr:twoCellAnchor>
    <xdr:from>
      <xdr:col>1</xdr:col>
      <xdr:colOff>1</xdr:colOff>
      <xdr:row>9</xdr:row>
      <xdr:rowOff>38965</xdr:rowOff>
    </xdr:from>
    <xdr:to>
      <xdr:col>2</xdr:col>
      <xdr:colOff>472441</xdr:colOff>
      <xdr:row>13</xdr:row>
      <xdr:rowOff>149027</xdr:rowOff>
    </xdr:to>
    <xdr:sp macro="" textlink="">
      <xdr:nvSpPr>
        <xdr:cNvPr id="40" name="Rectangle 16">
          <a:extLst>
            <a:ext uri="{FF2B5EF4-FFF2-40B4-BE49-F238E27FC236}">
              <a16:creationId xmlns:a16="http://schemas.microsoft.com/office/drawing/2014/main" id="{C06519AA-9355-4FBD-8AAE-E744CA41F67A}"/>
            </a:ext>
          </a:extLst>
        </xdr:cNvPr>
        <xdr:cNvSpPr/>
      </xdr:nvSpPr>
      <xdr:spPr>
        <a:xfrm>
          <a:off x="160194" y="1757795"/>
          <a:ext cx="1282065" cy="975971"/>
        </a:xfrm>
        <a:prstGeom prst="rect">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Marketing </a:t>
          </a:r>
        </a:p>
      </xdr:txBody>
    </xdr:sp>
    <xdr:clientData/>
  </xdr:twoCellAnchor>
  <xdr:twoCellAnchor>
    <xdr:from>
      <xdr:col>1</xdr:col>
      <xdr:colOff>1</xdr:colOff>
      <xdr:row>14</xdr:row>
      <xdr:rowOff>38965</xdr:rowOff>
    </xdr:from>
    <xdr:to>
      <xdr:col>2</xdr:col>
      <xdr:colOff>476251</xdr:colOff>
      <xdr:row>20</xdr:row>
      <xdr:rowOff>124558</xdr:rowOff>
    </xdr:to>
    <xdr:sp macro="" textlink="">
      <xdr:nvSpPr>
        <xdr:cNvPr id="38" name="Rectangle 17">
          <a:extLst>
            <a:ext uri="{FF2B5EF4-FFF2-40B4-BE49-F238E27FC236}">
              <a16:creationId xmlns:a16="http://schemas.microsoft.com/office/drawing/2014/main" id="{A7B231F0-8AD7-40F3-8252-609D78516005}"/>
            </a:ext>
          </a:extLst>
        </xdr:cNvPr>
        <xdr:cNvSpPr/>
      </xdr:nvSpPr>
      <xdr:spPr>
        <a:xfrm>
          <a:off x="161193" y="2559427"/>
          <a:ext cx="1289539" cy="1096708"/>
        </a:xfrm>
        <a:prstGeom prst="rect">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Sales</a:t>
          </a:r>
        </a:p>
      </xdr:txBody>
    </xdr:sp>
    <xdr:clientData/>
  </xdr:twoCellAnchor>
  <xdr:twoCellAnchor>
    <xdr:from>
      <xdr:col>1</xdr:col>
      <xdr:colOff>1</xdr:colOff>
      <xdr:row>21</xdr:row>
      <xdr:rowOff>38965</xdr:rowOff>
    </xdr:from>
    <xdr:to>
      <xdr:col>2</xdr:col>
      <xdr:colOff>472441</xdr:colOff>
      <xdr:row>25</xdr:row>
      <xdr:rowOff>149027</xdr:rowOff>
    </xdr:to>
    <xdr:sp macro="" textlink="">
      <xdr:nvSpPr>
        <xdr:cNvPr id="90" name="Rectangle 18">
          <a:extLst>
            <a:ext uri="{FF2B5EF4-FFF2-40B4-BE49-F238E27FC236}">
              <a16:creationId xmlns:a16="http://schemas.microsoft.com/office/drawing/2014/main" id="{8492AE80-5FCA-4F0B-85E2-1398B9A42614}"/>
            </a:ext>
          </a:extLst>
        </xdr:cNvPr>
        <xdr:cNvSpPr/>
      </xdr:nvSpPr>
      <xdr:spPr>
        <a:xfrm>
          <a:off x="161193" y="1716830"/>
          <a:ext cx="1289539" cy="784139"/>
        </a:xfrm>
        <a:prstGeom prst="rect">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Customer Success</a:t>
          </a:r>
        </a:p>
      </xdr:txBody>
    </xdr:sp>
    <xdr:clientData/>
  </xdr:twoCellAnchor>
  <xdr:twoCellAnchor>
    <xdr:from>
      <xdr:col>1</xdr:col>
      <xdr:colOff>1</xdr:colOff>
      <xdr:row>26</xdr:row>
      <xdr:rowOff>48197</xdr:rowOff>
    </xdr:from>
    <xdr:to>
      <xdr:col>2</xdr:col>
      <xdr:colOff>472441</xdr:colOff>
      <xdr:row>28</xdr:row>
      <xdr:rowOff>146538</xdr:rowOff>
    </xdr:to>
    <xdr:sp macro="" textlink="">
      <xdr:nvSpPr>
        <xdr:cNvPr id="88" name="Rectangle 19">
          <a:extLst>
            <a:ext uri="{FF2B5EF4-FFF2-40B4-BE49-F238E27FC236}">
              <a16:creationId xmlns:a16="http://schemas.microsoft.com/office/drawing/2014/main" id="{0D34DA9C-97E1-CBE1-5400-DB3603930477}"/>
            </a:ext>
          </a:extLst>
        </xdr:cNvPr>
        <xdr:cNvSpPr/>
      </xdr:nvSpPr>
      <xdr:spPr>
        <a:xfrm>
          <a:off x="161193" y="4590889"/>
          <a:ext cx="1285729" cy="266861"/>
        </a:xfrm>
        <a:prstGeom prst="rect">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Onboarding</a:t>
          </a:r>
        </a:p>
      </xdr:txBody>
    </xdr:sp>
    <xdr:clientData/>
  </xdr:twoCellAnchor>
  <xdr:twoCellAnchor>
    <xdr:from>
      <xdr:col>1</xdr:col>
      <xdr:colOff>1</xdr:colOff>
      <xdr:row>29</xdr:row>
      <xdr:rowOff>38965</xdr:rowOff>
    </xdr:from>
    <xdr:to>
      <xdr:col>2</xdr:col>
      <xdr:colOff>472441</xdr:colOff>
      <xdr:row>31</xdr:row>
      <xdr:rowOff>0</xdr:rowOff>
    </xdr:to>
    <xdr:sp macro="" textlink="">
      <xdr:nvSpPr>
        <xdr:cNvPr id="99" name="Rectangle 20">
          <a:extLst>
            <a:ext uri="{FF2B5EF4-FFF2-40B4-BE49-F238E27FC236}">
              <a16:creationId xmlns:a16="http://schemas.microsoft.com/office/drawing/2014/main" id="{1827F20C-74CC-4E63-B649-A63F449948F4}"/>
            </a:ext>
          </a:extLst>
        </xdr:cNvPr>
        <xdr:cNvSpPr/>
      </xdr:nvSpPr>
      <xdr:spPr>
        <a:xfrm>
          <a:off x="161193" y="3739061"/>
          <a:ext cx="1289539" cy="784139"/>
        </a:xfrm>
        <a:prstGeom prst="rect">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latin typeface="Arial" panose="020B0604020202020204" pitchFamily="34" charset="0"/>
              <a:cs typeface="Arial" panose="020B0604020202020204" pitchFamily="34" charset="0"/>
            </a:rPr>
            <a:t>Finance</a:t>
          </a:r>
        </a:p>
      </xdr:txBody>
    </xdr:sp>
    <xdr:clientData/>
  </xdr:twoCellAnchor>
</xdr:wsDr>
</file>

<file path=xl/persons/person.xml><?xml version="1.0" encoding="utf-8"?>
<personList xmlns="http://schemas.microsoft.com/office/spreadsheetml/2018/threadedcomments" xmlns:x="http://schemas.openxmlformats.org/spreadsheetml/2006/main">
  <person displayName="Sami Petros" id="{776096CD-6F4D-4CB0-9328-3CD5FC2A34E1}" userId="S::sami.petros@longarc.com::223fc03c-f72a-45b4-85d0-55bbdd5c46ce" providerId="AD"/>
  <person displayName="Audra Ryan" id="{3FD16BBB-3D80-4DF7-8241-51D0EC602DFA}" userId="S::audra.ryan@concertiv.com::9b1b54e1-8e92-4759-9ad8-74111b866d74" providerId="AD"/>
  <person displayName="Jordan Lee" id="{4FF068EE-16F5-9343-B3A8-3B7DE33F8B9F}" userId="S::jordan.lee@concertiv.com::4cbc13c0-bc12-401d-86e4-bddd176ac6c2"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26" dT="2024-03-26T19:20:14.24" personId="{776096CD-6F4D-4CB0-9328-3CD5FC2A34E1}" id="{48EF4743-A336-4595-AD8F-506CEA6D45A3}">
    <text xml:space="preserve">VeARC Bonuses - ~29k for ~11 folks </text>
  </threadedComment>
</ThreadedComments>
</file>

<file path=xl/threadedComments/threadedComment2.xml><?xml version="1.0" encoding="utf-8"?>
<ThreadedComments xmlns="http://schemas.microsoft.com/office/spreadsheetml/2018/threadedcomments" xmlns:x="http://schemas.openxmlformats.org/spreadsheetml/2006/main">
  <threadedComment ref="E13" dT="2023-03-31T20:16:22.00" personId="{776096CD-6F4D-4CB0-9328-3CD5FC2A34E1}" id="{4008CE70-8462-47E3-A56E-2D356593171A}">
    <text>Mostly from the 261 event attendees</text>
  </threadedComment>
  <threadedComment ref="B34" dT="2023-03-31T20:21:17.16" personId="{776096CD-6F4D-4CB0-9328-3CD5FC2A34E1}" id="{01583C9E-2FFD-4902-B8AF-D582D91704C9}">
    <text xml:space="preserve">Avg age of opps in pipeline at EoP, by stages 
</text>
  </threadedComment>
  <threadedComment ref="F46" dT="2023-03-31T20:14:20.23" personId="{776096CD-6F4D-4CB0-9328-3CD5FC2A34E1}" id="{C2CB24DD-BEEE-4660-9874-207449854A09}">
    <text xml:space="preserve">Added BDR end of Feb </text>
  </threadedComment>
</ThreadedComments>
</file>

<file path=xl/threadedComments/threadedComment3.xml><?xml version="1.0" encoding="utf-8"?>
<ThreadedComments xmlns="http://schemas.microsoft.com/office/spreadsheetml/2018/threadedcomments" xmlns:x="http://schemas.openxmlformats.org/spreadsheetml/2006/main">
  <threadedComment ref="F26" dT="2023-03-31T20:15:48.02" personId="{776096CD-6F4D-4CB0-9328-3CD5FC2A34E1}" id="{FF8A2DCB-3269-44FC-9D6D-D3489D7CF087}">
    <text xml:space="preserve">No email campaign for Feb </text>
  </threadedComment>
  <threadedComment ref="F29" dT="2023-03-31T20:15:48.02" personId="{776096CD-6F4D-4CB0-9328-3CD5FC2A34E1}" id="{F17D7A9E-7B95-498C-8B7B-5DF12EDDA1B8}">
    <text xml:space="preserve">No email campaign for Feb </text>
  </threadedComment>
  <threadedComment ref="F31" dT="2023-03-31T20:15:48.02" personId="{776096CD-6F4D-4CB0-9328-3CD5FC2A34E1}" id="{512E9CB1-30BC-45F9-AE1F-7C767365CE01}">
    <text xml:space="preserve">No email campaign for Feb </text>
  </threadedComment>
  <threadedComment ref="F34" dT="2023-03-31T20:15:48.02" personId="{776096CD-6F4D-4CB0-9328-3CD5FC2A34E1}" id="{46EACEC7-1902-4823-BDB7-1261F7B1E0DB}">
    <text xml:space="preserve">No email campaign for Feb </text>
  </threadedComment>
  <threadedComment ref="F36" dT="2023-03-31T20:15:48.02" personId="{776096CD-6F4D-4CB0-9328-3CD5FC2A34E1}" id="{47593E5A-D0EE-4090-959B-BF1F89D9B9AB}">
    <text xml:space="preserve">No email campaign for Feb </text>
  </threadedComment>
  <threadedComment ref="F39" dT="2023-03-31T20:15:48.02" personId="{776096CD-6F4D-4CB0-9328-3CD5FC2A34E1}" id="{0E089A4D-9F70-4603-B088-C6E86309A6B1}">
    <text xml:space="preserve">No email campaign for Feb </text>
  </threadedComment>
</ThreadedComments>
</file>

<file path=xl/threadedComments/threadedComment4.xml><?xml version="1.0" encoding="utf-8"?>
<ThreadedComments xmlns="http://schemas.microsoft.com/office/spreadsheetml/2018/threadedcomments" xmlns:x="http://schemas.openxmlformats.org/spreadsheetml/2006/main">
  <threadedComment ref="E13" dT="2023-03-31T20:19:53.32" personId="{776096CD-6F4D-4CB0-9328-3CD5FC2A34E1}" id="{2A98265F-327D-400A-BA0F-146CE882DD14}">
    <text xml:space="preserve">Eagle Point for 40k, revenue loss with another existing client of 4k </text>
  </threadedComment>
  <threadedComment ref="H13" dT="2023-05-11T20:25:40.66" personId="{3FD16BBB-3D80-4DF7-8241-51D0EC602DFA}" id="{25DE1D9E-95F8-4ABF-B96B-B735306A3C84}">
    <text>Zype</text>
  </threadedComment>
</ThreadedComments>
</file>

<file path=xl/threadedComments/threadedComment5.xml><?xml version="1.0" encoding="utf-8"?>
<ThreadedComments xmlns="http://schemas.microsoft.com/office/spreadsheetml/2018/threadedcomments" xmlns:x="http://schemas.openxmlformats.org/spreadsheetml/2006/main">
  <threadedComment ref="AQ17" dT="2025-12-22T21:18:09.20" personId="{4FF068EE-16F5-9343-B3A8-3B7DE33F8B9F}" id="{8E2D7C3A-822F-7542-96EC-340BA658E0AC}">
    <text>Did an MQL cleanup for opportunities; drop in numbers reflects more accurately how many were MQLs that we had contact with vs. potential</text>
  </threadedComment>
  <threadedComment ref="H41" dT="2023-03-23T15:27:09.67" personId="{3FD16BBB-3D80-4DF7-8241-51D0EC602DFA}" id="{6138E90B-D30C-467B-A18E-6B29339BEEB3}">
    <text>Stage 2 or above</text>
  </threadedComment>
  <threadedComment ref="AI45" dT="2024-04-10T16:06:08.43" personId="{3FD16BBB-3D80-4DF7-8241-51D0EC602DFA}" id="{9A855AE0-BA1F-4FEB-ADE6-458B32172646}">
    <text>Pantheon</text>
  </threadedComment>
  <threadedComment ref="H49" dT="2023-04-18T16:34:50.64" personId="{776096CD-6F4D-4CB0-9328-3CD5FC2A34E1}" id="{EE1D99CF-4AE0-4D04-927C-64258FF97F36}">
    <text xml:space="preserve">Weeks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F4AD341-9AE4-4CB1-84A3-E01DB30D710F}">
  <we:reference id="wa200009404" version="1.0.0.8" store="en-US" storeType="OMEX"/>
  <we:alternateReferences>
    <we:reference id="WA200009404" version="1.0.0.8" store="WA200009404" storeType="OMEX"/>
  </we:alternateReferences>
  <we:properties>
    <we:property name="claude.fileId" value="&quot;821d04ee-eeb2-4675-b49d-e3e0c68c8302&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 Id="rId4" Type="http://schemas.microsoft.com/office/2017/10/relationships/threadedComment" Target="../threadedComments/threadedComment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8C2DB-2F85-464B-9DEC-0030CEFA0F6C}">
  <sheetPr codeName="Sheet1">
    <tabColor theme="1" tint="0.249977111117893"/>
  </sheetPr>
  <dimension ref="A1"/>
  <sheetViews>
    <sheetView workbookViewId="0">
      <selection activeCell="I32" sqref="I32"/>
    </sheetView>
  </sheetViews>
  <sheetFormatPr defaultColWidth="8.81640625" defaultRowHeight="14.5"/>
  <sheetData/>
  <pageMargins left="0.7" right="0.7" top="0.75" bottom="0.75" header="0.3" footer="0.3"/>
  <headerFooter>
    <oddHeader>&amp;L&amp;"Aptos"&amp;10&amp;K000000 Internal Use Only&amp;1#_x000D_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38061-4045-48A0-BE8A-12A0BDD1E5BB}">
  <sheetPr codeName="Sheet2">
    <tabColor rgb="FF7030A0"/>
    <pageSetUpPr fitToPage="1"/>
  </sheetPr>
  <dimension ref="B1:E13"/>
  <sheetViews>
    <sheetView showGridLines="0" view="pageBreakPreview" topLeftCell="B1" zoomScaleNormal="100" zoomScaleSheetLayoutView="100" workbookViewId="0">
      <selection activeCell="B6" sqref="B6:E8"/>
    </sheetView>
  </sheetViews>
  <sheetFormatPr defaultColWidth="9.1796875" defaultRowHeight="12.5"/>
  <cols>
    <col min="1" max="1" width="2.453125" style="26" customWidth="1"/>
    <col min="2" max="2" width="14.7265625" style="26" customWidth="1"/>
    <col min="3" max="3" width="56.26953125" style="26" customWidth="1"/>
    <col min="4" max="4" width="69.453125" style="26" customWidth="1"/>
    <col min="5" max="5" width="63.7265625" style="26" customWidth="1"/>
    <col min="6" max="16384" width="9.1796875" style="26"/>
  </cols>
  <sheetData>
    <row r="1" spans="2:5" ht="6" customHeight="1"/>
    <row r="2" spans="2:5">
      <c r="B2" s="26" t="str">
        <f>'2023 Control'!$C$3</f>
        <v>Concertiv</v>
      </c>
    </row>
    <row r="3" spans="2:5">
      <c r="B3" s="30" t="str">
        <f>('2024 Control'!$C$4)&amp;" Reporting Package"</f>
        <v>December 2025 Reporting Package</v>
      </c>
      <c r="C3" s="30"/>
      <c r="D3" s="30"/>
      <c r="E3" s="30"/>
    </row>
    <row r="4" spans="2:5" ht="20">
      <c r="B4" s="130" t="s">
        <v>0</v>
      </c>
      <c r="C4" s="130"/>
      <c r="D4" s="130"/>
      <c r="E4" s="130"/>
    </row>
    <row r="5" spans="2:5" ht="40.5" customHeight="1">
      <c r="B5" s="368"/>
      <c r="C5" s="369" t="s">
        <v>1</v>
      </c>
      <c r="D5" s="370" t="s">
        <v>2</v>
      </c>
      <c r="E5" s="371" t="s">
        <v>3</v>
      </c>
    </row>
    <row r="6" spans="2:5" ht="104.25" customHeight="1">
      <c r="B6" s="385" t="s">
        <v>4</v>
      </c>
      <c r="C6" s="378" t="s">
        <v>5</v>
      </c>
      <c r="D6" s="379" t="s">
        <v>6</v>
      </c>
      <c r="E6" s="380" t="s">
        <v>7</v>
      </c>
    </row>
    <row r="7" spans="2:5" ht="195" customHeight="1">
      <c r="B7" s="386" t="s">
        <v>8</v>
      </c>
      <c r="C7" s="374" t="s">
        <v>9</v>
      </c>
      <c r="D7" s="372" t="s">
        <v>10</v>
      </c>
      <c r="E7" s="373" t="s">
        <v>11</v>
      </c>
    </row>
    <row r="8" spans="2:5" ht="117" customHeight="1">
      <c r="B8" s="386" t="s">
        <v>12</v>
      </c>
      <c r="C8" s="374" t="s">
        <v>13</v>
      </c>
      <c r="D8" s="372" t="s">
        <v>14</v>
      </c>
      <c r="E8" s="373" t="s">
        <v>15</v>
      </c>
    </row>
    <row r="9" spans="2:5" ht="109" customHeight="1">
      <c r="B9" s="386" t="s">
        <v>16</v>
      </c>
      <c r="C9" s="375" t="s">
        <v>17</v>
      </c>
      <c r="D9" s="384" t="s">
        <v>18</v>
      </c>
      <c r="E9" s="376" t="s">
        <v>19</v>
      </c>
    </row>
    <row r="10" spans="2:5" ht="82" customHeight="1">
      <c r="B10" s="386" t="s">
        <v>20</v>
      </c>
      <c r="C10" s="381" t="s">
        <v>21</v>
      </c>
      <c r="D10" s="384" t="s">
        <v>22</v>
      </c>
      <c r="E10" s="376" t="s">
        <v>23</v>
      </c>
    </row>
    <row r="11" spans="2:5" ht="109.5" customHeight="1">
      <c r="B11" s="387" t="s">
        <v>24</v>
      </c>
      <c r="C11" s="381" t="s">
        <v>25</v>
      </c>
      <c r="D11" s="382" t="s">
        <v>26</v>
      </c>
      <c r="E11" s="383" t="s">
        <v>27</v>
      </c>
    </row>
    <row r="12" spans="2:5" ht="14.5">
      <c r="D12"/>
    </row>
    <row r="13" spans="2:5">
      <c r="D13" s="359"/>
    </row>
  </sheetData>
  <pageMargins left="0.25" right="0.25" top="0.25" bottom="0.25" header="0.3" footer="0.3"/>
  <pageSetup scale="64" orientation="landscape" r:id="rId1"/>
  <headerFooter>
    <oddHeader>&amp;L&amp;"Aptos"&amp;10&amp;K000000 Internal Use Only&amp;1#_x000D_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05B9E-42BD-4014-9902-37467766E92C}">
  <sheetPr codeName="Sheet3">
    <tabColor rgb="FF7030A0"/>
  </sheetPr>
  <dimension ref="B1:M4"/>
  <sheetViews>
    <sheetView workbookViewId="0"/>
  </sheetViews>
  <sheetFormatPr defaultColWidth="9.1796875" defaultRowHeight="12.5"/>
  <cols>
    <col min="1" max="1" width="2.453125" style="26" customWidth="1"/>
    <col min="2" max="11" width="9.1796875" style="26"/>
    <col min="12" max="12" width="16.453125" style="26" customWidth="1"/>
    <col min="13" max="13" width="26.453125" style="26" customWidth="1"/>
    <col min="14" max="16384" width="9.1796875" style="26"/>
  </cols>
  <sheetData>
    <row r="1" spans="2:13" ht="6" customHeight="1"/>
    <row r="2" spans="2:13">
      <c r="B2" s="26" t="s">
        <v>28</v>
      </c>
    </row>
    <row r="3" spans="2:13">
      <c r="B3" s="30" t="s">
        <v>29</v>
      </c>
      <c r="C3" s="30"/>
      <c r="D3" s="30"/>
      <c r="E3" s="30"/>
      <c r="F3" s="30"/>
      <c r="G3" s="30"/>
      <c r="H3" s="30"/>
      <c r="I3" s="30"/>
      <c r="J3" s="30"/>
      <c r="K3" s="30"/>
      <c r="L3" s="30"/>
      <c r="M3" s="152"/>
    </row>
    <row r="4" spans="2:13" ht="20">
      <c r="B4" s="130" t="s">
        <v>30</v>
      </c>
      <c r="C4" s="130"/>
      <c r="D4" s="130"/>
      <c r="E4" s="130"/>
      <c r="F4" s="130"/>
      <c r="G4" s="130"/>
      <c r="H4" s="130"/>
      <c r="I4" s="130"/>
      <c r="J4" s="130"/>
      <c r="K4" s="130"/>
      <c r="L4" s="130"/>
      <c r="M4" s="130"/>
    </row>
  </sheetData>
  <pageMargins left="0.25" right="0.25" top="0.25" bottom="0.25" header="0.3" footer="0.3"/>
  <pageSetup scale="93" fitToHeight="0" orientation="landscape" r:id="rId1"/>
  <headerFooter>
    <oddHeader>&amp;L&amp;"Aptos"&amp;10&amp;K000000 Internal Use Only&amp;1#_x000D_</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27EF7-319B-40EF-B87C-C5F0EAF81AB5}">
  <sheetPr codeName="Sheet4">
    <tabColor rgb="FF7030A0"/>
    <pageSetUpPr fitToPage="1"/>
  </sheetPr>
  <dimension ref="B1:BV53"/>
  <sheetViews>
    <sheetView showGridLines="0" zoomScaleNormal="100" zoomScaleSheetLayoutView="100" workbookViewId="0">
      <pane xSplit="4" ySplit="6" topLeftCell="AV7" activePane="bottomRight" state="frozen"/>
      <selection pane="topRight" activeCell="E1" sqref="E1"/>
      <selection pane="bottomLeft" activeCell="A7" sqref="A7"/>
      <selection pane="bottomRight" activeCell="BC6" sqref="BC6"/>
    </sheetView>
  </sheetViews>
  <sheetFormatPr defaultColWidth="9.1796875" defaultRowHeight="12.5" outlineLevelCol="1"/>
  <cols>
    <col min="1" max="1" width="1.453125" style="26" customWidth="1"/>
    <col min="2" max="2" width="32.81640625" style="26" customWidth="1"/>
    <col min="3" max="4" width="6.81640625" style="135" customWidth="1"/>
    <col min="5" max="8" width="8.453125" style="123" hidden="1" customWidth="1" outlineLevel="1"/>
    <col min="9" max="9" width="10.26953125" style="123" hidden="1" customWidth="1" outlineLevel="1"/>
    <col min="10" max="11" width="8.453125" style="123" hidden="1" customWidth="1" outlineLevel="1"/>
    <col min="12" max="12" width="8.1796875" style="123" hidden="1" customWidth="1" outlineLevel="1"/>
    <col min="13" max="15" width="8.453125" style="123" hidden="1" customWidth="1" outlineLevel="1"/>
    <col min="16" max="16" width="7.7265625" style="123" hidden="1" customWidth="1" outlineLevel="1"/>
    <col min="17" max="17" width="8.453125" style="123" hidden="1" customWidth="1" outlineLevel="1" collapsed="1"/>
    <col min="18" max="21" width="8.453125" style="123" hidden="1" customWidth="1" outlineLevel="1"/>
    <col min="22" max="28" width="9.453125" style="123" hidden="1" customWidth="1" outlineLevel="1"/>
    <col min="29" max="29" width="9.453125" style="123" hidden="1" customWidth="1" outlineLevel="1" collapsed="1"/>
    <col min="30" max="40" width="9.453125" style="123" hidden="1" customWidth="1" outlineLevel="1"/>
    <col min="41" max="41" width="9.453125" style="123" customWidth="1" collapsed="1"/>
    <col min="42" max="52" width="9.453125" style="123" customWidth="1"/>
    <col min="53" max="53" width="3" style="123" customWidth="1"/>
    <col min="54" max="54" width="9.453125" style="123" customWidth="1"/>
    <col min="55" max="55" width="8.453125" style="123" bestFit="1" customWidth="1"/>
    <col min="56" max="56" width="8.81640625" style="123" hidden="1" customWidth="1"/>
    <col min="57" max="57" width="0.81640625" style="123" customWidth="1"/>
    <col min="58" max="58" width="9.1796875" style="123" customWidth="1"/>
    <col min="59" max="59" width="8.453125" style="123" bestFit="1" customWidth="1"/>
    <col min="60" max="60" width="9.1796875" style="123" hidden="1" customWidth="1"/>
    <col min="61" max="61" width="0.81640625" style="123" customWidth="1"/>
    <col min="62" max="62" width="8" style="123" bestFit="1" customWidth="1"/>
    <col min="63" max="63" width="8.453125" style="123" bestFit="1" customWidth="1"/>
    <col min="64" max="64" width="9.1796875" style="123" hidden="1" customWidth="1"/>
    <col min="65" max="65" width="0.81640625" style="123" customWidth="1"/>
    <col min="66" max="66" width="8" style="123" bestFit="1" customWidth="1"/>
    <col min="67" max="67" width="8.453125" style="123" bestFit="1" customWidth="1"/>
    <col min="68" max="68" width="0" style="123" hidden="1" customWidth="1"/>
    <col min="69" max="69" width="0.81640625" style="123" customWidth="1"/>
    <col min="70" max="70" width="8.453125" style="123" bestFit="1" customWidth="1"/>
    <col min="71" max="71" width="9.1796875" style="123" bestFit="1" customWidth="1"/>
    <col min="72" max="72" width="10.26953125" style="123" customWidth="1"/>
    <col min="73" max="73" width="0.81640625" style="123" customWidth="1"/>
    <col min="74" max="74" width="9.1796875" style="328" bestFit="1" customWidth="1"/>
    <col min="75" max="16384" width="9.1796875" style="26"/>
  </cols>
  <sheetData>
    <row r="1" spans="2:74" ht="6.75" customHeight="1">
      <c r="E1" s="26"/>
      <c r="F1" s="26"/>
      <c r="G1" s="26"/>
      <c r="H1" s="26"/>
      <c r="I1" s="26"/>
      <c r="J1" s="26" t="s">
        <v>31</v>
      </c>
      <c r="K1" s="26"/>
      <c r="L1" s="26"/>
      <c r="M1" s="26" t="s">
        <v>31</v>
      </c>
      <c r="N1" s="26" t="s">
        <v>31</v>
      </c>
      <c r="O1" s="26" t="s">
        <v>31</v>
      </c>
      <c r="P1" s="26" t="s">
        <v>31</v>
      </c>
      <c r="Q1" s="26" t="s">
        <v>31</v>
      </c>
      <c r="R1" s="26" t="s">
        <v>31</v>
      </c>
      <c r="S1" s="26" t="s">
        <v>31</v>
      </c>
      <c r="T1" s="26" t="s">
        <v>31</v>
      </c>
      <c r="U1" s="26" t="s">
        <v>31</v>
      </c>
      <c r="V1" s="26" t="s">
        <v>31</v>
      </c>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85"/>
    </row>
    <row r="2" spans="2:74">
      <c r="B2" s="26" t="str">
        <f>'2023 Control'!$C$3</f>
        <v>Concertiv</v>
      </c>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85"/>
    </row>
    <row r="3" spans="2:74">
      <c r="B3" s="30" t="str">
        <f>('2024 Control'!$C$4)&amp;" Reporting Package"</f>
        <v>December 2025 Reporting Package</v>
      </c>
      <c r="C3" s="136"/>
      <c r="D3" s="136"/>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152"/>
      <c r="BU3" s="30"/>
      <c r="BV3" s="152"/>
    </row>
    <row r="4" spans="2:74" ht="20">
      <c r="B4" s="130" t="s">
        <v>32</v>
      </c>
      <c r="C4" s="137"/>
      <c r="D4" s="137"/>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0"/>
      <c r="AX4" s="130"/>
      <c r="AY4" s="130"/>
      <c r="AZ4" s="130"/>
      <c r="BA4" s="130"/>
      <c r="BB4" s="130"/>
      <c r="BC4" s="130"/>
      <c r="BD4" s="130"/>
      <c r="BE4" s="130"/>
      <c r="BF4" s="130"/>
      <c r="BG4" s="130"/>
      <c r="BH4" s="130"/>
      <c r="BI4" s="130"/>
      <c r="BJ4" s="130"/>
      <c r="BK4" s="130"/>
      <c r="BL4" s="130"/>
      <c r="BM4" s="130"/>
      <c r="BN4" s="130"/>
      <c r="BO4" s="130"/>
      <c r="BP4" s="130"/>
      <c r="BQ4" s="130"/>
      <c r="BR4" s="130"/>
      <c r="BS4" s="130"/>
      <c r="BT4" s="130"/>
      <c r="BU4" s="130"/>
      <c r="BV4" s="318"/>
    </row>
    <row r="5" spans="2:74" ht="12.75" customHeight="1" thickBot="1">
      <c r="E5" s="388" t="s">
        <v>33</v>
      </c>
      <c r="F5" s="388"/>
      <c r="G5" s="388"/>
      <c r="H5" s="388"/>
      <c r="I5" s="388"/>
      <c r="J5" s="388"/>
      <c r="K5" s="312"/>
      <c r="L5" s="312"/>
      <c r="M5" s="312"/>
      <c r="N5" s="312"/>
      <c r="O5" s="312"/>
      <c r="P5" s="312"/>
      <c r="Q5" s="312"/>
      <c r="R5" s="312"/>
      <c r="S5" s="312"/>
      <c r="T5" s="312"/>
      <c r="U5" s="312"/>
      <c r="V5" s="312"/>
      <c r="W5" s="312"/>
      <c r="X5" s="312"/>
      <c r="Y5" s="312"/>
      <c r="Z5" s="312"/>
      <c r="AA5" s="312"/>
      <c r="AB5" s="312"/>
      <c r="AC5" s="312"/>
      <c r="AD5" s="312"/>
      <c r="AE5" s="312"/>
      <c r="AF5" s="312"/>
      <c r="AG5" s="312"/>
      <c r="AH5" s="312"/>
      <c r="AI5" s="312"/>
      <c r="AJ5" s="312"/>
      <c r="AK5" s="312"/>
      <c r="AL5" s="312"/>
      <c r="AM5" s="312"/>
      <c r="AN5" s="312"/>
      <c r="AO5" s="312"/>
      <c r="AP5" s="312"/>
      <c r="AQ5" s="312"/>
      <c r="AR5" s="312"/>
      <c r="AS5" s="312"/>
      <c r="AT5" s="312"/>
      <c r="AU5" s="312"/>
      <c r="AV5" s="312"/>
      <c r="AW5" s="312"/>
      <c r="AX5" s="312"/>
      <c r="AY5" s="312"/>
      <c r="AZ5" s="312"/>
      <c r="BA5" s="146"/>
      <c r="BB5" s="389">
        <v>1</v>
      </c>
      <c r="BC5" s="389"/>
      <c r="BD5" s="389"/>
      <c r="BE5" s="146"/>
      <c r="BF5" s="389">
        <v>2</v>
      </c>
      <c r="BG5" s="389"/>
      <c r="BH5" s="389"/>
      <c r="BI5" s="146"/>
      <c r="BJ5" s="389">
        <v>3</v>
      </c>
      <c r="BK5" s="389"/>
      <c r="BL5" s="389"/>
      <c r="BM5" s="146"/>
      <c r="BN5" s="389">
        <v>4</v>
      </c>
      <c r="BO5" s="389"/>
      <c r="BP5" s="389"/>
      <c r="BQ5" s="146"/>
      <c r="BR5" s="388" t="s">
        <v>34</v>
      </c>
      <c r="BS5" s="388"/>
      <c r="BT5" s="388"/>
      <c r="BU5" s="146"/>
      <c r="BV5" s="319"/>
    </row>
    <row r="6" spans="2:74" ht="13.5" thickBot="1">
      <c r="D6" s="148" t="s">
        <v>35</v>
      </c>
      <c r="E6" s="203">
        <v>44957</v>
      </c>
      <c r="F6" s="203">
        <v>44985</v>
      </c>
      <c r="G6" s="203">
        <v>45016</v>
      </c>
      <c r="H6" s="203">
        <f>EOMONTH(G6,1)</f>
        <v>45046</v>
      </c>
      <c r="I6" s="203">
        <f t="shared" ref="I6:J6" si="0">EOMONTH(H6,1)</f>
        <v>45077</v>
      </c>
      <c r="J6" s="203">
        <f t="shared" si="0"/>
        <v>45107</v>
      </c>
      <c r="K6" s="203">
        <f>EOMONTH(J6,1)</f>
        <v>45138</v>
      </c>
      <c r="L6" s="203">
        <f t="shared" ref="L6" si="1">EOMONTH(K6,1)</f>
        <v>45169</v>
      </c>
      <c r="M6" s="203">
        <f t="shared" ref="M6:V6" si="2">EOMONTH(L6,1)</f>
        <v>45199</v>
      </c>
      <c r="N6" s="203">
        <f t="shared" si="2"/>
        <v>45230</v>
      </c>
      <c r="O6" s="203">
        <f t="shared" si="2"/>
        <v>45260</v>
      </c>
      <c r="P6" s="203">
        <f t="shared" si="2"/>
        <v>45291</v>
      </c>
      <c r="Q6" s="203">
        <f t="shared" si="2"/>
        <v>45322</v>
      </c>
      <c r="R6" s="203">
        <f t="shared" si="2"/>
        <v>45351</v>
      </c>
      <c r="S6" s="203">
        <f t="shared" si="2"/>
        <v>45382</v>
      </c>
      <c r="T6" s="203">
        <f t="shared" si="2"/>
        <v>45412</v>
      </c>
      <c r="U6" s="203">
        <f t="shared" si="2"/>
        <v>45443</v>
      </c>
      <c r="V6" s="203">
        <f t="shared" si="2"/>
        <v>45473</v>
      </c>
      <c r="W6" s="203">
        <f t="shared" ref="W6" si="3">EOMONTH(V6,1)</f>
        <v>45504</v>
      </c>
      <c r="X6" s="203">
        <f t="shared" ref="X6" si="4">EOMONTH(W6,1)</f>
        <v>45535</v>
      </c>
      <c r="Y6" s="203">
        <f t="shared" ref="Y6" si="5">EOMONTH(X6,1)</f>
        <v>45565</v>
      </c>
      <c r="Z6" s="203">
        <f t="shared" ref="Z6" si="6">EOMONTH(Y6,1)</f>
        <v>45596</v>
      </c>
      <c r="AA6" s="203">
        <f t="shared" ref="AA6" si="7">EOMONTH(Z6,1)</f>
        <v>45626</v>
      </c>
      <c r="AB6" s="203">
        <f>EOMONTH(AA6,1)</f>
        <v>45657</v>
      </c>
      <c r="AC6" s="203">
        <f t="shared" ref="AC6:AD6" si="8">EOMONTH(AB6,1)</f>
        <v>45688</v>
      </c>
      <c r="AD6" s="203">
        <f t="shared" si="8"/>
        <v>45716</v>
      </c>
      <c r="AE6" s="203">
        <f t="shared" ref="AE6:AF6" si="9">EOMONTH(AD6,1)</f>
        <v>45747</v>
      </c>
      <c r="AF6" s="203">
        <f t="shared" si="9"/>
        <v>45777</v>
      </c>
      <c r="AG6" s="203">
        <f t="shared" ref="AG6:AH6" si="10">EOMONTH(AF6,1)</f>
        <v>45808</v>
      </c>
      <c r="AH6" s="203">
        <f t="shared" si="10"/>
        <v>45838</v>
      </c>
      <c r="AI6" s="203">
        <f t="shared" ref="AI6:AJ6" si="11">EOMONTH(AH6,1)</f>
        <v>45869</v>
      </c>
      <c r="AJ6" s="203">
        <f t="shared" si="11"/>
        <v>45900</v>
      </c>
      <c r="AK6" s="203">
        <f t="shared" ref="AK6:AL6" si="12">EOMONTH(AJ6,1)</f>
        <v>45930</v>
      </c>
      <c r="AL6" s="203">
        <f t="shared" si="12"/>
        <v>45961</v>
      </c>
      <c r="AM6" s="203">
        <f t="shared" ref="AM6:AN6" si="13">EOMONTH(AL6,1)</f>
        <v>45991</v>
      </c>
      <c r="AN6" s="203">
        <f t="shared" si="13"/>
        <v>46022</v>
      </c>
      <c r="AO6" s="203">
        <f t="shared" ref="AO6" si="14">EOMONTH(AN6,1)</f>
        <v>46053</v>
      </c>
      <c r="AP6" s="203">
        <f t="shared" ref="AP6" si="15">EOMONTH(AO6,1)</f>
        <v>46081</v>
      </c>
      <c r="AQ6" s="203">
        <f t="shared" ref="AQ6" si="16">EOMONTH(AP6,1)</f>
        <v>46112</v>
      </c>
      <c r="AR6" s="203">
        <f t="shared" ref="AR6" si="17">EOMONTH(AQ6,1)</f>
        <v>46142</v>
      </c>
      <c r="AS6" s="203">
        <f t="shared" ref="AS6" si="18">EOMONTH(AR6,1)</f>
        <v>46173</v>
      </c>
      <c r="AT6" s="203">
        <f t="shared" ref="AT6" si="19">EOMONTH(AS6,1)</f>
        <v>46203</v>
      </c>
      <c r="AU6" s="203">
        <f t="shared" ref="AU6" si="20">EOMONTH(AT6,1)</f>
        <v>46234</v>
      </c>
      <c r="AV6" s="203">
        <f t="shared" ref="AV6" si="21">EOMONTH(AU6,1)</f>
        <v>46265</v>
      </c>
      <c r="AW6" s="203">
        <f t="shared" ref="AW6" si="22">EOMONTH(AV6,1)</f>
        <v>46295</v>
      </c>
      <c r="AX6" s="203">
        <f t="shared" ref="AX6" si="23">EOMONTH(AW6,1)</f>
        <v>46326</v>
      </c>
      <c r="AY6" s="203">
        <f t="shared" ref="AY6" si="24">EOMONTH(AX6,1)</f>
        <v>46356</v>
      </c>
      <c r="AZ6" s="203">
        <f t="shared" ref="AZ6" si="25">EOMONTH(AY6,1)</f>
        <v>46387</v>
      </c>
      <c r="BA6" s="26"/>
      <c r="BB6" s="118" t="s">
        <v>36</v>
      </c>
      <c r="BC6" s="117" t="s">
        <v>37</v>
      </c>
      <c r="BD6" s="117" t="s">
        <v>38</v>
      </c>
      <c r="BE6" s="26"/>
      <c r="BF6" s="118" t="s">
        <v>36</v>
      </c>
      <c r="BG6" s="117" t="s">
        <v>37</v>
      </c>
      <c r="BH6" s="117" t="s">
        <v>38</v>
      </c>
      <c r="BI6" s="26"/>
      <c r="BJ6" s="118" t="s">
        <v>36</v>
      </c>
      <c r="BK6" s="117" t="s">
        <v>37</v>
      </c>
      <c r="BL6" s="117" t="s">
        <v>38</v>
      </c>
      <c r="BM6" s="26"/>
      <c r="BN6" s="118" t="s">
        <v>36</v>
      </c>
      <c r="BO6" s="117" t="s">
        <v>37</v>
      </c>
      <c r="BP6" s="117" t="s">
        <v>38</v>
      </c>
      <c r="BQ6" s="26"/>
      <c r="BR6" s="118" t="s">
        <v>39</v>
      </c>
      <c r="BS6" s="117" t="s">
        <v>37</v>
      </c>
      <c r="BT6" s="117" t="s">
        <v>38</v>
      </c>
      <c r="BU6" s="26"/>
      <c r="BV6" s="118" t="s">
        <v>40</v>
      </c>
    </row>
    <row r="7" spans="2:74">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26"/>
      <c r="BB7" s="390" t="s">
        <v>41</v>
      </c>
      <c r="BC7" s="390"/>
      <c r="BD7" s="120"/>
      <c r="BE7" s="26"/>
      <c r="BF7" s="390" t="s">
        <v>42</v>
      </c>
      <c r="BG7" s="390"/>
      <c r="BH7" s="120"/>
      <c r="BI7" s="26"/>
      <c r="BJ7" s="390" t="s">
        <v>43</v>
      </c>
      <c r="BK7" s="390"/>
      <c r="BL7" s="120"/>
      <c r="BM7" s="26"/>
      <c r="BN7" s="390" t="s">
        <v>44</v>
      </c>
      <c r="BO7" s="390"/>
      <c r="BP7" s="120"/>
      <c r="BQ7" s="26"/>
      <c r="BR7" s="121"/>
      <c r="BS7" s="121"/>
      <c r="BT7" s="120"/>
      <c r="BU7" s="26"/>
      <c r="BV7" s="320"/>
    </row>
    <row r="8" spans="2:74" ht="13">
      <c r="B8" s="126" t="s">
        <v>45</v>
      </c>
      <c r="C8" s="138"/>
      <c r="D8" s="138"/>
      <c r="E8" s="127"/>
      <c r="F8" s="127"/>
      <c r="G8" s="127"/>
      <c r="H8" s="127"/>
      <c r="I8" s="127"/>
      <c r="J8" s="127"/>
      <c r="K8" s="127"/>
      <c r="L8" s="127"/>
      <c r="M8" s="127"/>
      <c r="N8" s="127"/>
      <c r="O8" s="127"/>
      <c r="P8" s="127"/>
      <c r="Q8" s="127"/>
      <c r="R8" s="127"/>
      <c r="S8" s="127"/>
      <c r="T8" s="127"/>
      <c r="U8" s="127"/>
      <c r="V8" s="127"/>
      <c r="W8" s="127"/>
      <c r="X8" s="127"/>
      <c r="Y8" s="127"/>
      <c r="Z8" s="127"/>
      <c r="AA8" s="127"/>
      <c r="AB8" s="127"/>
      <c r="AC8" s="127"/>
      <c r="AD8" s="127"/>
      <c r="AE8" s="127"/>
      <c r="AF8" s="127"/>
      <c r="AG8" s="127"/>
      <c r="AH8" s="127"/>
      <c r="AI8" s="127"/>
      <c r="AJ8" s="127"/>
      <c r="AK8" s="127"/>
      <c r="AL8" s="127"/>
      <c r="AM8" s="127"/>
      <c r="AN8" s="127"/>
      <c r="AO8" s="127"/>
      <c r="AP8" s="127"/>
      <c r="AQ8" s="127"/>
      <c r="AR8" s="127"/>
      <c r="AS8" s="127"/>
      <c r="AT8" s="127"/>
      <c r="AU8" s="127"/>
      <c r="AV8" s="127"/>
      <c r="AW8" s="127"/>
      <c r="AX8" s="127"/>
      <c r="AY8" s="127"/>
      <c r="AZ8" s="127"/>
      <c r="BA8" s="127"/>
      <c r="BB8" s="127"/>
      <c r="BC8" s="127"/>
      <c r="BD8" s="127"/>
      <c r="BE8" s="127"/>
      <c r="BF8" s="127"/>
      <c r="BG8" s="127"/>
      <c r="BH8" s="127"/>
      <c r="BI8" s="127"/>
      <c r="BJ8" s="127"/>
      <c r="BK8" s="127"/>
      <c r="BL8" s="127"/>
      <c r="BM8" s="127"/>
      <c r="BN8" s="127"/>
      <c r="BO8" s="127"/>
      <c r="BP8" s="127"/>
      <c r="BQ8" s="127"/>
      <c r="BR8" s="127"/>
      <c r="BS8" s="127"/>
      <c r="BT8" s="127"/>
      <c r="BU8" s="127"/>
      <c r="BV8" s="321"/>
    </row>
    <row r="9" spans="2:74">
      <c r="B9" s="26" t="s">
        <v>46</v>
      </c>
      <c r="C9" s="139" t="s">
        <v>47</v>
      </c>
      <c r="D9" s="171" t="str">
        <f>VLOOKUP($B$4&amp;" "&amp;$B9,Actuals!$D$4:$AG$131,3,FALSE)</f>
        <v>#</v>
      </c>
      <c r="E9" s="162" cm="1">
        <f t="array" ref="E9">_xlfn.XLOOKUP(
   $B$4&amp;" "&amp;$B9,
   Actuals!$D:$D,
   _xlfn.XLOOKUP(
      E$6,
      Actuals!$H$3:$BD$3,
      Actuals!$H:$BD
   )
)</f>
        <v>2</v>
      </c>
      <c r="F9" s="162" cm="1">
        <f t="array" ref="F9">_xlfn.XLOOKUP(
   $B$4&amp;" "&amp;$B9,
   Actuals!$D:$D,
   _xlfn.XLOOKUP(
      F$6,
      Actuals!$H$3:$BD$3,
      Actuals!$H:$BD
   )
)</f>
        <v>2</v>
      </c>
      <c r="G9" s="162" cm="1">
        <f t="array" ref="G9">_xlfn.XLOOKUP(
   $B$4&amp;" "&amp;$B9,
   Actuals!$D:$D,
   _xlfn.XLOOKUP(
      G$6,
      Actuals!$H$3:$BD$3,
      Actuals!$H:$BD
   )
)</f>
        <v>2</v>
      </c>
      <c r="H9" s="162" cm="1">
        <f t="array" ref="H9">_xlfn.XLOOKUP(
   $B$4&amp;" "&amp;$B9,
   Actuals!$D:$D,
   _xlfn.XLOOKUP(
      H$6,
      Actuals!$H$3:$BD$3,
      Actuals!$H:$BD
   )
)</f>
        <v>2</v>
      </c>
      <c r="I9" s="162" cm="1">
        <f t="array" ref="I9">_xlfn.XLOOKUP(
   $B$4&amp;" "&amp;$B9,
   Actuals!$D:$D,
   _xlfn.XLOOKUP(
      I$6,
      Actuals!$H$3:$BD$3,
      Actuals!$H:$BD
   )
)</f>
        <v>2</v>
      </c>
      <c r="J9" s="162" cm="1">
        <f t="array" ref="J9">_xlfn.XLOOKUP(
   $B$4&amp;" "&amp;$B9,
   Actuals!$D:$D,
   _xlfn.XLOOKUP(
      J$6,
      Actuals!$H$3:$BD$3,
      Actuals!$H:$BD
   )
)</f>
        <v>2</v>
      </c>
      <c r="K9" s="162" cm="1">
        <f t="array" ref="K9">_xlfn.XLOOKUP(
   $B$4&amp;" "&amp;$B9,
   Actuals!$D:$D,
   _xlfn.XLOOKUP(
      K$6,
      Actuals!$H$3:$BD$3,
      Actuals!$H:$BD
   )
)</f>
        <v>3</v>
      </c>
      <c r="L9" s="162" cm="1">
        <f t="array" ref="L9">_xlfn.XLOOKUP(
   $B$4&amp;" "&amp;$B9,
   Actuals!$D:$D,
   _xlfn.XLOOKUP(
      L$6,
      Actuals!$H$3:$BD$3,
      Actuals!$H:$BD
   )
)</f>
        <v>3</v>
      </c>
      <c r="M9" s="162" cm="1">
        <f t="array" ref="M9">_xlfn.XLOOKUP(
   $B$4&amp;" "&amp;$B9,
   Actuals!$D:$D,
   _xlfn.XLOOKUP(
      M$6,
      Actuals!$H$3:$BD$3,
      Actuals!$H:$BD
   )
)</f>
        <v>3</v>
      </c>
      <c r="N9" s="162" cm="1">
        <f t="array" ref="N9">_xlfn.XLOOKUP(
   $B$4&amp;" "&amp;$B9,
   Actuals!$D:$D,
   _xlfn.XLOOKUP(
      N$6,
      Actuals!$H$3:$BD$3,
      Actuals!$H:$BD
   )
)</f>
        <v>3</v>
      </c>
      <c r="O9" s="210" cm="1">
        <f t="array" ref="O9">_xlfn.XLOOKUP(
   $B$4&amp;" "&amp;$B9,
   Actuals!$D:$D,
   _xlfn.XLOOKUP(
      O$6,
      Actuals!$H$3:$BD$3,
      Actuals!$H:$BD
   )
)</f>
        <v>0</v>
      </c>
      <c r="P9" s="210" cm="1">
        <f t="array" ref="P9">_xlfn.XLOOKUP(
   $B$4&amp;" "&amp;$B9,
   Actuals!$D:$D,
   _xlfn.XLOOKUP(
      P$6,
      Actuals!$H$3:$BD$3,
      Actuals!$H:$BD
   )
)</f>
        <v>0</v>
      </c>
      <c r="Q9" s="210" cm="1">
        <f t="array" ref="Q9">_xlfn.XLOOKUP(
   $B$4&amp;" "&amp;$B9,
   Actuals!$D:$D,
   _xlfn.XLOOKUP(
      Q$6,
      Actuals!$H$3:$BD$3,
      Actuals!$H:$BD
   )
)</f>
        <v>0</v>
      </c>
      <c r="R9" s="210" cm="1">
        <f t="array" ref="R9">_xlfn.XLOOKUP(
   $B$4&amp;" "&amp;$B9,
   Actuals!$D:$D,
   _xlfn.XLOOKUP(
      R$6,
      Actuals!$H$3:$BD$3,
      Actuals!$H:$BD
   )
)</f>
        <v>0</v>
      </c>
      <c r="S9" s="210" cm="1">
        <f t="array" ref="S9">_xlfn.XLOOKUP(
   $B$4&amp;" "&amp;$B9,
   Actuals!$D:$D,
   _xlfn.XLOOKUP(
      S$6,
      Actuals!$H$3:$BD$3,
      Actuals!$H:$BD
   )
)</f>
        <v>0</v>
      </c>
      <c r="T9" s="210" cm="1">
        <f t="array" ref="T9">_xlfn.XLOOKUP(
   $B$4&amp;" "&amp;$B9,
   Actuals!$D:$D,
   _xlfn.XLOOKUP(
      T$6,
      Actuals!$H$3:$BD$3,
      Actuals!$H:$BD
   )
)</f>
        <v>0</v>
      </c>
      <c r="U9" s="210" cm="1">
        <f t="array" ref="U9">_xlfn.XLOOKUP(
   $B$4&amp;" "&amp;$B9,
   Actuals!$D:$D,
   _xlfn.XLOOKUP(
      U$6,
      Actuals!$H$3:$BD$3,
      Actuals!$H:$BD
   )
)</f>
        <v>0</v>
      </c>
      <c r="V9" s="210" cm="1">
        <f t="array" ref="V9">_xlfn.XLOOKUP(
   $B$4&amp;" "&amp;$B9,
   Actuals!$D:$D,
   _xlfn.XLOOKUP(
      V$6,
      Actuals!$H$3:$BD$3,
      Actuals!$H:$BD
   )
)</f>
        <v>0</v>
      </c>
      <c r="W9" s="210" cm="1">
        <f t="array" ref="W9">_xlfn.XLOOKUP(
   $B$4&amp;" "&amp;$B9,
   Actuals!$D:$D,
   _xlfn.XLOOKUP(
      W$6,
      Actuals!$H$3:$BD$3,
      Actuals!$H:$BD
   )
)</f>
        <v>0</v>
      </c>
      <c r="X9" s="210" cm="1">
        <f t="array" ref="X9">_xlfn.XLOOKUP(
   $B$4&amp;" "&amp;$B9,
   Actuals!$D:$D,
   _xlfn.XLOOKUP(
      X$6,
      Actuals!$H$3:$BD$3,
      Actuals!$H:$BD
   )
)</f>
        <v>0</v>
      </c>
      <c r="Y9" s="210" cm="1">
        <f t="array" ref="Y9">_xlfn.XLOOKUP(
   $B$4&amp;" "&amp;$B9,
   Actuals!$D:$D,
   _xlfn.XLOOKUP(
      Y$6,
      Actuals!$H$3:$BD$3,
      Actuals!$H:$BD
   )
)</f>
        <v>0</v>
      </c>
      <c r="Z9" s="210" cm="1">
        <f t="array" ref="Z9">_xlfn.XLOOKUP(
   $B$4&amp;" "&amp;$B9,
   Actuals!$D:$D,
   _xlfn.XLOOKUP(
      Z$6,
      Actuals!$H$3:$BD$3,
      Actuals!$H:$BD
   )
)</f>
        <v>0</v>
      </c>
      <c r="AA9" s="210" cm="1">
        <f t="array" ref="AA9">_xlfn.XLOOKUP(
   $B$4&amp;" "&amp;$B9,
   Actuals!$D:$D,
   _xlfn.XLOOKUP(
      AA$6,
      Actuals!$H$3:$BD$3,
      Actuals!$H:$BD
   )
)</f>
        <v>0</v>
      </c>
      <c r="AB9" s="210" cm="1">
        <f t="array" ref="AB9">_xlfn.XLOOKUP(
   $B$4&amp;" "&amp;$B9,
   Actuals!$D:$D,
   _xlfn.XLOOKUP(
      AB$6,
      Actuals!$H$3:$BD$3,
      Actuals!$H:$BD
   )
)</f>
        <v>0</v>
      </c>
      <c r="AC9" s="210" cm="1">
        <f t="array" ref="AC9">_xlfn.XLOOKUP(
   $B$4&amp;" "&amp;$B9,
   Actuals!$D:$D,
   _xlfn.XLOOKUP(
      AC$6,
      Actuals!$H$3:$BD$3,
      Actuals!$H:$BD
   )
)</f>
        <v>3</v>
      </c>
      <c r="AD9" s="210" cm="1">
        <f t="array" ref="AD9">_xlfn.XLOOKUP(
   $B$4&amp;" "&amp;$B9,
   Actuals!$D:$D,
   _xlfn.XLOOKUP(
      AD$6,
      Actuals!$H$3:$BD$3,
      Actuals!$H:$BD
   )
)</f>
        <v>3</v>
      </c>
      <c r="AE9" s="210" cm="1">
        <f t="array" ref="AE9">_xlfn.XLOOKUP(
   $B$4&amp;" "&amp;$B9,
   Actuals!$D:$D,
   _xlfn.XLOOKUP(
      AE$6,
      Actuals!$H$3:$BD$3,
      Actuals!$H:$BD
   )
)</f>
        <v>3</v>
      </c>
      <c r="AF9" s="210" cm="1">
        <f t="array" ref="AF9">_xlfn.XLOOKUP(
   $B$4&amp;" "&amp;$B9,
   Actuals!$D:$D,
   _xlfn.XLOOKUP(
      AF$6,
      Actuals!$H$3:$BD$3,
      Actuals!$H:$BD
   )
)</f>
        <v>3</v>
      </c>
      <c r="AG9" s="210" cm="1">
        <f t="array" ref="AG9">_xlfn.XLOOKUP(
   $B$4&amp;" "&amp;$B9,
   Actuals!$D:$D,
   _xlfn.XLOOKUP(
      AG$6,
      Actuals!$H$3:$BD$3,
      Actuals!$H:$BD
   )
)</f>
        <v>3</v>
      </c>
      <c r="AH9" s="210" cm="1">
        <f t="array" ref="AH9">_xlfn.XLOOKUP(
   $B$4&amp;" "&amp;$B9,
   Actuals!$D:$D,
   _xlfn.XLOOKUP(
      AH$6,
      Actuals!$H$3:$BD$3,
      Actuals!$H:$BD
   )
)</f>
        <v>3</v>
      </c>
      <c r="AI9" s="210" cm="1">
        <f t="array" ref="AI9">_xlfn.XLOOKUP(
   $B$4&amp;" "&amp;$B9,
   Actuals!$D:$D,
   _xlfn.XLOOKUP(
      AI$6,
      Actuals!$H$3:$BD$3,
      Actuals!$H:$BD
   )
)</f>
        <v>2</v>
      </c>
      <c r="AJ9" s="210" cm="1">
        <f t="array" ref="AJ9">_xlfn.XLOOKUP(
   $B$4&amp;" "&amp;$B9,
   Actuals!$D:$D,
   _xlfn.XLOOKUP(
      AJ$6,
      Actuals!$H$3:$BD$3,
      Actuals!$H:$BD
   )
)</f>
        <v>2</v>
      </c>
      <c r="AK9" s="210" cm="1">
        <f t="array" ref="AK9">_xlfn.XLOOKUP(
   $B$4&amp;" "&amp;$B9,
   Actuals!$D:$D,
   _xlfn.XLOOKUP(
      AK$6,
      Actuals!$H$3:$BD$3,
      Actuals!$H:$BD
   )
)</f>
        <v>2</v>
      </c>
      <c r="AL9" s="210" cm="1">
        <f t="array" ref="AL9">_xlfn.XLOOKUP(
   $B$4&amp;" "&amp;$B9,
   Actuals!$D:$D,
   _xlfn.XLOOKUP(
      AL$6,
      Actuals!$H$3:$BD$3,
      Actuals!$H:$BD
   )
)</f>
        <v>2</v>
      </c>
      <c r="AM9" s="210" cm="1">
        <f t="array" ref="AM9">_xlfn.XLOOKUP(
   $B$4&amp;" "&amp;$B9,
   Actuals!$D:$D,
   _xlfn.XLOOKUP(
      AM$6,
      Actuals!$H$3:$BD$3,
      Actuals!$H:$BD
   )
)</f>
        <v>2</v>
      </c>
      <c r="AN9" s="210" cm="1">
        <f t="array" ref="AN9">_xlfn.XLOOKUP(
   $B$4&amp;" "&amp;$B9,
   Actuals!$D:$D,
   _xlfn.XLOOKUP(
      AN$6,
      Actuals!$H$3:$BD$3,
      Actuals!$H:$BD
   )
)</f>
        <v>2</v>
      </c>
      <c r="AO9" s="210" cm="1">
        <f t="array" ref="AO9">_xlfn.XLOOKUP(
   $B$4&amp;" "&amp;$B9,
   Actuals!$D:$D,
   _xlfn.XLOOKUP(
      AO$6,
      Actuals!$H$3:$BD$3,
      Actuals!$H:$BD
   )
)</f>
        <v>3</v>
      </c>
      <c r="AP9" s="210" cm="1">
        <f t="array" ref="AP9">_xlfn.XLOOKUP(
   $B$4&amp;" "&amp;$B9,
   Actuals!$D:$D,
   _xlfn.XLOOKUP(
      AP$6,
      Actuals!$H$3:$BD$3,
      Actuals!$H:$BD
   )
)</f>
        <v>3</v>
      </c>
      <c r="AQ9" s="210" cm="1">
        <f t="array" ref="AQ9">_xlfn.XLOOKUP(
   $B$4&amp;" "&amp;$B9,
   Actuals!$D:$D,
   _xlfn.XLOOKUP(
      AQ$6,
      Actuals!$H$3:$BD$3,
      Actuals!$H:$BD
   )
)</f>
        <v>3</v>
      </c>
      <c r="AR9" s="210" cm="1">
        <f t="array" ref="AR9">_xlfn.XLOOKUP(
   $B$4&amp;" "&amp;$B9,
   Actuals!$D:$D,
   _xlfn.XLOOKUP(
      AR$6,
      Actuals!$H$3:$BD$3,
      Actuals!$H:$BD
   )
)</f>
        <v>0</v>
      </c>
      <c r="AS9" s="210" cm="1">
        <f t="array" ref="AS9">_xlfn.XLOOKUP(
   $B$4&amp;" "&amp;$B9,
   Actuals!$D:$D,
   _xlfn.XLOOKUP(
      AS$6,
      Actuals!$H$3:$BD$3,
      Actuals!$H:$BD
   )
)</f>
        <v>0</v>
      </c>
      <c r="AT9" s="210" cm="1">
        <f t="array" ref="AT9">_xlfn.XLOOKUP(
   $B$4&amp;" "&amp;$B9,
   Actuals!$D:$D,
   _xlfn.XLOOKUP(
      AT$6,
      Actuals!$H$3:$BD$3,
      Actuals!$H:$BD
   )
)</f>
        <v>0</v>
      </c>
      <c r="AU9" s="210" cm="1">
        <f t="array" ref="AU9">_xlfn.XLOOKUP(
   $B$4&amp;" "&amp;$B9,
   Actuals!$D:$D,
   _xlfn.XLOOKUP(
      AU$6,
      Actuals!$H$3:$BD$3,
      Actuals!$H:$BD
   )
)</f>
        <v>0</v>
      </c>
      <c r="AV9" s="210" cm="1">
        <f t="array" ref="AV9">_xlfn.XLOOKUP(
   $B$4&amp;" "&amp;$B9,
   Actuals!$D:$D,
   _xlfn.XLOOKUP(
      AV$6,
      Actuals!$H$3:$BD$3,
      Actuals!$H:$BD
   )
)</f>
        <v>0</v>
      </c>
      <c r="AW9" s="210" cm="1">
        <f t="array" ref="AW9">_xlfn.XLOOKUP(
   $B$4&amp;" "&amp;$B9,
   Actuals!$D:$D,
   _xlfn.XLOOKUP(
      AW$6,
      Actuals!$H$3:$BD$3,
      Actuals!$H:$BD
   )
)</f>
        <v>0</v>
      </c>
      <c r="AX9" s="210" cm="1">
        <f t="array" ref="AX9">_xlfn.XLOOKUP(
   $B$4&amp;" "&amp;$B9,
   Actuals!$D:$D,
   _xlfn.XLOOKUP(
      AX$6,
      Actuals!$H$3:$BD$3,
      Actuals!$H:$BD
   )
)</f>
        <v>0</v>
      </c>
      <c r="AY9" s="210" cm="1">
        <f t="array" ref="AY9">_xlfn.XLOOKUP(
   $B$4&amp;" "&amp;$B9,
   Actuals!$D:$D,
   _xlfn.XLOOKUP(
      AY$6,
      Actuals!$H$3:$BD$3,
      Actuals!$H:$BD
   )
)</f>
        <v>0</v>
      </c>
      <c r="AZ9" s="210" cm="1">
        <f t="array" ref="AZ9">_xlfn.XLOOKUP(
   $B$4&amp;" "&amp;$B9,
   Actuals!$D:$D,
   _xlfn.XLOOKUP(
      AZ$6,
      Actuals!$H$3:$BD$3,
      Actuals!$H:$BD
   )
)</f>
        <v>0</v>
      </c>
      <c r="BA9" s="210"/>
      <c r="BB9" s="210" cm="1">
        <f t="array" ref="BB9">_xlfn.XLOOKUP(
   $B$4&amp;" "&amp;$B9,
   Actuals!$D:$D,
   _xlfn.XLOOKUP(
      BB$7,
      Actuals!$H$3:$BM$3,
      Actuals!$H:$BM
   )
)</f>
        <v>3</v>
      </c>
      <c r="BC9" s="210">
        <f>VLOOKUP($B$4&amp;" "&amp;$B9,Budget!$AG$4:$AL$132,$BB$5+1,FALSE)</f>
        <v>3</v>
      </c>
      <c r="BD9" s="210">
        <f>BB9-BC9</f>
        <v>0</v>
      </c>
      <c r="BE9" s="210"/>
      <c r="BF9" s="210" t="str" cm="1">
        <f t="array" ref="BF9">_xlfn.XLOOKUP(
   $B$4&amp;" "&amp;$B9,
   Actuals!$D:$D,
   _xlfn.XLOOKUP(
      BF$7,
      Actuals!$H$3:$BM$3,
      Actuals!$H:$BM
   )
)</f>
        <v>-</v>
      </c>
      <c r="BG9" s="210">
        <f>VLOOKUP($B$4&amp;" "&amp;$B9,Budget!$AG$4:$AL$132,BF$5+1,FALSE)</f>
        <v>3</v>
      </c>
      <c r="BH9" s="210" t="e">
        <f>BF9-BG9</f>
        <v>#VALUE!</v>
      </c>
      <c r="BI9" s="210"/>
      <c r="BJ9" s="210" t="str" cm="1">
        <f t="array" ref="BJ9">_xlfn.XLOOKUP(
   $B$4&amp;" "&amp;$B9,
   Actuals!$D:$D,
   _xlfn.XLOOKUP(
      BJ$7,
      Actuals!$H$3:$BM$3,
      Actuals!$H:$BM
   )
)</f>
        <v>-</v>
      </c>
      <c r="BK9" s="210">
        <f>VLOOKUP($B$4&amp;" "&amp;$B9,Budget!$AG$4:$AL$132,BJ$5+1,FALSE)</f>
        <v>3</v>
      </c>
      <c r="BL9" s="210" t="e">
        <f>BJ9-BK9</f>
        <v>#VALUE!</v>
      </c>
      <c r="BM9" s="210"/>
      <c r="BN9" s="210" t="str" cm="1">
        <f t="array" ref="BN9">_xlfn.XLOOKUP(
   $B$4&amp;" "&amp;$B9,
   Actuals!$D:$D,
   _xlfn.XLOOKUP(
      BN$7,
      Actuals!$H$3:$BM$3,
      Actuals!$H:$BM
   )
)</f>
        <v>-</v>
      </c>
      <c r="BO9" s="210">
        <f>VLOOKUP($B$4&amp;" "&amp;$B9,Budget!$AG$4:$AL$132,BN$5+1,FALSE)</f>
        <v>3</v>
      </c>
      <c r="BP9" s="210"/>
      <c r="BQ9" s="210"/>
      <c r="BR9" s="210" cm="1">
        <f t="array" aca="1" ref="BR9" ca="1">_xlfn.XLOOKUP(
   $B$4&amp;" "&amp;$B9,
   Actuals!$D:$D,
   _xlfn.XLOOKUP(
      BR$6,
      Actuals!$H$3:$BM$3,
      Actuals!$H:$BM
   )
)</f>
        <v>0.75</v>
      </c>
      <c r="BS9" s="210">
        <f ca="1">VLOOKUP($B$4&amp;" "&amp;$B9,Budget!$AG$4:$AL$132,6,FALSE)</f>
        <v>3</v>
      </c>
      <c r="BT9" s="210">
        <f ca="1">IFERROR(BR9-BS9,"-")</f>
        <v>-2.25</v>
      </c>
      <c r="BU9" s="210"/>
      <c r="BV9" s="210" cm="1">
        <f t="array" ref="BV9">_xlfn.XLOOKUP(
   $B$4&amp;" "&amp;$B9,
   Actuals!$D:$D,
   _xlfn.XLOOKUP(
      BV$6,
      Actuals!$H$3:$BM$3,
      Actuals!$H:$BM
   )
)</f>
        <v>2.5</v>
      </c>
    </row>
    <row r="10" spans="2:74">
      <c r="B10" s="26" t="s">
        <v>48</v>
      </c>
      <c r="C10" s="139" t="s">
        <v>49</v>
      </c>
      <c r="D10" s="171" t="str">
        <f>VLOOKUP($B$4&amp;" "&amp;$B10,Actuals!$D$4:$AG$131,3,FALSE)</f>
        <v>#</v>
      </c>
      <c r="E10" s="162" cm="1">
        <f t="array" ref="E10">_xlfn.XLOOKUP(
   $B$4&amp;" "&amp;$B10,
   Actuals!$D:$D,
   _xlfn.XLOOKUP(
      E$6,
      Actuals!$H$3:$BD$3,
      Actuals!$H:$BD
   )
)</f>
        <v>4</v>
      </c>
      <c r="F10" s="162" cm="1">
        <f t="array" ref="F10">_xlfn.XLOOKUP(
   $B$4&amp;" "&amp;$B10,
   Actuals!$D:$D,
   _xlfn.XLOOKUP(
      F$6,
      Actuals!$H$3:$BD$3,
      Actuals!$H:$BD
   )
)</f>
        <v>4</v>
      </c>
      <c r="G10" s="162" cm="1">
        <f t="array" ref="G10">_xlfn.XLOOKUP(
   $B$4&amp;" "&amp;$B10,
   Actuals!$D:$D,
   _xlfn.XLOOKUP(
      G$6,
      Actuals!$H$3:$BD$3,
      Actuals!$H:$BD
   )
)</f>
        <v>4</v>
      </c>
      <c r="H10" s="162" cm="1">
        <f t="array" ref="H10">_xlfn.XLOOKUP(
   $B$4&amp;" "&amp;$B10,
   Actuals!$D:$D,
   _xlfn.XLOOKUP(
      H$6,
      Actuals!$H$3:$BD$3,
      Actuals!$H:$BD
   )
)</f>
        <v>2</v>
      </c>
      <c r="I10" s="162" cm="1">
        <f t="array" ref="I10">_xlfn.XLOOKUP(
   $B$4&amp;" "&amp;$B10,
   Actuals!$D:$D,
   _xlfn.XLOOKUP(
      I$6,
      Actuals!$H$3:$BD$3,
      Actuals!$H:$BD
   )
)</f>
        <v>2.2000000000000002</v>
      </c>
      <c r="J10" s="162" cm="1">
        <f t="array" ref="J10">_xlfn.XLOOKUP(
   $B$4&amp;" "&amp;$B10,
   Actuals!$D:$D,
   _xlfn.XLOOKUP(
      J$6,
      Actuals!$H$3:$BD$3,
      Actuals!$H:$BD
   )
)</f>
        <v>2</v>
      </c>
      <c r="K10" s="162" cm="1">
        <f t="array" ref="K10">_xlfn.XLOOKUP(
   $B$4&amp;" "&amp;$B10,
   Actuals!$D:$D,
   _xlfn.XLOOKUP(
      K$6,
      Actuals!$H$3:$BD$3,
      Actuals!$H:$BD
   )
)</f>
        <v>2</v>
      </c>
      <c r="L10" s="162" cm="1">
        <f t="array" ref="L10">_xlfn.XLOOKUP(
   $B$4&amp;" "&amp;$B10,
   Actuals!$D:$D,
   _xlfn.XLOOKUP(
      L$6,
      Actuals!$H$3:$BD$3,
      Actuals!$H:$BD
   )
)</f>
        <v>2</v>
      </c>
      <c r="M10" s="162" cm="1">
        <f t="array" ref="M10">_xlfn.XLOOKUP(
   $B$4&amp;" "&amp;$B10,
   Actuals!$D:$D,
   _xlfn.XLOOKUP(
      M$6,
      Actuals!$H$3:$BD$3,
      Actuals!$H:$BD
   )
)</f>
        <v>2</v>
      </c>
      <c r="N10" s="162" cm="1">
        <f t="array" ref="N10">_xlfn.XLOOKUP(
   $B$4&amp;" "&amp;$B10,
   Actuals!$D:$D,
   _xlfn.XLOOKUP(
      N$6,
      Actuals!$H$3:$BD$3,
      Actuals!$H:$BD
   )
)</f>
        <v>2</v>
      </c>
      <c r="O10" s="210" cm="1">
        <f t="array" ref="O10">_xlfn.XLOOKUP(
   $B$4&amp;" "&amp;$B10,
   Actuals!$D:$D,
   _xlfn.XLOOKUP(
      O$6,
      Actuals!$H$3:$BD$3,
      Actuals!$H:$BD
   )
)</f>
        <v>0</v>
      </c>
      <c r="P10" s="210" cm="1">
        <f t="array" ref="P10">_xlfn.XLOOKUP(
   $B$4&amp;" "&amp;$B10,
   Actuals!$D:$D,
   _xlfn.XLOOKUP(
      P$6,
      Actuals!$H$3:$BD$3,
      Actuals!$H:$BD
   )
)</f>
        <v>0</v>
      </c>
      <c r="Q10" s="210" cm="1">
        <f t="array" ref="Q10">_xlfn.XLOOKUP(
   $B$4&amp;" "&amp;$B10,
   Actuals!$D:$D,
   _xlfn.XLOOKUP(
      Q$6,
      Actuals!$H$3:$BD$3,
      Actuals!$H:$BD
   )
)</f>
        <v>0</v>
      </c>
      <c r="R10" s="210" cm="1">
        <f t="array" ref="R10">_xlfn.XLOOKUP(
   $B$4&amp;" "&amp;$B10,
   Actuals!$D:$D,
   _xlfn.XLOOKUP(
      R$6,
      Actuals!$H$3:$BD$3,
      Actuals!$H:$BD
   )
)</f>
        <v>0</v>
      </c>
      <c r="S10" s="210" cm="1">
        <f t="array" ref="S10">_xlfn.XLOOKUP(
   $B$4&amp;" "&amp;$B10,
   Actuals!$D:$D,
   _xlfn.XLOOKUP(
      S$6,
      Actuals!$H$3:$BD$3,
      Actuals!$H:$BD
   )
)</f>
        <v>0</v>
      </c>
      <c r="T10" s="210" cm="1">
        <f t="array" ref="T10">_xlfn.XLOOKUP(
   $B$4&amp;" "&amp;$B10,
   Actuals!$D:$D,
   _xlfn.XLOOKUP(
      T$6,
      Actuals!$H$3:$BD$3,
      Actuals!$H:$BD
   )
)</f>
        <v>0</v>
      </c>
      <c r="U10" s="210" cm="1">
        <f t="array" ref="U10">_xlfn.XLOOKUP(
   $B$4&amp;" "&amp;$B10,
   Actuals!$D:$D,
   _xlfn.XLOOKUP(
      U$6,
      Actuals!$H$3:$BD$3,
      Actuals!$H:$BD
   )
)</f>
        <v>0</v>
      </c>
      <c r="V10" s="210" cm="1">
        <f t="array" ref="V10">_xlfn.XLOOKUP(
   $B$4&amp;" "&amp;$B10,
   Actuals!$D:$D,
   _xlfn.XLOOKUP(
      V$6,
      Actuals!$H$3:$BD$3,
      Actuals!$H:$BD
   )
)</f>
        <v>0</v>
      </c>
      <c r="W10" s="210" cm="1">
        <f t="array" ref="W10">_xlfn.XLOOKUP(
   $B$4&amp;" "&amp;$B10,
   Actuals!$D:$D,
   _xlfn.XLOOKUP(
      W$6,
      Actuals!$H$3:$BD$3,
      Actuals!$H:$BD
   )
)</f>
        <v>0</v>
      </c>
      <c r="X10" s="210" cm="1">
        <f t="array" ref="X10">_xlfn.XLOOKUP(
   $B$4&amp;" "&amp;$B10,
   Actuals!$D:$D,
   _xlfn.XLOOKUP(
      X$6,
      Actuals!$H$3:$BD$3,
      Actuals!$H:$BD
   )
)</f>
        <v>0</v>
      </c>
      <c r="Y10" s="210" cm="1">
        <f t="array" ref="Y10">_xlfn.XLOOKUP(
   $B$4&amp;" "&amp;$B10,
   Actuals!$D:$D,
   _xlfn.XLOOKUP(
      Y$6,
      Actuals!$H$3:$BD$3,
      Actuals!$H:$BD
   )
)</f>
        <v>0</v>
      </c>
      <c r="Z10" s="210" cm="1">
        <f t="array" ref="Z10">_xlfn.XLOOKUP(
   $B$4&amp;" "&amp;$B10,
   Actuals!$D:$D,
   _xlfn.XLOOKUP(
      Z$6,
      Actuals!$H$3:$BD$3,
      Actuals!$H:$BD
   )
)</f>
        <v>0</v>
      </c>
      <c r="AA10" s="210" cm="1">
        <f t="array" ref="AA10">_xlfn.XLOOKUP(
   $B$4&amp;" "&amp;$B10,
   Actuals!$D:$D,
   _xlfn.XLOOKUP(
      AA$6,
      Actuals!$H$3:$BD$3,
      Actuals!$H:$BD
   )
)</f>
        <v>0</v>
      </c>
      <c r="AB10" s="210" cm="1">
        <f t="array" ref="AB10">_xlfn.XLOOKUP(
   $B$4&amp;" "&amp;$B10,
   Actuals!$D:$D,
   _xlfn.XLOOKUP(
      AB$6,
      Actuals!$H$3:$BD$3,
      Actuals!$H:$BD
   )
)</f>
        <v>0</v>
      </c>
      <c r="AC10" s="210" cm="1">
        <f t="array" ref="AC10">_xlfn.XLOOKUP(
   $B$4&amp;" "&amp;$B10,
   Actuals!$D:$D,
   _xlfn.XLOOKUP(
      AC$6,
      Actuals!$H$3:$BD$3,
      Actuals!$H:$BD
   )
)</f>
        <v>2</v>
      </c>
      <c r="AD10" s="210" cm="1">
        <f t="array" ref="AD10">_xlfn.XLOOKUP(
   $B$4&amp;" "&amp;$B10,
   Actuals!$D:$D,
   _xlfn.XLOOKUP(
      AD$6,
      Actuals!$H$3:$BD$3,
      Actuals!$H:$BD
   )
)</f>
        <v>2</v>
      </c>
      <c r="AE10" s="210" cm="1">
        <f t="array" ref="AE10">_xlfn.XLOOKUP(
   $B$4&amp;" "&amp;$B10,
   Actuals!$D:$D,
   _xlfn.XLOOKUP(
      AE$6,
      Actuals!$H$3:$BD$3,
      Actuals!$H:$BD
   )
)</f>
        <v>2</v>
      </c>
      <c r="AF10" s="210" cm="1">
        <f t="array" ref="AF10">_xlfn.XLOOKUP(
   $B$4&amp;" "&amp;$B10,
   Actuals!$D:$D,
   _xlfn.XLOOKUP(
      AF$6,
      Actuals!$H$3:$BD$3,
      Actuals!$H:$BD
   )
)</f>
        <v>2</v>
      </c>
      <c r="AG10" s="210" cm="1">
        <f t="array" ref="AG10">_xlfn.XLOOKUP(
   $B$4&amp;" "&amp;$B10,
   Actuals!$D:$D,
   _xlfn.XLOOKUP(
      AG$6,
      Actuals!$H$3:$BD$3,
      Actuals!$H:$BD
   )
)</f>
        <v>2</v>
      </c>
      <c r="AH10" s="210" cm="1">
        <f t="array" ref="AH10">_xlfn.XLOOKUP(
   $B$4&amp;" "&amp;$B10,
   Actuals!$D:$D,
   _xlfn.XLOOKUP(
      AH$6,
      Actuals!$H$3:$BD$3,
      Actuals!$H:$BD
   )
)</f>
        <v>2</v>
      </c>
      <c r="AI10" s="210" cm="1">
        <f t="array" ref="AI10">_xlfn.XLOOKUP(
   $B$4&amp;" "&amp;$B10,
   Actuals!$D:$D,
   _xlfn.XLOOKUP(
      AI$6,
      Actuals!$H$3:$BD$3,
      Actuals!$H:$BD
   )
)</f>
        <v>2</v>
      </c>
      <c r="AJ10" s="210" cm="1">
        <f t="array" ref="AJ10">_xlfn.XLOOKUP(
   $B$4&amp;" "&amp;$B10,
   Actuals!$D:$D,
   _xlfn.XLOOKUP(
      AJ$6,
      Actuals!$H$3:$BD$3,
      Actuals!$H:$BD
   )
)</f>
        <v>2</v>
      </c>
      <c r="AK10" s="210" cm="1">
        <f t="array" ref="AK10">_xlfn.XLOOKUP(
   $B$4&amp;" "&amp;$B10,
   Actuals!$D:$D,
   _xlfn.XLOOKUP(
      AK$6,
      Actuals!$H$3:$BD$3,
      Actuals!$H:$BD
   )
)</f>
        <v>2</v>
      </c>
      <c r="AL10" s="210" cm="1">
        <f t="array" ref="AL10">_xlfn.XLOOKUP(
   $B$4&amp;" "&amp;$B10,
   Actuals!$D:$D,
   _xlfn.XLOOKUP(
      AL$6,
      Actuals!$H$3:$BD$3,
      Actuals!$H:$BD
   )
)</f>
        <v>2</v>
      </c>
      <c r="AM10" s="210" cm="1">
        <f t="array" ref="AM10">_xlfn.XLOOKUP(
   $B$4&amp;" "&amp;$B10,
   Actuals!$D:$D,
   _xlfn.XLOOKUP(
      AM$6,
      Actuals!$H$3:$BD$3,
      Actuals!$H:$BD
   )
)</f>
        <v>2</v>
      </c>
      <c r="AN10" s="210" cm="1">
        <f t="array" ref="AN10">_xlfn.XLOOKUP(
   $B$4&amp;" "&amp;$B10,
   Actuals!$D:$D,
   _xlfn.XLOOKUP(
      AN$6,
      Actuals!$H$3:$BD$3,
      Actuals!$H:$BD
   )
)</f>
        <v>2</v>
      </c>
      <c r="AO10" s="210" cm="1">
        <f t="array" ref="AO10">_xlfn.XLOOKUP(
   $B$4&amp;" "&amp;$B10,
   Actuals!$D:$D,
   _xlfn.XLOOKUP(
      AO$6,
      Actuals!$H$3:$BD$3,
      Actuals!$H:$BD
   )
)</f>
        <v>2</v>
      </c>
      <c r="AP10" s="210" cm="1">
        <f t="array" ref="AP10">_xlfn.XLOOKUP(
   $B$4&amp;" "&amp;$B10,
   Actuals!$D:$D,
   _xlfn.XLOOKUP(
      AP$6,
      Actuals!$H$3:$BD$3,
      Actuals!$H:$BD
   )
)</f>
        <v>2</v>
      </c>
      <c r="AQ10" s="210" cm="1">
        <f t="array" ref="AQ10">_xlfn.XLOOKUP(
   $B$4&amp;" "&amp;$B10,
   Actuals!$D:$D,
   _xlfn.XLOOKUP(
      AQ$6,
      Actuals!$H$3:$BD$3,
      Actuals!$H:$BD
   )
)</f>
        <v>2</v>
      </c>
      <c r="AR10" s="210" cm="1">
        <f t="array" ref="AR10">_xlfn.XLOOKUP(
   $B$4&amp;" "&amp;$B10,
   Actuals!$D:$D,
   _xlfn.XLOOKUP(
      AR$6,
      Actuals!$H$3:$BD$3,
      Actuals!$H:$BD
   )
)</f>
        <v>0</v>
      </c>
      <c r="AS10" s="210" cm="1">
        <f t="array" ref="AS10">_xlfn.XLOOKUP(
   $B$4&amp;" "&amp;$B10,
   Actuals!$D:$D,
   _xlfn.XLOOKUP(
      AS$6,
      Actuals!$H$3:$BD$3,
      Actuals!$H:$BD
   )
)</f>
        <v>0</v>
      </c>
      <c r="AT10" s="210" cm="1">
        <f t="array" ref="AT10">_xlfn.XLOOKUP(
   $B$4&amp;" "&amp;$B10,
   Actuals!$D:$D,
   _xlfn.XLOOKUP(
      AT$6,
      Actuals!$H$3:$BD$3,
      Actuals!$H:$BD
   )
)</f>
        <v>0</v>
      </c>
      <c r="AU10" s="210" cm="1">
        <f t="array" ref="AU10">_xlfn.XLOOKUP(
   $B$4&amp;" "&amp;$B10,
   Actuals!$D:$D,
   _xlfn.XLOOKUP(
      AU$6,
      Actuals!$H$3:$BD$3,
      Actuals!$H:$BD
   )
)</f>
        <v>0</v>
      </c>
      <c r="AV10" s="210" cm="1">
        <f t="array" ref="AV10">_xlfn.XLOOKUP(
   $B$4&amp;" "&amp;$B10,
   Actuals!$D:$D,
   _xlfn.XLOOKUP(
      AV$6,
      Actuals!$H$3:$BD$3,
      Actuals!$H:$BD
   )
)</f>
        <v>0</v>
      </c>
      <c r="AW10" s="210" cm="1">
        <f t="array" ref="AW10">_xlfn.XLOOKUP(
   $B$4&amp;" "&amp;$B10,
   Actuals!$D:$D,
   _xlfn.XLOOKUP(
      AW$6,
      Actuals!$H$3:$BD$3,
      Actuals!$H:$BD
   )
)</f>
        <v>0</v>
      </c>
      <c r="AX10" s="210" cm="1">
        <f t="array" ref="AX10">_xlfn.XLOOKUP(
   $B$4&amp;" "&amp;$B10,
   Actuals!$D:$D,
   _xlfn.XLOOKUP(
      AX$6,
      Actuals!$H$3:$BD$3,
      Actuals!$H:$BD
   )
)</f>
        <v>0</v>
      </c>
      <c r="AY10" s="210" cm="1">
        <f t="array" ref="AY10">_xlfn.XLOOKUP(
   $B$4&amp;" "&amp;$B10,
   Actuals!$D:$D,
   _xlfn.XLOOKUP(
      AY$6,
      Actuals!$H$3:$BD$3,
      Actuals!$H:$BD
   )
)</f>
        <v>0</v>
      </c>
      <c r="AZ10" s="210" cm="1">
        <f t="array" ref="AZ10">_xlfn.XLOOKUP(
   $B$4&amp;" "&amp;$B10,
   Actuals!$D:$D,
   _xlfn.XLOOKUP(
      AZ$6,
      Actuals!$H$3:$BD$3,
      Actuals!$H:$BD
   )
)</f>
        <v>0</v>
      </c>
      <c r="BA10" s="210"/>
      <c r="BB10" s="210" cm="1">
        <f t="array" ref="BB10">_xlfn.XLOOKUP(
   $B$4&amp;" "&amp;$B10,
   Actuals!$D:$D,
   _xlfn.XLOOKUP(
      BB$7,
      Actuals!$H$3:$BM$3,
      Actuals!$H:$BM
   )
)</f>
        <v>6</v>
      </c>
      <c r="BC10" s="210">
        <f>VLOOKUP($B$4&amp;" "&amp;$B10,Budget!$AG$4:$AL$132,$BB$5+1,FALSE)</f>
        <v>6</v>
      </c>
      <c r="BD10" s="210">
        <f>BB10-BC10</f>
        <v>0</v>
      </c>
      <c r="BE10" s="210"/>
      <c r="BF10" s="210" cm="1">
        <f t="array" ref="BF10">_xlfn.XLOOKUP(
   $B$4&amp;" "&amp;$B10,
   Actuals!$D:$D,
   _xlfn.XLOOKUP(
      BF$7,
      Actuals!$H$3:$BM$3,
      Actuals!$H:$BM
   )
)</f>
        <v>0</v>
      </c>
      <c r="BG10" s="210">
        <f>VLOOKUP($B$4&amp;" "&amp;$B10,Budget!$AG$4:$AL$132,BF$5+1,FALSE)</f>
        <v>6</v>
      </c>
      <c r="BH10" s="210">
        <f>BF10-BG10</f>
        <v>-6</v>
      </c>
      <c r="BI10" s="210"/>
      <c r="BJ10" s="210" cm="1">
        <f t="array" ref="BJ10">_xlfn.XLOOKUP(
   $B$4&amp;" "&amp;$B10,
   Actuals!$D:$D,
   _xlfn.XLOOKUP(
      BJ$7,
      Actuals!$H$3:$BM$3,
      Actuals!$H:$BM
   )
)</f>
        <v>0</v>
      </c>
      <c r="BK10" s="210">
        <f>VLOOKUP($B$4&amp;" "&amp;$B10,Budget!$AG$4:$AL$132,BJ$5+1,FALSE)</f>
        <v>6</v>
      </c>
      <c r="BL10" s="210">
        <f>BJ10-BK10</f>
        <v>-6</v>
      </c>
      <c r="BM10" s="210"/>
      <c r="BN10" s="210" cm="1">
        <f t="array" ref="BN10">_xlfn.XLOOKUP(
   $B$4&amp;" "&amp;$B10,
   Actuals!$D:$D,
   _xlfn.XLOOKUP(
      BN$7,
      Actuals!$H$3:$BM$3,
      Actuals!$H:$BM
   )
)</f>
        <v>0</v>
      </c>
      <c r="BO10" s="210">
        <f>VLOOKUP($B$4&amp;" "&amp;$B10,Budget!$AG$4:$AL$132,BN$5+1,FALSE)</f>
        <v>6</v>
      </c>
      <c r="BP10" s="210"/>
      <c r="BQ10" s="210"/>
      <c r="BR10" s="210" cm="1">
        <f t="array" aca="1" ref="BR10" ca="1">_xlfn.XLOOKUP(
   $B$4&amp;" "&amp;$B10,
   Actuals!$D:$D,
   _xlfn.XLOOKUP(
      BR$6,
      Actuals!$H$3:$BM$3,
      Actuals!$H:$BM
   )
)</f>
        <v>6</v>
      </c>
      <c r="BS10" s="210">
        <f ca="1">VLOOKUP($B$4&amp;" "&amp;$B10,Budget!$AG$4:$AL$132,6,FALSE)</f>
        <v>24</v>
      </c>
      <c r="BT10" s="210">
        <f ca="1">IFERROR(BR10-BS10,"-")</f>
        <v>-18</v>
      </c>
      <c r="BU10" s="210"/>
      <c r="BV10" s="210">
        <f>VLOOKUP($B$4&amp;" "&amp;$B10,Actuals!$BG$4:$BM$131,7,FALSE)</f>
        <v>24</v>
      </c>
    </row>
    <row r="11" spans="2:74">
      <c r="D11" s="171"/>
      <c r="E11" s="26"/>
      <c r="F11" s="26"/>
      <c r="G11" s="26"/>
      <c r="H11" s="26"/>
      <c r="I11" s="26"/>
      <c r="J11" s="26"/>
      <c r="K11" s="26"/>
      <c r="L11" s="26"/>
      <c r="M11" s="26"/>
      <c r="N11" s="26"/>
      <c r="O11" s="285"/>
      <c r="P11" s="285"/>
      <c r="Q11" s="285"/>
      <c r="R11" s="285"/>
      <c r="S11" s="285"/>
      <c r="T11" s="285"/>
      <c r="U11" s="285"/>
      <c r="V11" s="285"/>
      <c r="W11" s="285"/>
      <c r="X11" s="285"/>
      <c r="Y11" s="285"/>
      <c r="Z11" s="285"/>
      <c r="AA11" s="285"/>
      <c r="AB11" s="285"/>
      <c r="AC11" s="285"/>
      <c r="AD11" s="285"/>
      <c r="AE11" s="285"/>
      <c r="AF11" s="285"/>
      <c r="AG11" s="285"/>
      <c r="AH11" s="285"/>
      <c r="AI11" s="285"/>
      <c r="AJ11" s="285"/>
      <c r="AK11" s="285"/>
      <c r="AL11" s="285"/>
      <c r="AM11" s="285"/>
      <c r="AN11" s="285"/>
      <c r="AO11" s="285"/>
      <c r="AP11" s="285"/>
      <c r="AQ11" s="285"/>
      <c r="AR11" s="285"/>
      <c r="AS11" s="285"/>
      <c r="AT11" s="285"/>
      <c r="AU11" s="285"/>
      <c r="AV11" s="285"/>
      <c r="AW11" s="285"/>
      <c r="AX11" s="285"/>
      <c r="AY11" s="285"/>
      <c r="AZ11" s="285"/>
      <c r="BA11" s="285"/>
      <c r="BB11" s="285"/>
      <c r="BC11" s="285"/>
      <c r="BD11" s="285"/>
      <c r="BE11" s="285"/>
      <c r="BF11" s="285"/>
      <c r="BG11" s="285"/>
      <c r="BH11" s="285"/>
      <c r="BI11" s="285"/>
      <c r="BJ11" s="285"/>
      <c r="BK11" s="285"/>
      <c r="BL11" s="285"/>
      <c r="BM11" s="285"/>
      <c r="BN11" s="285"/>
      <c r="BO11" s="285"/>
      <c r="BP11" s="285"/>
      <c r="BQ11" s="285"/>
      <c r="BR11" s="285"/>
      <c r="BS11" s="285"/>
      <c r="BT11" s="285"/>
      <c r="BU11" s="285"/>
      <c r="BV11" s="285"/>
    </row>
    <row r="12" spans="2:74" ht="13">
      <c r="B12" s="126" t="s">
        <v>50</v>
      </c>
      <c r="C12" s="138"/>
      <c r="D12" s="138"/>
      <c r="E12" s="138"/>
      <c r="F12" s="138"/>
      <c r="G12" s="138"/>
      <c r="H12" s="138"/>
      <c r="I12" s="138"/>
      <c r="J12" s="138"/>
      <c r="K12" s="138"/>
      <c r="L12" s="138"/>
      <c r="M12" s="138"/>
      <c r="N12" s="138"/>
      <c r="O12" s="286"/>
      <c r="P12" s="286"/>
      <c r="Q12" s="286"/>
      <c r="R12" s="286"/>
      <c r="S12" s="286"/>
      <c r="T12" s="286"/>
      <c r="U12" s="286"/>
      <c r="V12" s="286"/>
      <c r="W12" s="286"/>
      <c r="X12" s="286"/>
      <c r="Y12" s="286"/>
      <c r="Z12" s="286"/>
      <c r="AA12" s="286"/>
      <c r="AB12" s="286"/>
      <c r="AC12" s="286"/>
      <c r="AD12" s="286"/>
      <c r="AE12" s="286"/>
      <c r="AF12" s="286"/>
      <c r="AG12" s="286"/>
      <c r="AH12" s="286"/>
      <c r="AI12" s="286"/>
      <c r="AJ12" s="286"/>
      <c r="AK12" s="286"/>
      <c r="AL12" s="286"/>
      <c r="AM12" s="286"/>
      <c r="AN12" s="286"/>
      <c r="AO12" s="286"/>
      <c r="AP12" s="286"/>
      <c r="AQ12" s="286"/>
      <c r="AR12" s="286"/>
      <c r="AS12" s="286"/>
      <c r="AT12" s="286"/>
      <c r="AU12" s="286"/>
      <c r="AV12" s="286"/>
      <c r="AW12" s="286"/>
      <c r="AX12" s="286"/>
      <c r="AY12" s="286"/>
      <c r="AZ12" s="286"/>
      <c r="BA12" s="286"/>
      <c r="BB12" s="286"/>
      <c r="BC12" s="286"/>
      <c r="BD12" s="286"/>
      <c r="BE12" s="286"/>
      <c r="BF12" s="286"/>
      <c r="BG12" s="286"/>
      <c r="BH12" s="286"/>
      <c r="BI12" s="286"/>
      <c r="BJ12" s="286"/>
      <c r="BK12" s="286"/>
      <c r="BL12" s="286"/>
      <c r="BM12" s="286"/>
      <c r="BN12" s="286"/>
      <c r="BO12" s="286"/>
      <c r="BP12" s="286"/>
      <c r="BQ12" s="286"/>
      <c r="BR12" s="286"/>
      <c r="BS12" s="286"/>
      <c r="BT12" s="286"/>
      <c r="BU12" s="286"/>
      <c r="BV12" s="286"/>
    </row>
    <row r="13" spans="2:74">
      <c r="B13" s="26" t="s">
        <v>51</v>
      </c>
      <c r="C13" s="139" t="s">
        <v>49</v>
      </c>
      <c r="D13" s="171" t="str">
        <f>VLOOKUP($B$4&amp;" "&amp;$B13,Actuals!$D$4:$AG$131,3,FALSE)</f>
        <v>#</v>
      </c>
      <c r="E13" s="168" cm="1">
        <f t="array" ref="E13">_xlfn.XLOOKUP(
   $B$4&amp;" "&amp;$B13,
   Actuals!$D:$D,
   _xlfn.XLOOKUP(
      E$6,
      Actuals!$H$3:$BD$3,
      Actuals!$H:$BD
   )
)</f>
        <v>220</v>
      </c>
      <c r="F13" s="168" cm="1">
        <f t="array" ref="F13">_xlfn.XLOOKUP(
   $B$4&amp;" "&amp;$B13,
   Actuals!$D:$D,
   _xlfn.XLOOKUP(
      F$6,
      Actuals!$H$3:$BD$3,
      Actuals!$H:$BD
   )
)</f>
        <v>159</v>
      </c>
      <c r="G13" s="168" cm="1">
        <f t="array" ref="G13">_xlfn.XLOOKUP(
   $B$4&amp;" "&amp;$B13,
   Actuals!$D:$D,
   _xlfn.XLOOKUP(
      G$6,
      Actuals!$H$3:$BD$3,
      Actuals!$H:$BD
   )
)</f>
        <v>196</v>
      </c>
      <c r="H13" s="168" cm="1">
        <f t="array" ref="H13">_xlfn.XLOOKUP(
   $B$4&amp;" "&amp;$B13,
   Actuals!$D:$D,
   _xlfn.XLOOKUP(
      H$6,
      Actuals!$H$3:$BD$3,
      Actuals!$H:$BD
   )
)</f>
        <v>115</v>
      </c>
      <c r="I13" s="168" cm="1">
        <f t="array" ref="I13">_xlfn.XLOOKUP(
   $B$4&amp;" "&amp;$B13,
   Actuals!$D:$D,
   _xlfn.XLOOKUP(
      I$6,
      Actuals!$H$3:$BD$3,
      Actuals!$H:$BD
   )
)</f>
        <v>265</v>
      </c>
      <c r="J13" s="168" cm="1">
        <f t="array" ref="J13">_xlfn.XLOOKUP(
   $B$4&amp;" "&amp;$B13,
   Actuals!$D:$D,
   _xlfn.XLOOKUP(
      J$6,
      Actuals!$H$3:$BD$3,
      Actuals!$H:$BD
   )
)</f>
        <v>223</v>
      </c>
      <c r="K13" s="168" cm="1">
        <f t="array" ref="K13">_xlfn.XLOOKUP(
   $B$4&amp;" "&amp;$B13,
   Actuals!$D:$D,
   _xlfn.XLOOKUP(
      K$6,
      Actuals!$H$3:$BD$3,
      Actuals!$H:$BD
   )
)</f>
        <v>234</v>
      </c>
      <c r="L13" s="168" cm="1">
        <f t="array" ref="L13">_xlfn.XLOOKUP(
   $B$4&amp;" "&amp;$B13,
   Actuals!$D:$D,
   _xlfn.XLOOKUP(
      L$6,
      Actuals!$H$3:$BD$3,
      Actuals!$H:$BD
   )
)</f>
        <v>328</v>
      </c>
      <c r="M13" s="168" cm="1">
        <f t="array" ref="M13">_xlfn.XLOOKUP(
   $B$4&amp;" "&amp;$B13,
   Actuals!$D:$D,
   _xlfn.XLOOKUP(
      M$6,
      Actuals!$H$3:$BD$3,
      Actuals!$H:$BD
   )
)</f>
        <v>248</v>
      </c>
      <c r="N13" s="168" cm="1">
        <f t="array" ref="N13">_xlfn.XLOOKUP(
   $B$4&amp;" "&amp;$B13,
   Actuals!$D:$D,
   _xlfn.XLOOKUP(
      N$6,
      Actuals!$H$3:$BD$3,
      Actuals!$H:$BD
   )
)</f>
        <v>226</v>
      </c>
      <c r="O13" s="292" cm="1">
        <f t="array" ref="O13">_xlfn.XLOOKUP(
   $B$4&amp;" "&amp;$B13,
   Actuals!$D:$D,
   _xlfn.XLOOKUP(
      O$6,
      Actuals!$H$3:$BD$3,
      Actuals!$H:$BD
   )
)</f>
        <v>0</v>
      </c>
      <c r="P13" s="292" cm="1">
        <f t="array" ref="P13">_xlfn.XLOOKUP(
   $B$4&amp;" "&amp;$B13,
   Actuals!$D:$D,
   _xlfn.XLOOKUP(
      P$6,
      Actuals!$H$3:$BD$3,
      Actuals!$H:$BD
   )
)</f>
        <v>0</v>
      </c>
      <c r="Q13" s="292" cm="1">
        <f t="array" ref="Q13">_xlfn.XLOOKUP(
   $B$4&amp;" "&amp;$B13,
   Actuals!$D:$D,
   _xlfn.XLOOKUP(
      Q$6,
      Actuals!$H$3:$BD$3,
      Actuals!$H:$BD
   )
)</f>
        <v>0</v>
      </c>
      <c r="R13" s="292" cm="1">
        <f t="array" ref="R13">_xlfn.XLOOKUP(
   $B$4&amp;" "&amp;$B13,
   Actuals!$D:$D,
   _xlfn.XLOOKUP(
      R$6,
      Actuals!$H$3:$BD$3,
      Actuals!$H:$BD
   )
)</f>
        <v>0</v>
      </c>
      <c r="S13" s="292" cm="1">
        <f t="array" ref="S13">_xlfn.XLOOKUP(
   $B$4&amp;" "&amp;$B13,
   Actuals!$D:$D,
   _xlfn.XLOOKUP(
      S$6,
      Actuals!$H$3:$BD$3,
      Actuals!$H:$BD
   )
)</f>
        <v>0</v>
      </c>
      <c r="T13" s="292" cm="1">
        <f t="array" ref="T13">_xlfn.XLOOKUP(
   $B$4&amp;" "&amp;$B13,
   Actuals!$D:$D,
   _xlfn.XLOOKUP(
      T$6,
      Actuals!$H$3:$BD$3,
      Actuals!$H:$BD
   )
)</f>
        <v>0</v>
      </c>
      <c r="U13" s="292" cm="1">
        <f t="array" ref="U13">_xlfn.XLOOKUP(
   $B$4&amp;" "&amp;$B13,
   Actuals!$D:$D,
   _xlfn.XLOOKUP(
      U$6,
      Actuals!$H$3:$BD$3,
      Actuals!$H:$BD
   )
)</f>
        <v>0</v>
      </c>
      <c r="V13" s="292" cm="1">
        <f t="array" ref="V13">_xlfn.XLOOKUP(
   $B$4&amp;" "&amp;$B13,
   Actuals!$D:$D,
   _xlfn.XLOOKUP(
      V$6,
      Actuals!$H$3:$BD$3,
      Actuals!$H:$BD
   )
)</f>
        <v>0</v>
      </c>
      <c r="W13" s="292" cm="1">
        <f t="array" ref="W13">_xlfn.XLOOKUP(
   $B$4&amp;" "&amp;$B13,
   Actuals!$D:$D,
   _xlfn.XLOOKUP(
      W$6,
      Actuals!$H$3:$BD$3,
      Actuals!$H:$BD
   )
)</f>
        <v>0</v>
      </c>
      <c r="X13" s="292" cm="1">
        <f t="array" ref="X13">_xlfn.XLOOKUP(
   $B$4&amp;" "&amp;$B13,
   Actuals!$D:$D,
   _xlfn.XLOOKUP(
      X$6,
      Actuals!$H$3:$BD$3,
      Actuals!$H:$BD
   )
)</f>
        <v>0</v>
      </c>
      <c r="Y13" s="292" cm="1">
        <f t="array" ref="Y13">_xlfn.XLOOKUP(
   $B$4&amp;" "&amp;$B13,
   Actuals!$D:$D,
   _xlfn.XLOOKUP(
      Y$6,
      Actuals!$H$3:$BD$3,
      Actuals!$H:$BD
   )
)</f>
        <v>0</v>
      </c>
      <c r="Z13" s="292" cm="1">
        <f t="array" ref="Z13">_xlfn.XLOOKUP(
   $B$4&amp;" "&amp;$B13,
   Actuals!$D:$D,
   _xlfn.XLOOKUP(
      Z$6,
      Actuals!$H$3:$BD$3,
      Actuals!$H:$BD
   )
)</f>
        <v>0</v>
      </c>
      <c r="AA13" s="292" cm="1">
        <f t="array" ref="AA13">_xlfn.XLOOKUP(
   $B$4&amp;" "&amp;$B13,
   Actuals!$D:$D,
   _xlfn.XLOOKUP(
      AA$6,
      Actuals!$H$3:$BD$3,
      Actuals!$H:$BD
   )
)</f>
        <v>0</v>
      </c>
      <c r="AB13" s="292" cm="1">
        <f t="array" ref="AB13">_xlfn.XLOOKUP(
   $B$4&amp;" "&amp;$B13,
   Actuals!$D:$D,
   _xlfn.XLOOKUP(
      AB$6,
      Actuals!$H$3:$BD$3,
      Actuals!$H:$BD
   )
)</f>
        <v>0</v>
      </c>
      <c r="AC13" s="292" cm="1">
        <f t="array" ref="AC13">_xlfn.XLOOKUP(
   $B$4&amp;" "&amp;$B13,
   Actuals!$D:$D,
   _xlfn.XLOOKUP(
      AC$6,
      Actuals!$H$3:$BD$3,
      Actuals!$H:$BD
   )
)</f>
        <v>284</v>
      </c>
      <c r="AD13" s="292" cm="1">
        <f t="array" ref="AD13">_xlfn.XLOOKUP(
   $B$4&amp;" "&amp;$B13,
   Actuals!$D:$D,
   _xlfn.XLOOKUP(
      AD$6,
      Actuals!$H$3:$BD$3,
      Actuals!$H:$BD
   )
)</f>
        <v>334</v>
      </c>
      <c r="AE13" s="292" cm="1">
        <f t="array" ref="AE13">_xlfn.XLOOKUP(
   $B$4&amp;" "&amp;$B13,
   Actuals!$D:$D,
   _xlfn.XLOOKUP(
      AE$6,
      Actuals!$H$3:$BD$3,
      Actuals!$H:$BD
   )
)</f>
        <v>377</v>
      </c>
      <c r="AF13" s="292" cm="1">
        <f t="array" ref="AF13">_xlfn.XLOOKUP(
   $B$4&amp;" "&amp;$B13,
   Actuals!$D:$D,
   _xlfn.XLOOKUP(
      AF$6,
      Actuals!$H$3:$BD$3,
      Actuals!$H:$BD
   )
)</f>
        <v>340</v>
      </c>
      <c r="AG13" s="292" cm="1">
        <f t="array" ref="AG13">_xlfn.XLOOKUP(
   $B$4&amp;" "&amp;$B13,
   Actuals!$D:$D,
   _xlfn.XLOOKUP(
      AG$6,
      Actuals!$H$3:$BD$3,
      Actuals!$H:$BD
   )
)</f>
        <v>314</v>
      </c>
      <c r="AH13" s="292" cm="1">
        <f t="array" ref="AH13">_xlfn.XLOOKUP(
   $B$4&amp;" "&amp;$B13,
   Actuals!$D:$D,
   _xlfn.XLOOKUP(
      AH$6,
      Actuals!$H$3:$BD$3,
      Actuals!$H:$BD
   )
)</f>
        <v>585</v>
      </c>
      <c r="AI13" s="292" cm="1">
        <f t="array" ref="AI13">_xlfn.XLOOKUP(
   $B$4&amp;" "&amp;$B13,
   Actuals!$D:$D,
   _xlfn.XLOOKUP(
      AI$6,
      Actuals!$H$3:$BD$3,
      Actuals!$H:$BD
   )
)</f>
        <v>331</v>
      </c>
      <c r="AJ13" s="292" cm="1">
        <f t="array" ref="AJ13">_xlfn.XLOOKUP(
   $B$4&amp;" "&amp;$B13,
   Actuals!$D:$D,
   _xlfn.XLOOKUP(
      AJ$6,
      Actuals!$H$3:$BD$3,
      Actuals!$H:$BD
   )
)</f>
        <v>283</v>
      </c>
      <c r="AK13" s="292" cm="1">
        <f t="array" ref="AK13">_xlfn.XLOOKUP(
   $B$4&amp;" "&amp;$B13,
   Actuals!$D:$D,
   _xlfn.XLOOKUP(
      AK$6,
      Actuals!$H$3:$BD$3,
      Actuals!$H:$BD
   )
)</f>
        <v>331</v>
      </c>
      <c r="AL13" s="292" cm="1">
        <f t="array" ref="AL13">_xlfn.XLOOKUP(
   $B$4&amp;" "&amp;$B13,
   Actuals!$D:$D,
   _xlfn.XLOOKUP(
      AL$6,
      Actuals!$H$3:$BD$3,
      Actuals!$H:$BD
   )
)</f>
        <v>265</v>
      </c>
      <c r="AM13" s="292" cm="1">
        <f t="array" ref="AM13">_xlfn.XLOOKUP(
   $B$4&amp;" "&amp;$B13,
   Actuals!$D:$D,
   _xlfn.XLOOKUP(
      AM$6,
      Actuals!$H$3:$BD$3,
      Actuals!$H:$BD
   )
)</f>
        <v>435</v>
      </c>
      <c r="AN13" s="292" cm="1">
        <f t="array" ref="AN13">_xlfn.XLOOKUP(
   $B$4&amp;" "&amp;$B13,
   Actuals!$D:$D,
   _xlfn.XLOOKUP(
      AN$6,
      Actuals!$H$3:$BD$3,
      Actuals!$H:$BD
   )
)</f>
        <v>147</v>
      </c>
      <c r="AO13" s="292" cm="1">
        <f t="array" ref="AO13">_xlfn.XLOOKUP(
   $B$4&amp;" "&amp;$B13,
   Actuals!$D:$D,
   _xlfn.XLOOKUP(
      AO$6,
      Actuals!$H$3:$BD$3,
      Actuals!$H:$BD
   )
)</f>
        <v>256</v>
      </c>
      <c r="AP13" s="292" cm="1">
        <f t="array" ref="AP13">_xlfn.XLOOKUP(
   $B$4&amp;" "&amp;$B13,
   Actuals!$D:$D,
   _xlfn.XLOOKUP(
      AP$6,
      Actuals!$H$3:$BD$3,
      Actuals!$H:$BD
   )
)</f>
        <v>135</v>
      </c>
      <c r="AQ13" s="292" cm="1">
        <f t="array" ref="AQ13">_xlfn.XLOOKUP(
   $B$4&amp;" "&amp;$B13,
   Actuals!$D:$D,
   _xlfn.XLOOKUP(
      AQ$6,
      Actuals!$H$3:$BD$3,
      Actuals!$H:$BD
   )
)</f>
        <v>0</v>
      </c>
      <c r="AR13" s="292" cm="1">
        <f t="array" ref="AR13">_xlfn.XLOOKUP(
   $B$4&amp;" "&amp;$B13,
   Actuals!$D:$D,
   _xlfn.XLOOKUP(
      AR$6,
      Actuals!$H$3:$BD$3,
      Actuals!$H:$BD
   )
)</f>
        <v>0</v>
      </c>
      <c r="AS13" s="292" cm="1">
        <f t="array" ref="AS13">_xlfn.XLOOKUP(
   $B$4&amp;" "&amp;$B13,
   Actuals!$D:$D,
   _xlfn.XLOOKUP(
      AS$6,
      Actuals!$H$3:$BD$3,
      Actuals!$H:$BD
   )
)</f>
        <v>0</v>
      </c>
      <c r="AT13" s="292" cm="1">
        <f t="array" ref="AT13">_xlfn.XLOOKUP(
   $B$4&amp;" "&amp;$B13,
   Actuals!$D:$D,
   _xlfn.XLOOKUP(
      AT$6,
      Actuals!$H$3:$BD$3,
      Actuals!$H:$BD
   )
)</f>
        <v>0</v>
      </c>
      <c r="AU13" s="292" cm="1">
        <f t="array" ref="AU13">_xlfn.XLOOKUP(
   $B$4&amp;" "&amp;$B13,
   Actuals!$D:$D,
   _xlfn.XLOOKUP(
      AU$6,
      Actuals!$H$3:$BD$3,
      Actuals!$H:$BD
   )
)</f>
        <v>0</v>
      </c>
      <c r="AV13" s="292" cm="1">
        <f t="array" ref="AV13">_xlfn.XLOOKUP(
   $B$4&amp;" "&amp;$B13,
   Actuals!$D:$D,
   _xlfn.XLOOKUP(
      AV$6,
      Actuals!$H$3:$BD$3,
      Actuals!$H:$BD
   )
)</f>
        <v>0</v>
      </c>
      <c r="AW13" s="292" cm="1">
        <f t="array" ref="AW13">_xlfn.XLOOKUP(
   $B$4&amp;" "&amp;$B13,
   Actuals!$D:$D,
   _xlfn.XLOOKUP(
      AW$6,
      Actuals!$H$3:$BD$3,
      Actuals!$H:$BD
   )
)</f>
        <v>0</v>
      </c>
      <c r="AX13" s="292" cm="1">
        <f t="array" ref="AX13">_xlfn.XLOOKUP(
   $B$4&amp;" "&amp;$B13,
   Actuals!$D:$D,
   _xlfn.XLOOKUP(
      AX$6,
      Actuals!$H$3:$BD$3,
      Actuals!$H:$BD
   )
)</f>
        <v>0</v>
      </c>
      <c r="AY13" s="292" cm="1">
        <f t="array" ref="AY13">_xlfn.XLOOKUP(
   $B$4&amp;" "&amp;$B13,
   Actuals!$D:$D,
   _xlfn.XLOOKUP(
      AY$6,
      Actuals!$H$3:$BD$3,
      Actuals!$H:$BD
   )
)</f>
        <v>0</v>
      </c>
      <c r="AZ13" s="292" cm="1">
        <f t="array" ref="AZ13">_xlfn.XLOOKUP(
   $B$4&amp;" "&amp;$B13,
   Actuals!$D:$D,
   _xlfn.XLOOKUP(
      AZ$6,
      Actuals!$H$3:$BD$3,
      Actuals!$H:$BD
   )
)</f>
        <v>0</v>
      </c>
      <c r="BA13" s="292"/>
      <c r="BB13" s="292" cm="1">
        <f t="array" ref="BB13">_xlfn.XLOOKUP(
   $B$4&amp;" "&amp;$B13,
   Actuals!$D:$D,
   _xlfn.XLOOKUP(
      BB$7,
      Actuals!$H$3:$BM$3,
      Actuals!$H:$BM
   )
)</f>
        <v>391</v>
      </c>
      <c r="BC13" s="292">
        <f>VLOOKUP($B$4&amp;" "&amp;$B13,Budget!$AG$4:$AL$132,$BB$5+1,FALSE)</f>
        <v>702</v>
      </c>
      <c r="BD13" s="292">
        <f>BB13-BC13</f>
        <v>-311</v>
      </c>
      <c r="BE13" s="292"/>
      <c r="BF13" s="292" cm="1">
        <f t="array" ref="BF13">_xlfn.XLOOKUP(
   $B$4&amp;" "&amp;$B13,
   Actuals!$D:$D,
   _xlfn.XLOOKUP(
      BF$7,
      Actuals!$H$3:$BM$3,
      Actuals!$H:$BM
   )
)</f>
        <v>0</v>
      </c>
      <c r="BG13" s="292">
        <f>VLOOKUP($B$4&amp;" "&amp;$B13,Budget!$AG$4:$AL$132,BF$5+1,FALSE)</f>
        <v>773.5</v>
      </c>
      <c r="BH13" s="292">
        <f>BF13-BG13</f>
        <v>-773.5</v>
      </c>
      <c r="BI13" s="292"/>
      <c r="BJ13" s="292" cm="1">
        <f t="array" ref="BJ13">_xlfn.XLOOKUP(
   $B$4&amp;" "&amp;$B13,
   Actuals!$D:$D,
   _xlfn.XLOOKUP(
      BJ$7,
      Actuals!$H$3:$BM$3,
      Actuals!$H:$BM
   )
)</f>
        <v>0</v>
      </c>
      <c r="BK13" s="292">
        <f>VLOOKUP($B$4&amp;" "&amp;$B13,Budget!$AG$4:$AL$132,BJ$5+1,FALSE)</f>
        <v>821.16666666666674</v>
      </c>
      <c r="BL13" s="292">
        <f>BJ13-BK13</f>
        <v>-821.16666666666674</v>
      </c>
      <c r="BM13" s="292"/>
      <c r="BN13" s="292" cm="1">
        <f t="array" ref="BN13">_xlfn.XLOOKUP(
   $B$4&amp;" "&amp;$B13,
   Actuals!$D:$D,
   _xlfn.XLOOKUP(
      BN$7,
      Actuals!$H$3:$BM$3,
      Actuals!$H:$BM
   )
)</f>
        <v>0</v>
      </c>
      <c r="BO13" s="292">
        <f>VLOOKUP($B$4&amp;" "&amp;$B13,Budget!$AG$4:$AL$132,BN$5+1,FALSE)</f>
        <v>929.5</v>
      </c>
      <c r="BP13" s="292"/>
      <c r="BQ13" s="292"/>
      <c r="BR13" s="292" cm="1">
        <f t="array" aca="1" ref="BR13" ca="1">_xlfn.XLOOKUP(
   $B$4&amp;" "&amp;$B13,
   Actuals!$D:$D,
   _xlfn.XLOOKUP(
      BR$6,
      Actuals!$H$3:$BM$3,
      Actuals!$H:$BM
   )
)</f>
        <v>391</v>
      </c>
      <c r="BS13" s="292">
        <f ca="1">VLOOKUP($B$4&amp;" "&amp;$B13,Budget!$AG$4:$AL$132,6,FALSE)</f>
        <v>3250.0000000000005</v>
      </c>
      <c r="BT13" s="292">
        <f ca="1">IFERROR(BR13-BS13,"-")</f>
        <v>-2859.0000000000005</v>
      </c>
      <c r="BU13" s="292"/>
      <c r="BV13" s="292" cm="1">
        <f t="array" ref="BV13">_xlfn.XLOOKUP(
   $B$4&amp;" "&amp;$B13,
   Actuals!$D:$D,
   _xlfn.XLOOKUP(
      BV$6,
      Actuals!$H$3:$BM$3,
      Actuals!$H:$BM
   )
)</f>
        <v>3998</v>
      </c>
    </row>
    <row r="14" spans="2:74">
      <c r="B14" s="26" t="s">
        <v>52</v>
      </c>
      <c r="C14" s="139" t="s">
        <v>49</v>
      </c>
      <c r="D14" s="171" t="str">
        <f>VLOOKUP($B$4&amp;" "&amp;$B14,Actuals!$D$4:$AG$131,3,FALSE)</f>
        <v>#</v>
      </c>
      <c r="E14" s="168" cm="1">
        <f t="array" ref="E14">_xlfn.XLOOKUP(
   $B$4&amp;" "&amp;$B14,
   Actuals!$D:$D,
   _xlfn.XLOOKUP(
      E$6,
      Actuals!$H$3:$BD$3,
      Actuals!$H:$BD
   )
)</f>
        <v>139</v>
      </c>
      <c r="F14" s="168" cm="1">
        <f t="array" ref="F14">_xlfn.XLOOKUP(
   $B$4&amp;" "&amp;$B14,
   Actuals!$D:$D,
   _xlfn.XLOOKUP(
      F$6,
      Actuals!$H$3:$BD$3,
      Actuals!$H:$BD
   )
)</f>
        <v>185</v>
      </c>
      <c r="G14" s="168" cm="1">
        <f t="array" ref="G14">_xlfn.XLOOKUP(
   $B$4&amp;" "&amp;$B14,
   Actuals!$D:$D,
   _xlfn.XLOOKUP(
      G$6,
      Actuals!$H$3:$BD$3,
      Actuals!$H:$BD
   )
)</f>
        <v>117</v>
      </c>
      <c r="H14" s="168" cm="1">
        <f t="array" ref="H14">_xlfn.XLOOKUP(
   $B$4&amp;" "&amp;$B14,
   Actuals!$D:$D,
   _xlfn.XLOOKUP(
      H$6,
      Actuals!$H$3:$BD$3,
      Actuals!$H:$BD
   )
)</f>
        <v>262</v>
      </c>
      <c r="I14" s="168" cm="1">
        <f t="array" ref="I14">_xlfn.XLOOKUP(
   $B$4&amp;" "&amp;$B14,
   Actuals!$D:$D,
   _xlfn.XLOOKUP(
      I$6,
      Actuals!$H$3:$BD$3,
      Actuals!$H:$BD
   )
)</f>
        <v>136</v>
      </c>
      <c r="J14" s="168" cm="1">
        <f t="array" ref="J14">_xlfn.XLOOKUP(
   $B$4&amp;" "&amp;$B14,
   Actuals!$D:$D,
   _xlfn.XLOOKUP(
      J$6,
      Actuals!$H$3:$BD$3,
      Actuals!$H:$BD
   )
)</f>
        <v>164</v>
      </c>
      <c r="K14" s="168" cm="1">
        <f t="array" ref="K14">_xlfn.XLOOKUP(
   $B$4&amp;" "&amp;$B14,
   Actuals!$D:$D,
   _xlfn.XLOOKUP(
      K$6,
      Actuals!$H$3:$BD$3,
      Actuals!$H:$BD
   )
)</f>
        <v>142</v>
      </c>
      <c r="L14" s="168" cm="1">
        <f t="array" ref="L14">_xlfn.XLOOKUP(
   $B$4&amp;" "&amp;$B14,
   Actuals!$D:$D,
   _xlfn.XLOOKUP(
      L$6,
      Actuals!$H$3:$BD$3,
      Actuals!$H:$BD
   )
)</f>
        <v>115</v>
      </c>
      <c r="M14" s="168" cm="1">
        <f t="array" ref="M14">_xlfn.XLOOKUP(
   $B$4&amp;" "&amp;$B14,
   Actuals!$D:$D,
   _xlfn.XLOOKUP(
      M$6,
      Actuals!$H$3:$BD$3,
      Actuals!$H:$BD
   )
)</f>
        <v>188.5</v>
      </c>
      <c r="N14" s="168" cm="1">
        <f t="array" ref="N14">_xlfn.XLOOKUP(
   $B$4&amp;" "&amp;$B14,
   Actuals!$D:$D,
   _xlfn.XLOOKUP(
      N$6,
      Actuals!$H$3:$BD$3,
      Actuals!$H:$BD
   )
)</f>
        <v>172.75</v>
      </c>
      <c r="O14" s="292" cm="1">
        <f t="array" ref="O14">_xlfn.XLOOKUP(
   $B$4&amp;" "&amp;$B14,
   Actuals!$D:$D,
   _xlfn.XLOOKUP(
      O$6,
      Actuals!$H$3:$BD$3,
      Actuals!$H:$BD
   )
)</f>
        <v>0</v>
      </c>
      <c r="P14" s="292" cm="1">
        <f t="array" ref="P14">_xlfn.XLOOKUP(
   $B$4&amp;" "&amp;$B14,
   Actuals!$D:$D,
   _xlfn.XLOOKUP(
      P$6,
      Actuals!$H$3:$BD$3,
      Actuals!$H:$BD
   )
)</f>
        <v>0</v>
      </c>
      <c r="Q14" s="292" cm="1">
        <f t="array" ref="Q14">_xlfn.XLOOKUP(
   $B$4&amp;" "&amp;$B14,
   Actuals!$D:$D,
   _xlfn.XLOOKUP(
      Q$6,
      Actuals!$H$3:$BD$3,
      Actuals!$H:$BD
   )
)</f>
        <v>0</v>
      </c>
      <c r="R14" s="292" cm="1">
        <f t="array" ref="R14">_xlfn.XLOOKUP(
   $B$4&amp;" "&amp;$B14,
   Actuals!$D:$D,
   _xlfn.XLOOKUP(
      R$6,
      Actuals!$H$3:$BD$3,
      Actuals!$H:$BD
   )
)</f>
        <v>0</v>
      </c>
      <c r="S14" s="292" cm="1">
        <f t="array" ref="S14">_xlfn.XLOOKUP(
   $B$4&amp;" "&amp;$B14,
   Actuals!$D:$D,
   _xlfn.XLOOKUP(
      S$6,
      Actuals!$H$3:$BD$3,
      Actuals!$H:$BD
   )
)</f>
        <v>0</v>
      </c>
      <c r="T14" s="292" cm="1">
        <f t="array" ref="T14">_xlfn.XLOOKUP(
   $B$4&amp;" "&amp;$B14,
   Actuals!$D:$D,
   _xlfn.XLOOKUP(
      T$6,
      Actuals!$H$3:$BD$3,
      Actuals!$H:$BD
   )
)</f>
        <v>0</v>
      </c>
      <c r="U14" s="292" cm="1">
        <f t="array" ref="U14">_xlfn.XLOOKUP(
   $B$4&amp;" "&amp;$B14,
   Actuals!$D:$D,
   _xlfn.XLOOKUP(
      U$6,
      Actuals!$H$3:$BD$3,
      Actuals!$H:$BD
   )
)</f>
        <v>0</v>
      </c>
      <c r="V14" s="292" cm="1">
        <f t="array" ref="V14">_xlfn.XLOOKUP(
   $B$4&amp;" "&amp;$B14,
   Actuals!$D:$D,
   _xlfn.XLOOKUP(
      V$6,
      Actuals!$H$3:$BD$3,
      Actuals!$H:$BD
   )
)</f>
        <v>0</v>
      </c>
      <c r="W14" s="292" cm="1">
        <f t="array" ref="W14">_xlfn.XLOOKUP(
   $B$4&amp;" "&amp;$B14,
   Actuals!$D:$D,
   _xlfn.XLOOKUP(
      W$6,
      Actuals!$H$3:$BD$3,
      Actuals!$H:$BD
   )
)</f>
        <v>0</v>
      </c>
      <c r="X14" s="292" cm="1">
        <f t="array" ref="X14">_xlfn.XLOOKUP(
   $B$4&amp;" "&amp;$B14,
   Actuals!$D:$D,
   _xlfn.XLOOKUP(
      X$6,
      Actuals!$H$3:$BD$3,
      Actuals!$H:$BD
   )
)</f>
        <v>0</v>
      </c>
      <c r="Y14" s="292" cm="1">
        <f t="array" ref="Y14">_xlfn.XLOOKUP(
   $B$4&amp;" "&amp;$B14,
   Actuals!$D:$D,
   _xlfn.XLOOKUP(
      Y$6,
      Actuals!$H$3:$BD$3,
      Actuals!$H:$BD
   )
)</f>
        <v>0</v>
      </c>
      <c r="Z14" s="292" cm="1">
        <f t="array" ref="Z14">_xlfn.XLOOKUP(
   $B$4&amp;" "&amp;$B14,
   Actuals!$D:$D,
   _xlfn.XLOOKUP(
      Z$6,
      Actuals!$H$3:$BD$3,
      Actuals!$H:$BD
   )
)</f>
        <v>0</v>
      </c>
      <c r="AA14" s="292" cm="1">
        <f t="array" ref="AA14">_xlfn.XLOOKUP(
   $B$4&amp;" "&amp;$B14,
   Actuals!$D:$D,
   _xlfn.XLOOKUP(
      AA$6,
      Actuals!$H$3:$BD$3,
      Actuals!$H:$BD
   )
)</f>
        <v>0</v>
      </c>
      <c r="AB14" s="292" cm="1">
        <f t="array" ref="AB14">_xlfn.XLOOKUP(
   $B$4&amp;" "&amp;$B14,
   Actuals!$D:$D,
   _xlfn.XLOOKUP(
      AB$6,
      Actuals!$H$3:$BD$3,
      Actuals!$H:$BD
   )
)</f>
        <v>0</v>
      </c>
      <c r="AC14" s="292" cm="1">
        <f t="array" ref="AC14">_xlfn.XLOOKUP(
   $B$4&amp;" "&amp;$B14,
   Actuals!$D:$D,
   _xlfn.XLOOKUP(
      AC$6,
      Actuals!$H$3:$BD$3,
      Actuals!$H:$BD
   )
)</f>
        <v>276</v>
      </c>
      <c r="AD14" s="292" cm="1">
        <f t="array" ref="AD14">_xlfn.XLOOKUP(
   $B$4&amp;" "&amp;$B14,
   Actuals!$D:$D,
   _xlfn.XLOOKUP(
      AD$6,
      Actuals!$H$3:$BD$3,
      Actuals!$H:$BD
   )
)</f>
        <v>278</v>
      </c>
      <c r="AE14" s="292" cm="1">
        <f t="array" ref="AE14">_xlfn.XLOOKUP(
   $B$4&amp;" "&amp;$B14,
   Actuals!$D:$D,
   _xlfn.XLOOKUP(
      AE$6,
      Actuals!$H$3:$BD$3,
      Actuals!$H:$BD
   )
)</f>
        <v>327</v>
      </c>
      <c r="AF14" s="292" cm="1">
        <f t="array" ref="AF14">_xlfn.XLOOKUP(
   $B$4&amp;" "&amp;$B14,
   Actuals!$D:$D,
   _xlfn.XLOOKUP(
      AF$6,
      Actuals!$H$3:$BD$3,
      Actuals!$H:$BD
   )
)</f>
        <v>311</v>
      </c>
      <c r="AG14" s="292" cm="1">
        <f t="array" ref="AG14">_xlfn.XLOOKUP(
   $B$4&amp;" "&amp;$B14,
   Actuals!$D:$D,
   _xlfn.XLOOKUP(
      AG$6,
      Actuals!$H$3:$BD$3,
      Actuals!$H:$BD
   )
)</f>
        <v>305</v>
      </c>
      <c r="AH14" s="292" cm="1">
        <f t="array" ref="AH14">_xlfn.XLOOKUP(
   $B$4&amp;" "&amp;$B14,
   Actuals!$D:$D,
   _xlfn.XLOOKUP(
      AH$6,
      Actuals!$H$3:$BD$3,
      Actuals!$H:$BD
   )
)</f>
        <v>538</v>
      </c>
      <c r="AI14" s="292" cm="1">
        <f t="array" ref="AI14">_xlfn.XLOOKUP(
   $B$4&amp;" "&amp;$B14,
   Actuals!$D:$D,
   _xlfn.XLOOKUP(
      AI$6,
      Actuals!$H$3:$BD$3,
      Actuals!$H:$BD
   )
)</f>
        <v>267</v>
      </c>
      <c r="AJ14" s="292" cm="1">
        <f t="array" ref="AJ14">_xlfn.XLOOKUP(
   $B$4&amp;" "&amp;$B14,
   Actuals!$D:$D,
   _xlfn.XLOOKUP(
      AJ$6,
      Actuals!$H$3:$BD$3,
      Actuals!$H:$BD
   )
)</f>
        <v>228</v>
      </c>
      <c r="AK14" s="292" cm="1">
        <f t="array" ref="AK14">_xlfn.XLOOKUP(
   $B$4&amp;" "&amp;$B14,
   Actuals!$D:$D,
   _xlfn.XLOOKUP(
      AK$6,
      Actuals!$H$3:$BD$3,
      Actuals!$H:$BD
   )
)</f>
        <v>320</v>
      </c>
      <c r="AL14" s="292" cm="1">
        <f t="array" ref="AL14">_xlfn.XLOOKUP(
   $B$4&amp;" "&amp;$B14,
   Actuals!$D:$D,
   _xlfn.XLOOKUP(
      AL$6,
      Actuals!$H$3:$BD$3,
      Actuals!$H:$BD
   )
)</f>
        <v>257</v>
      </c>
      <c r="AM14" s="292" cm="1">
        <f t="array" ref="AM14">_xlfn.XLOOKUP(
   $B$4&amp;" "&amp;$B14,
   Actuals!$D:$D,
   _xlfn.XLOOKUP(
      AM$6,
      Actuals!$H$3:$BD$3,
      Actuals!$H:$BD
   )
)</f>
        <v>411</v>
      </c>
      <c r="AN14" s="292" cm="1">
        <f t="array" ref="AN14">_xlfn.XLOOKUP(
   $B$4&amp;" "&amp;$B14,
   Actuals!$D:$D,
   _xlfn.XLOOKUP(
      AN$6,
      Actuals!$H$3:$BD$3,
      Actuals!$H:$BD
   )
)</f>
        <v>142</v>
      </c>
      <c r="AO14" s="292" cm="1">
        <f t="array" ref="AO14">_xlfn.XLOOKUP(
   $B$4&amp;" "&amp;$B14,
   Actuals!$D:$D,
   _xlfn.XLOOKUP(
      AO$6,
      Actuals!$H$3:$BD$3,
      Actuals!$H:$BD
   )
)</f>
        <v>226</v>
      </c>
      <c r="AP14" s="292" cm="1">
        <f t="array" ref="AP14">_xlfn.XLOOKUP(
   $B$4&amp;" "&amp;$B14,
   Actuals!$D:$D,
   _xlfn.XLOOKUP(
      AP$6,
      Actuals!$H$3:$BD$3,
      Actuals!$H:$BD
   )
)</f>
        <v>124</v>
      </c>
      <c r="AQ14" s="292" cm="1">
        <f t="array" ref="AQ14">_xlfn.XLOOKUP(
   $B$4&amp;" "&amp;$B14,
   Actuals!$D:$D,
   _xlfn.XLOOKUP(
      AQ$6,
      Actuals!$H$3:$BD$3,
      Actuals!$H:$BD
   )
)</f>
        <v>0</v>
      </c>
      <c r="AR14" s="292" cm="1">
        <f t="array" ref="AR14">_xlfn.XLOOKUP(
   $B$4&amp;" "&amp;$B14,
   Actuals!$D:$D,
   _xlfn.XLOOKUP(
      AR$6,
      Actuals!$H$3:$BD$3,
      Actuals!$H:$BD
   )
)</f>
        <v>0</v>
      </c>
      <c r="AS14" s="292" cm="1">
        <f t="array" ref="AS14">_xlfn.XLOOKUP(
   $B$4&amp;" "&amp;$B14,
   Actuals!$D:$D,
   _xlfn.XLOOKUP(
      AS$6,
      Actuals!$H$3:$BD$3,
      Actuals!$H:$BD
   )
)</f>
        <v>0</v>
      </c>
      <c r="AT14" s="292" cm="1">
        <f t="array" ref="AT14">_xlfn.XLOOKUP(
   $B$4&amp;" "&amp;$B14,
   Actuals!$D:$D,
   _xlfn.XLOOKUP(
      AT$6,
      Actuals!$H$3:$BD$3,
      Actuals!$H:$BD
   )
)</f>
        <v>0</v>
      </c>
      <c r="AU14" s="292" cm="1">
        <f t="array" ref="AU14">_xlfn.XLOOKUP(
   $B$4&amp;" "&amp;$B14,
   Actuals!$D:$D,
   _xlfn.XLOOKUP(
      AU$6,
      Actuals!$H$3:$BD$3,
      Actuals!$H:$BD
   )
)</f>
        <v>0</v>
      </c>
      <c r="AV14" s="292" cm="1">
        <f t="array" ref="AV14">_xlfn.XLOOKUP(
   $B$4&amp;" "&amp;$B14,
   Actuals!$D:$D,
   _xlfn.XLOOKUP(
      AV$6,
      Actuals!$H$3:$BD$3,
      Actuals!$H:$BD
   )
)</f>
        <v>0</v>
      </c>
      <c r="AW14" s="292" cm="1">
        <f t="array" ref="AW14">_xlfn.XLOOKUP(
   $B$4&amp;" "&amp;$B14,
   Actuals!$D:$D,
   _xlfn.XLOOKUP(
      AW$6,
      Actuals!$H$3:$BD$3,
      Actuals!$H:$BD
   )
)</f>
        <v>0</v>
      </c>
      <c r="AX14" s="292" cm="1">
        <f t="array" ref="AX14">_xlfn.XLOOKUP(
   $B$4&amp;" "&amp;$B14,
   Actuals!$D:$D,
   _xlfn.XLOOKUP(
      AX$6,
      Actuals!$H$3:$BD$3,
      Actuals!$H:$BD
   )
)</f>
        <v>0</v>
      </c>
      <c r="AY14" s="292" cm="1">
        <f t="array" ref="AY14">_xlfn.XLOOKUP(
   $B$4&amp;" "&amp;$B14,
   Actuals!$D:$D,
   _xlfn.XLOOKUP(
      AY$6,
      Actuals!$H$3:$BD$3,
      Actuals!$H:$BD
   )
)</f>
        <v>0</v>
      </c>
      <c r="AZ14" s="292" cm="1">
        <f t="array" ref="AZ14">_xlfn.XLOOKUP(
   $B$4&amp;" "&amp;$B14,
   Actuals!$D:$D,
   _xlfn.XLOOKUP(
      AZ$6,
      Actuals!$H$3:$BD$3,
      Actuals!$H:$BD
   )
)</f>
        <v>0</v>
      </c>
      <c r="BA14" s="292"/>
      <c r="BB14" s="292" cm="1">
        <f t="array" ref="BB14">_xlfn.XLOOKUP(
   $B$4&amp;" "&amp;$B14,
   Actuals!$D:$D,
   _xlfn.XLOOKUP(
      BB$7,
      Actuals!$H$3:$BM$3,
      Actuals!$H:$BM
   )
)</f>
        <v>350</v>
      </c>
      <c r="BC14" s="292">
        <f>VLOOKUP($B$4&amp;" "&amp;$B14,Budget!$AG$4:$AL$132,$BB$5+1,FALSE)</f>
        <v>0</v>
      </c>
      <c r="BD14" s="292">
        <f>BB14-BC14</f>
        <v>350</v>
      </c>
      <c r="BE14" s="292"/>
      <c r="BF14" s="292" cm="1">
        <f t="array" ref="BF14">_xlfn.XLOOKUP(
   $B$4&amp;" "&amp;$B14,
   Actuals!$D:$D,
   _xlfn.XLOOKUP(
      BF$7,
      Actuals!$H$3:$BM$3,
      Actuals!$H:$BM
   )
)</f>
        <v>0</v>
      </c>
      <c r="BG14" s="292">
        <f>VLOOKUP($B$4&amp;" "&amp;$B14,Budget!$AG$4:$AL$132,BF$5+1,FALSE)</f>
        <v>0</v>
      </c>
      <c r="BH14" s="292">
        <f>BF14-BG14</f>
        <v>0</v>
      </c>
      <c r="BI14" s="292"/>
      <c r="BJ14" s="292" cm="1">
        <f t="array" ref="BJ14">_xlfn.XLOOKUP(
   $B$4&amp;" "&amp;$B14,
   Actuals!$D:$D,
   _xlfn.XLOOKUP(
      BJ$7,
      Actuals!$H$3:$BM$3,
      Actuals!$H:$BM
   )
)</f>
        <v>0</v>
      </c>
      <c r="BK14" s="292">
        <f>VLOOKUP($B$4&amp;" "&amp;$B14,Budget!$AG$4:$AL$132,BJ$5+1,FALSE)</f>
        <v>0</v>
      </c>
      <c r="BL14" s="292">
        <f>BJ14-BK14</f>
        <v>0</v>
      </c>
      <c r="BM14" s="292"/>
      <c r="BN14" s="292" cm="1">
        <f t="array" ref="BN14">_xlfn.XLOOKUP(
   $B$4&amp;" "&amp;$B14,
   Actuals!$D:$D,
   _xlfn.XLOOKUP(
      BN$7,
      Actuals!$H$3:$BM$3,
      Actuals!$H:$BM
   )
)</f>
        <v>0</v>
      </c>
      <c r="BO14" s="292">
        <f>VLOOKUP($B$4&amp;" "&amp;$B14,Budget!$AG$4:$AL$132,BN$5+1,FALSE)</f>
        <v>0</v>
      </c>
      <c r="BP14" s="292"/>
      <c r="BQ14" s="292"/>
      <c r="BR14" s="292" cm="1">
        <f t="array" aca="1" ref="BR14" ca="1">_xlfn.XLOOKUP(
   $B$4&amp;" "&amp;$B14,
   Actuals!$D:$D,
   _xlfn.XLOOKUP(
      BR$6,
      Actuals!$H$3:$BM$3,
      Actuals!$H:$BM
   )
)</f>
        <v>350</v>
      </c>
      <c r="BS14" s="292">
        <f ca="1">VLOOKUP($B$4&amp;" "&amp;$B14,Budget!$AG$4:$AL$132,6,FALSE)</f>
        <v>0</v>
      </c>
      <c r="BT14" s="292">
        <f ca="1">IFERROR(BR14-BS14,"-")</f>
        <v>350</v>
      </c>
      <c r="BU14" s="292"/>
      <c r="BV14" s="292" cm="1">
        <f t="array" ref="BV14">_xlfn.XLOOKUP(
   $B$4&amp;" "&amp;$B14,
   Actuals!$D:$D,
   _xlfn.XLOOKUP(
      BV$6,
      Actuals!$H$3:$BM$3,
      Actuals!$H:$BM
   )
)</f>
        <v>3610</v>
      </c>
    </row>
    <row r="15" spans="2:74">
      <c r="B15" s="26" t="s">
        <v>53</v>
      </c>
      <c r="C15" s="139" t="s">
        <v>49</v>
      </c>
      <c r="D15" s="171" t="str">
        <f>VLOOKUP($B$4&amp;" "&amp;$B15,Actuals!$D$4:$AG$131,3,FALSE)</f>
        <v>%</v>
      </c>
      <c r="E15" s="180" cm="1">
        <f t="array" ref="E15">_xlfn.XLOOKUP(
   $B$4&amp;" "&amp;$B15,
   Actuals!$D:$D,
   _xlfn.XLOOKUP(
      E$6,
      Actuals!$H$3:$BD$3,
      Actuals!$H:$BD
   )
)</f>
        <v>0.63181818181818183</v>
      </c>
      <c r="F15" s="180" cm="1">
        <f t="array" ref="F15">_xlfn.XLOOKUP(
   $B$4&amp;" "&amp;$B15,
   Actuals!$D:$D,
   _xlfn.XLOOKUP(
      F$6,
      Actuals!$H$3:$BD$3,
      Actuals!$H:$BD
   )
)</f>
        <v>1.1635220125786163</v>
      </c>
      <c r="G15" s="180" cm="1">
        <f t="array" ref="G15">_xlfn.XLOOKUP(
   $B$4&amp;" "&amp;$B15,
   Actuals!$D:$D,
   _xlfn.XLOOKUP(
      G$6,
      Actuals!$H$3:$BD$3,
      Actuals!$H:$BD
   )
)</f>
        <v>0.59693877551020413</v>
      </c>
      <c r="H15" s="180" cm="1">
        <f t="array" ref="H15">_xlfn.XLOOKUP(
   $B$4&amp;" "&amp;$B15,
   Actuals!$D:$D,
   _xlfn.XLOOKUP(
      H$6,
      Actuals!$H$3:$BD$3,
      Actuals!$H:$BD
   )
)</f>
        <v>2.2782608695652176</v>
      </c>
      <c r="I15" s="180" cm="1">
        <f t="array" ref="I15">_xlfn.XLOOKUP(
   $B$4&amp;" "&amp;$B15,
   Actuals!$D:$D,
   _xlfn.XLOOKUP(
      I$6,
      Actuals!$H$3:$BD$3,
      Actuals!$H:$BD
   )
)</f>
        <v>0.51320754716981132</v>
      </c>
      <c r="J15" s="180" cm="1">
        <f t="array" ref="J15">_xlfn.XLOOKUP(
   $B$4&amp;" "&amp;$B15,
   Actuals!$D:$D,
   _xlfn.XLOOKUP(
      J$6,
      Actuals!$H$3:$BD$3,
      Actuals!$H:$BD
   )
)</f>
        <v>0.73542600896860988</v>
      </c>
      <c r="K15" s="180" cm="1">
        <f t="array" ref="K15">_xlfn.XLOOKUP(
   $B$4&amp;" "&amp;$B15,
   Actuals!$D:$D,
   _xlfn.XLOOKUP(
      K$6,
      Actuals!$H$3:$BD$3,
      Actuals!$H:$BD
   )
)</f>
        <v>0.60683760683760679</v>
      </c>
      <c r="L15" s="180" cm="1">
        <f t="array" ref="L15">_xlfn.XLOOKUP(
   $B$4&amp;" "&amp;$B15,
   Actuals!$D:$D,
   _xlfn.XLOOKUP(
      L$6,
      Actuals!$H$3:$BD$3,
      Actuals!$H:$BD
   )
)</f>
        <v>0.35060975609756095</v>
      </c>
      <c r="M15" s="180" cm="1">
        <f t="array" ref="M15">_xlfn.XLOOKUP(
   $B$4&amp;" "&amp;$B15,
   Actuals!$D:$D,
   _xlfn.XLOOKUP(
      M$6,
      Actuals!$H$3:$BD$3,
      Actuals!$H:$BD
   )
)</f>
        <v>0.76008064516129037</v>
      </c>
      <c r="N15" s="180" cm="1">
        <f t="array" ref="N15">_xlfn.XLOOKUP(
   $B$4&amp;" "&amp;$B15,
   Actuals!$D:$D,
   _xlfn.XLOOKUP(
      N$6,
      Actuals!$H$3:$BD$3,
      Actuals!$H:$BD
   )
)</f>
        <v>0.76438053097345138</v>
      </c>
      <c r="O15" s="213" t="str" cm="1">
        <f t="array" ref="O15">_xlfn.XLOOKUP(
   $B$4&amp;" "&amp;$B15,
   Actuals!$D:$D,
   _xlfn.XLOOKUP(
      O$6,
      Actuals!$H$3:$BD$3,
      Actuals!$H:$BD
   )
)</f>
        <v/>
      </c>
      <c r="P15" s="213" t="str" cm="1">
        <f t="array" ref="P15">_xlfn.XLOOKUP(
   $B$4&amp;" "&amp;$B15,
   Actuals!$D:$D,
   _xlfn.XLOOKUP(
      P$6,
      Actuals!$H$3:$BD$3,
      Actuals!$H:$BD
   )
)</f>
        <v/>
      </c>
      <c r="Q15" s="213" t="str" cm="1">
        <f t="array" ref="Q15">_xlfn.XLOOKUP(
   $B$4&amp;" "&amp;$B15,
   Actuals!$D:$D,
   _xlfn.XLOOKUP(
      Q$6,
      Actuals!$H$3:$BD$3,
      Actuals!$H:$BD
   )
)</f>
        <v/>
      </c>
      <c r="R15" s="213" t="str" cm="1">
        <f t="array" ref="R15">_xlfn.XLOOKUP(
   $B$4&amp;" "&amp;$B15,
   Actuals!$D:$D,
   _xlfn.XLOOKUP(
      R$6,
      Actuals!$H$3:$BD$3,
      Actuals!$H:$BD
   )
)</f>
        <v/>
      </c>
      <c r="S15" s="213" t="str" cm="1">
        <f t="array" ref="S15">_xlfn.XLOOKUP(
   $B$4&amp;" "&amp;$B15,
   Actuals!$D:$D,
   _xlfn.XLOOKUP(
      S$6,
      Actuals!$H$3:$BD$3,
      Actuals!$H:$BD
   )
)</f>
        <v/>
      </c>
      <c r="T15" s="213" t="str" cm="1">
        <f t="array" ref="T15">_xlfn.XLOOKUP(
   $B$4&amp;" "&amp;$B15,
   Actuals!$D:$D,
   _xlfn.XLOOKUP(
      T$6,
      Actuals!$H$3:$BD$3,
      Actuals!$H:$BD
   )
)</f>
        <v/>
      </c>
      <c r="U15" s="213" t="str" cm="1">
        <f t="array" ref="U15">_xlfn.XLOOKUP(
   $B$4&amp;" "&amp;$B15,
   Actuals!$D:$D,
   _xlfn.XLOOKUP(
      U$6,
      Actuals!$H$3:$BD$3,
      Actuals!$H:$BD
   )
)</f>
        <v/>
      </c>
      <c r="V15" s="213" t="str" cm="1">
        <f t="array" ref="V15">_xlfn.XLOOKUP(
   $B$4&amp;" "&amp;$B15,
   Actuals!$D:$D,
   _xlfn.XLOOKUP(
      V$6,
      Actuals!$H$3:$BD$3,
      Actuals!$H:$BD
   )
)</f>
        <v/>
      </c>
      <c r="W15" s="213" t="str" cm="1">
        <f t="array" ref="W15">_xlfn.XLOOKUP(
   $B$4&amp;" "&amp;$B15,
   Actuals!$D:$D,
   _xlfn.XLOOKUP(
      W$6,
      Actuals!$H$3:$BD$3,
      Actuals!$H:$BD
   )
)</f>
        <v/>
      </c>
      <c r="X15" s="213" t="str" cm="1">
        <f t="array" ref="X15">_xlfn.XLOOKUP(
   $B$4&amp;" "&amp;$B15,
   Actuals!$D:$D,
   _xlfn.XLOOKUP(
      X$6,
      Actuals!$H$3:$BD$3,
      Actuals!$H:$BD
   )
)</f>
        <v/>
      </c>
      <c r="Y15" s="213" t="str" cm="1">
        <f t="array" ref="Y15">_xlfn.XLOOKUP(
   $B$4&amp;" "&amp;$B15,
   Actuals!$D:$D,
   _xlfn.XLOOKUP(
      Y$6,
      Actuals!$H$3:$BD$3,
      Actuals!$H:$BD
   )
)</f>
        <v/>
      </c>
      <c r="Z15" s="213" t="str" cm="1">
        <f t="array" ref="Z15">_xlfn.XLOOKUP(
   $B$4&amp;" "&amp;$B15,
   Actuals!$D:$D,
   _xlfn.XLOOKUP(
      Z$6,
      Actuals!$H$3:$BD$3,
      Actuals!$H:$BD
   )
)</f>
        <v/>
      </c>
      <c r="AA15" s="213" t="str" cm="1">
        <f t="array" ref="AA15">_xlfn.XLOOKUP(
   $B$4&amp;" "&amp;$B15,
   Actuals!$D:$D,
   _xlfn.XLOOKUP(
      AA$6,
      Actuals!$H$3:$BD$3,
      Actuals!$H:$BD
   )
)</f>
        <v/>
      </c>
      <c r="AB15" s="213" t="str" cm="1">
        <f t="array" ref="AB15">_xlfn.XLOOKUP(
   $B$4&amp;" "&amp;$B15,
   Actuals!$D:$D,
   _xlfn.XLOOKUP(
      AB$6,
      Actuals!$H$3:$BD$3,
      Actuals!$H:$BD
   )
)</f>
        <v/>
      </c>
      <c r="AC15" s="213" cm="1">
        <f t="array" ref="AC15">_xlfn.XLOOKUP(
   $B$4&amp;" "&amp;$B15,
   Actuals!$D:$D,
   _xlfn.XLOOKUP(
      AC$6,
      Actuals!$H$3:$BD$3,
      Actuals!$H:$BD
   )
)</f>
        <v>0.971830985915493</v>
      </c>
      <c r="AD15" s="213" cm="1">
        <f t="array" ref="AD15">_xlfn.XLOOKUP(
   $B$4&amp;" "&amp;$B15,
   Actuals!$D:$D,
   _xlfn.XLOOKUP(
      AD$6,
      Actuals!$H$3:$BD$3,
      Actuals!$H:$BD
   )
)</f>
        <v>0.83233532934131738</v>
      </c>
      <c r="AE15" s="213" cm="1">
        <f t="array" ref="AE15">_xlfn.XLOOKUP(
   $B$4&amp;" "&amp;$B15,
   Actuals!$D:$D,
   _xlfn.XLOOKUP(
      AE$6,
      Actuals!$H$3:$BD$3,
      Actuals!$H:$BD
   )
)</f>
        <v>0.86737400530503983</v>
      </c>
      <c r="AF15" s="213" cm="1">
        <f t="array" ref="AF15">_xlfn.XLOOKUP(
   $B$4&amp;" "&amp;$B15,
   Actuals!$D:$D,
   _xlfn.XLOOKUP(
      AF$6,
      Actuals!$H$3:$BD$3,
      Actuals!$H:$BD
   )
)</f>
        <v>0.91470588235294115</v>
      </c>
      <c r="AG15" s="213" cm="1">
        <f t="array" ref="AG15">_xlfn.XLOOKUP(
   $B$4&amp;" "&amp;$B15,
   Actuals!$D:$D,
   _xlfn.XLOOKUP(
      AG$6,
      Actuals!$H$3:$BD$3,
      Actuals!$H:$BD
   )
)</f>
        <v>0.9713375796178344</v>
      </c>
      <c r="AH15" s="213" cm="1">
        <f t="array" ref="AH15">_xlfn.XLOOKUP(
   $B$4&amp;" "&amp;$B15,
   Actuals!$D:$D,
   _xlfn.XLOOKUP(
      AH$6,
      Actuals!$H$3:$BD$3,
      Actuals!$H:$BD
   )
)</f>
        <v>0.91965811965811961</v>
      </c>
      <c r="AI15" s="213" cm="1">
        <f t="array" ref="AI15">_xlfn.XLOOKUP(
   $B$4&amp;" "&amp;$B15,
   Actuals!$D:$D,
   _xlfn.XLOOKUP(
      AI$6,
      Actuals!$H$3:$BD$3,
      Actuals!$H:$BD
   )
)</f>
        <v>0.80664652567975825</v>
      </c>
      <c r="AJ15" s="213" cm="1">
        <f t="array" ref="AJ15">_xlfn.XLOOKUP(
   $B$4&amp;" "&amp;$B15,
   Actuals!$D:$D,
   _xlfn.XLOOKUP(
      AJ$6,
      Actuals!$H$3:$BD$3,
      Actuals!$H:$BD
   )
)</f>
        <v>0.80565371024734977</v>
      </c>
      <c r="AK15" s="213" cm="1">
        <f t="array" ref="AK15">_xlfn.XLOOKUP(
   $B$4&amp;" "&amp;$B15,
   Actuals!$D:$D,
   _xlfn.XLOOKUP(
      AK$6,
      Actuals!$H$3:$BD$3,
      Actuals!$H:$BD
   )
)</f>
        <v>0.96676737160120851</v>
      </c>
      <c r="AL15" s="213" cm="1">
        <f t="array" ref="AL15">_xlfn.XLOOKUP(
   $B$4&amp;" "&amp;$B15,
   Actuals!$D:$D,
   _xlfn.XLOOKUP(
      AL$6,
      Actuals!$H$3:$BD$3,
      Actuals!$H:$BD
   )
)</f>
        <v>0.96981132075471699</v>
      </c>
      <c r="AM15" s="213" cm="1">
        <f t="array" ref="AM15">_xlfn.XLOOKUP(
   $B$4&amp;" "&amp;$B15,
   Actuals!$D:$D,
   _xlfn.XLOOKUP(
      AM$6,
      Actuals!$H$3:$BD$3,
      Actuals!$H:$BD
   )
)</f>
        <v>0.94482758620689655</v>
      </c>
      <c r="AN15" s="213" cm="1">
        <f t="array" ref="AN15">_xlfn.XLOOKUP(
   $B$4&amp;" "&amp;$B15,
   Actuals!$D:$D,
   _xlfn.XLOOKUP(
      AN$6,
      Actuals!$H$3:$BD$3,
      Actuals!$H:$BD
   )
)</f>
        <v>0.96598639455782309</v>
      </c>
      <c r="AO15" s="213" cm="1">
        <f t="array" ref="AO15">_xlfn.XLOOKUP(
   $B$4&amp;" "&amp;$B15,
   Actuals!$D:$D,
   _xlfn.XLOOKUP(
      AO$6,
      Actuals!$H$3:$BD$3,
      Actuals!$H:$BD
   )
)</f>
        <v>0.8828125</v>
      </c>
      <c r="AP15" s="213" cm="1">
        <f t="array" ref="AP15">_xlfn.XLOOKUP(
   $B$4&amp;" "&amp;$B15,
   Actuals!$D:$D,
   _xlfn.XLOOKUP(
      AP$6,
      Actuals!$H$3:$BD$3,
      Actuals!$H:$BD
   )
)</f>
        <v>0.91851851851851851</v>
      </c>
      <c r="AQ15" s="213" t="str" cm="1">
        <f t="array" ref="AQ15">_xlfn.XLOOKUP(
   $B$4&amp;" "&amp;$B15,
   Actuals!$D:$D,
   _xlfn.XLOOKUP(
      AQ$6,
      Actuals!$H$3:$BD$3,
      Actuals!$H:$BD
   )
)</f>
        <v/>
      </c>
      <c r="AR15" s="213" t="str" cm="1">
        <f t="array" ref="AR15">_xlfn.XLOOKUP(
   $B$4&amp;" "&amp;$B15,
   Actuals!$D:$D,
   _xlfn.XLOOKUP(
      AR$6,
      Actuals!$H$3:$BD$3,
      Actuals!$H:$BD
   )
)</f>
        <v/>
      </c>
      <c r="AS15" s="213" t="str" cm="1">
        <f t="array" ref="AS15">_xlfn.XLOOKUP(
   $B$4&amp;" "&amp;$B15,
   Actuals!$D:$D,
   _xlfn.XLOOKUP(
      AS$6,
      Actuals!$H$3:$BD$3,
      Actuals!$H:$BD
   )
)</f>
        <v/>
      </c>
      <c r="AT15" s="213" t="str" cm="1">
        <f t="array" ref="AT15">_xlfn.XLOOKUP(
   $B$4&amp;" "&amp;$B15,
   Actuals!$D:$D,
   _xlfn.XLOOKUP(
      AT$6,
      Actuals!$H$3:$BD$3,
      Actuals!$H:$BD
   )
)</f>
        <v/>
      </c>
      <c r="AU15" s="213" t="str" cm="1">
        <f t="array" ref="AU15">_xlfn.XLOOKUP(
   $B$4&amp;" "&amp;$B15,
   Actuals!$D:$D,
   _xlfn.XLOOKUP(
      AU$6,
      Actuals!$H$3:$BD$3,
      Actuals!$H:$BD
   )
)</f>
        <v/>
      </c>
      <c r="AV15" s="213" t="str" cm="1">
        <f t="array" ref="AV15">_xlfn.XLOOKUP(
   $B$4&amp;" "&amp;$B15,
   Actuals!$D:$D,
   _xlfn.XLOOKUP(
      AV$6,
      Actuals!$H$3:$BD$3,
      Actuals!$H:$BD
   )
)</f>
        <v/>
      </c>
      <c r="AW15" s="213" t="str" cm="1">
        <f t="array" ref="AW15">_xlfn.XLOOKUP(
   $B$4&amp;" "&amp;$B15,
   Actuals!$D:$D,
   _xlfn.XLOOKUP(
      AW$6,
      Actuals!$H$3:$BD$3,
      Actuals!$H:$BD
   )
)</f>
        <v/>
      </c>
      <c r="AX15" s="213" t="str" cm="1">
        <f t="array" ref="AX15">_xlfn.XLOOKUP(
   $B$4&amp;" "&amp;$B15,
   Actuals!$D:$D,
   _xlfn.XLOOKUP(
      AX$6,
      Actuals!$H$3:$BD$3,
      Actuals!$H:$BD
   )
)</f>
        <v/>
      </c>
      <c r="AY15" s="213" t="str" cm="1">
        <f t="array" ref="AY15">_xlfn.XLOOKUP(
   $B$4&amp;" "&amp;$B15,
   Actuals!$D:$D,
   _xlfn.XLOOKUP(
      AY$6,
      Actuals!$H$3:$BD$3,
      Actuals!$H:$BD
   )
)</f>
        <v/>
      </c>
      <c r="AZ15" s="213" t="str" cm="1">
        <f t="array" ref="AZ15">_xlfn.XLOOKUP(
   $B$4&amp;" "&amp;$B15,
   Actuals!$D:$D,
   _xlfn.XLOOKUP(
      AZ$6,
      Actuals!$H$3:$BD$3,
      Actuals!$H:$BD
   )
)</f>
        <v/>
      </c>
      <c r="BA15" s="213"/>
      <c r="BB15" s="310" cm="1">
        <f t="array" ref="BB15">_xlfn.XLOOKUP(
   $B$4&amp;" "&amp;$B15,
   Actuals!$D:$D,
   _xlfn.XLOOKUP(
      BB$7,
      Actuals!$H$3:$BM$3,
      Actuals!$H:$BM
   )
)</f>
        <v>0.8951406649616368</v>
      </c>
      <c r="BC15" s="310">
        <f>VLOOKUP($B$4&amp;" "&amp;$B15,Budget!$AG$4:$AL$132,$BB$5+1,FALSE)</f>
        <v>0</v>
      </c>
      <c r="BD15" s="310">
        <f>IFERROR(BB15-BC15,"-")</f>
        <v>0.8951406649616368</v>
      </c>
      <c r="BE15" s="310"/>
      <c r="BF15" s="310" t="str" cm="1">
        <f t="array" ref="BF15">_xlfn.XLOOKUP(
   $B$4&amp;" "&amp;$B15,
   Actuals!$D:$D,
   _xlfn.XLOOKUP(
      BF$7,
      Actuals!$H$3:$BM$3,
      Actuals!$H:$BM
   )
)</f>
        <v>-</v>
      </c>
      <c r="BG15" s="310">
        <f>VLOOKUP($B$4&amp;" "&amp;$B15,Budget!$AG$4:$AL$132,BF$5+1,FALSE)</f>
        <v>0</v>
      </c>
      <c r="BH15" s="310" t="str">
        <f>IFERROR(BF15-BG15,"-")</f>
        <v>-</v>
      </c>
      <c r="BI15" s="310"/>
      <c r="BJ15" s="310" t="str" cm="1">
        <f t="array" ref="BJ15">_xlfn.XLOOKUP(
   $B$4&amp;" "&amp;$B15,
   Actuals!$D:$D,
   _xlfn.XLOOKUP(
      BJ$7,
      Actuals!$H$3:$BM$3,
      Actuals!$H:$BM
   )
)</f>
        <v>-</v>
      </c>
      <c r="BK15" s="310">
        <f>VLOOKUP($B$4&amp;" "&amp;$B15,Budget!$AG$4:$AL$132,BJ$5+1,FALSE)</f>
        <v>0</v>
      </c>
      <c r="BL15" s="310" t="str">
        <f>IFERROR(BJ15-BK15,"-")</f>
        <v>-</v>
      </c>
      <c r="BM15" s="310"/>
      <c r="BN15" s="310" t="str" cm="1">
        <f t="array" ref="BN15">_xlfn.XLOOKUP(
   $B$4&amp;" "&amp;$B15,
   Actuals!$D:$D,
   _xlfn.XLOOKUP(
      BN$7,
      Actuals!$H$3:$BM$3,
      Actuals!$H:$BM
   )
)</f>
        <v>-</v>
      </c>
      <c r="BO15" s="310">
        <f>VLOOKUP($B$4&amp;" "&amp;$B15,Budget!$AG$4:$AL$132,BN$5+1,FALSE)</f>
        <v>0</v>
      </c>
      <c r="BP15" s="310"/>
      <c r="BQ15" s="310"/>
      <c r="BR15" s="310" cm="1">
        <f t="array" aca="1" ref="BR15" ca="1">_xlfn.XLOOKUP(
   $B$4&amp;" "&amp;$B15,
   Actuals!$D:$D,
   _xlfn.XLOOKUP(
      BR$6,
      Actuals!$H$3:$BM$3,
      Actuals!$H:$BM
   )
)</f>
        <v>0.8951406649616368</v>
      </c>
      <c r="BS15" s="213">
        <f ca="1">VLOOKUP($B$4&amp;" "&amp;$B15,Budget!$AG$4:$AL$132,6,FALSE)</f>
        <v>0</v>
      </c>
      <c r="BT15" s="210">
        <f ca="1">IFERROR(BR15-BS15,"-")</f>
        <v>0.8951406649616368</v>
      </c>
      <c r="BU15" s="213"/>
      <c r="BV15" s="310" t="str" cm="1">
        <f t="array" ref="BV15">_xlfn.XLOOKUP(
   $B$4&amp;" "&amp;$B15,
   Actuals!$D:$D,
   _xlfn.XLOOKUP(
      BV$6,
      Actuals!$H$3:$BM$3,
      Actuals!$H:$BM
   )
)</f>
        <v/>
      </c>
    </row>
    <row r="16" spans="2:74">
      <c r="D16" s="171"/>
      <c r="E16" s="26"/>
      <c r="F16" s="26"/>
      <c r="G16" s="26"/>
      <c r="H16" s="26"/>
      <c r="I16" s="26"/>
      <c r="J16" s="26"/>
      <c r="K16" s="26"/>
      <c r="L16" s="26"/>
      <c r="M16" s="26"/>
      <c r="N16" s="26"/>
      <c r="O16" s="285"/>
      <c r="P16" s="285"/>
      <c r="Q16" s="285"/>
      <c r="R16" s="285"/>
      <c r="S16" s="285"/>
      <c r="T16" s="285"/>
      <c r="U16" s="285"/>
      <c r="V16" s="285"/>
      <c r="W16" s="285"/>
      <c r="X16" s="285"/>
      <c r="Y16" s="285"/>
      <c r="Z16" s="285"/>
      <c r="AA16" s="285"/>
      <c r="AB16" s="285"/>
      <c r="AC16" s="285"/>
      <c r="AD16" s="285"/>
      <c r="AE16" s="285"/>
      <c r="AF16" s="285"/>
      <c r="AG16" s="285"/>
      <c r="AH16" s="285"/>
      <c r="AI16" s="285"/>
      <c r="AJ16" s="285"/>
      <c r="AK16" s="285"/>
      <c r="AL16" s="285"/>
      <c r="AM16" s="285"/>
      <c r="AN16" s="285"/>
      <c r="AO16" s="285"/>
      <c r="AP16" s="285"/>
      <c r="AQ16" s="285"/>
      <c r="AR16" s="285"/>
      <c r="AS16" s="285"/>
      <c r="AT16" s="285"/>
      <c r="AU16" s="285"/>
      <c r="AV16" s="285"/>
      <c r="AW16" s="285"/>
      <c r="AX16" s="285"/>
      <c r="AY16" s="285"/>
      <c r="AZ16" s="285"/>
      <c r="BA16" s="285"/>
      <c r="BB16" s="285"/>
      <c r="BC16" s="285"/>
      <c r="BD16" s="285"/>
      <c r="BE16" s="285"/>
      <c r="BF16" s="285"/>
      <c r="BG16" s="285"/>
      <c r="BH16" s="285"/>
      <c r="BI16" s="285"/>
      <c r="BJ16" s="285"/>
      <c r="BK16" s="285"/>
      <c r="BL16" s="285"/>
      <c r="BM16" s="285"/>
      <c r="BN16" s="285"/>
      <c r="BO16" s="285"/>
      <c r="BP16" s="285"/>
      <c r="BQ16" s="285"/>
      <c r="BR16" s="285"/>
      <c r="BS16" s="285"/>
      <c r="BT16" s="285"/>
      <c r="BU16" s="285"/>
      <c r="BV16" s="285"/>
    </row>
    <row r="17" spans="2:74" ht="13">
      <c r="B17" s="126" t="s">
        <v>54</v>
      </c>
      <c r="C17" s="138"/>
      <c r="D17" s="138"/>
      <c r="E17" s="138"/>
      <c r="F17" s="138"/>
      <c r="G17" s="138"/>
      <c r="H17" s="138"/>
      <c r="I17" s="138"/>
      <c r="J17" s="138"/>
      <c r="K17" s="138"/>
      <c r="L17" s="138"/>
      <c r="M17" s="138"/>
      <c r="N17" s="138"/>
      <c r="O17" s="286"/>
      <c r="P17" s="286"/>
      <c r="Q17" s="286"/>
      <c r="R17" s="286"/>
      <c r="S17" s="286"/>
      <c r="T17" s="286"/>
      <c r="U17" s="286"/>
      <c r="V17" s="286"/>
      <c r="W17" s="286"/>
      <c r="X17" s="286"/>
      <c r="Y17" s="286"/>
      <c r="Z17" s="286"/>
      <c r="AA17" s="286"/>
      <c r="AB17" s="286"/>
      <c r="AC17" s="286"/>
      <c r="AD17" s="286"/>
      <c r="AE17" s="286"/>
      <c r="AF17" s="286"/>
      <c r="AG17" s="286"/>
      <c r="AH17" s="286"/>
      <c r="AI17" s="286"/>
      <c r="AJ17" s="286"/>
      <c r="AK17" s="286"/>
      <c r="AL17" s="286"/>
      <c r="AM17" s="286"/>
      <c r="AN17" s="286"/>
      <c r="AO17" s="286"/>
      <c r="AP17" s="286"/>
      <c r="AQ17" s="286"/>
      <c r="AR17" s="286"/>
      <c r="AS17" s="286"/>
      <c r="AT17" s="286"/>
      <c r="AU17" s="286"/>
      <c r="AV17" s="286"/>
      <c r="AW17" s="286"/>
      <c r="AX17" s="286"/>
      <c r="AY17" s="286"/>
      <c r="AZ17" s="286"/>
      <c r="BA17" s="286"/>
      <c r="BB17" s="286"/>
      <c r="BC17" s="286"/>
      <c r="BD17" s="286"/>
      <c r="BE17" s="286"/>
      <c r="BF17" s="286"/>
      <c r="BG17" s="286"/>
      <c r="BH17" s="286"/>
      <c r="BI17" s="286"/>
      <c r="BJ17" s="286"/>
      <c r="BK17" s="286"/>
      <c r="BL17" s="286"/>
      <c r="BM17" s="286"/>
      <c r="BN17" s="286"/>
      <c r="BO17" s="286"/>
      <c r="BP17" s="286"/>
      <c r="BQ17" s="286"/>
      <c r="BR17" s="286"/>
      <c r="BS17" s="286"/>
      <c r="BT17" s="286"/>
      <c r="BU17" s="286"/>
      <c r="BV17" s="286"/>
    </row>
    <row r="18" spans="2:74">
      <c r="B18" s="26" t="s">
        <v>55</v>
      </c>
      <c r="C18" s="139" t="s">
        <v>49</v>
      </c>
      <c r="D18" s="171" t="str">
        <f>VLOOKUP($B$4&amp;" "&amp;$B18,Actuals!$D$4:$AG$131,3,FALSE)</f>
        <v>%</v>
      </c>
      <c r="E18" s="180" cm="1">
        <f t="array" ref="E18">_xlfn.XLOOKUP(
   $B$4&amp;" "&amp;$B18,
   Actuals!$D:$D,
   _xlfn.XLOOKUP(
      E$6,
      Actuals!$H$3:$BD$3,
      Actuals!$H:$BD
   )
)</f>
        <v>1</v>
      </c>
      <c r="F18" s="180" cm="1">
        <f t="array" ref="F18">_xlfn.XLOOKUP(
   $B$4&amp;" "&amp;$B18,
   Actuals!$D:$D,
   _xlfn.XLOOKUP(
      F$6,
      Actuals!$H$3:$BD$3,
      Actuals!$H:$BD
   )
)</f>
        <v>1</v>
      </c>
      <c r="G18" s="180" cm="1">
        <f t="array" ref="G18">_xlfn.XLOOKUP(
   $B$4&amp;" "&amp;$B18,
   Actuals!$D:$D,
   _xlfn.XLOOKUP(
      G$6,
      Actuals!$H$3:$BD$3,
      Actuals!$H:$BD
   )
)</f>
        <v>1</v>
      </c>
      <c r="H18" s="180" cm="1">
        <f t="array" ref="H18">_xlfn.XLOOKUP(
   $B$4&amp;" "&amp;$B18,
   Actuals!$D:$D,
   _xlfn.XLOOKUP(
      H$6,
      Actuals!$H$3:$BD$3,
      Actuals!$H:$BD
   )
)</f>
        <v>0.95</v>
      </c>
      <c r="I18" s="180" cm="1">
        <f t="array" ref="I18">_xlfn.XLOOKUP(
   $B$4&amp;" "&amp;$B18,
   Actuals!$D:$D,
   _xlfn.XLOOKUP(
      I$6,
      Actuals!$H$3:$BD$3,
      Actuals!$H:$BD
   )
)</f>
        <v>0.97</v>
      </c>
      <c r="J18" s="180" cm="1">
        <f t="array" ref="J18">_xlfn.XLOOKUP(
   $B$4&amp;" "&amp;$B18,
   Actuals!$D:$D,
   _xlfn.XLOOKUP(
      J$6,
      Actuals!$H$3:$BD$3,
      Actuals!$H:$BD
   )
)</f>
        <v>0.98</v>
      </c>
      <c r="K18" s="180" cm="1">
        <f t="array" ref="K18">_xlfn.XLOOKUP(
   $B$4&amp;" "&amp;$B18,
   Actuals!$D:$D,
   _xlfn.XLOOKUP(
      K$6,
      Actuals!$H$3:$BD$3,
      Actuals!$H:$BD
   )
)</f>
        <v>0.98</v>
      </c>
      <c r="L18" s="180" cm="1">
        <f t="array" ref="L18">_xlfn.XLOOKUP(
   $B$4&amp;" "&amp;$B18,
   Actuals!$D:$D,
   _xlfn.XLOOKUP(
      L$6,
      Actuals!$H$3:$BD$3,
      Actuals!$H:$BD
   )
)</f>
        <v>0.98</v>
      </c>
      <c r="M18" s="180" cm="1">
        <f t="array" ref="M18">_xlfn.XLOOKUP(
   $B$4&amp;" "&amp;$B18,
   Actuals!$D:$D,
   _xlfn.XLOOKUP(
      M$6,
      Actuals!$H$3:$BD$3,
      Actuals!$H:$BD
   )
)</f>
        <v>0.98</v>
      </c>
      <c r="N18" s="180" cm="1">
        <f t="array" ref="N18">_xlfn.XLOOKUP(
   $B$4&amp;" "&amp;$B18,
   Actuals!$D:$D,
   _xlfn.XLOOKUP(
      N$6,
      Actuals!$H$3:$BD$3,
      Actuals!$H:$BD
   )
)</f>
        <v>0.98</v>
      </c>
      <c r="O18" s="213" cm="1">
        <f t="array" ref="O18">_xlfn.XLOOKUP(
   $B$4&amp;" "&amp;$B18,
   Actuals!$D:$D,
   _xlfn.XLOOKUP(
      O$6,
      Actuals!$H$3:$BD$3,
      Actuals!$H:$BD
   )
)</f>
        <v>0</v>
      </c>
      <c r="P18" s="213" cm="1">
        <f t="array" ref="P18">_xlfn.XLOOKUP(
   $B$4&amp;" "&amp;$B18,
   Actuals!$D:$D,
   _xlfn.XLOOKUP(
      P$6,
      Actuals!$H$3:$BD$3,
      Actuals!$H:$BD
   )
)</f>
        <v>0</v>
      </c>
      <c r="Q18" s="213" cm="1">
        <f t="array" ref="Q18">_xlfn.XLOOKUP(
   $B$4&amp;" "&amp;$B18,
   Actuals!$D:$D,
   _xlfn.XLOOKUP(
      Q$6,
      Actuals!$H$3:$BD$3,
      Actuals!$H:$BD
   )
)</f>
        <v>0</v>
      </c>
      <c r="R18" s="213" cm="1">
        <f t="array" ref="R18">_xlfn.XLOOKUP(
   $B$4&amp;" "&amp;$B18,
   Actuals!$D:$D,
   _xlfn.XLOOKUP(
      R$6,
      Actuals!$H$3:$BD$3,
      Actuals!$H:$BD
   )
)</f>
        <v>0</v>
      </c>
      <c r="S18" s="213" cm="1">
        <f t="array" ref="S18">_xlfn.XLOOKUP(
   $B$4&amp;" "&amp;$B18,
   Actuals!$D:$D,
   _xlfn.XLOOKUP(
      S$6,
      Actuals!$H$3:$BD$3,
      Actuals!$H:$BD
   )
)</f>
        <v>0</v>
      </c>
      <c r="T18" s="213" cm="1">
        <f t="array" ref="T18">_xlfn.XLOOKUP(
   $B$4&amp;" "&amp;$B18,
   Actuals!$D:$D,
   _xlfn.XLOOKUP(
      T$6,
      Actuals!$H$3:$BD$3,
      Actuals!$H:$BD
   )
)</f>
        <v>0</v>
      </c>
      <c r="U18" s="213" cm="1">
        <f t="array" ref="U18">_xlfn.XLOOKUP(
   $B$4&amp;" "&amp;$B18,
   Actuals!$D:$D,
   _xlfn.XLOOKUP(
      U$6,
      Actuals!$H$3:$BD$3,
      Actuals!$H:$BD
   )
)</f>
        <v>0</v>
      </c>
      <c r="V18" s="213" cm="1">
        <f t="array" ref="V18">_xlfn.XLOOKUP(
   $B$4&amp;" "&amp;$B18,
   Actuals!$D:$D,
   _xlfn.XLOOKUP(
      V$6,
      Actuals!$H$3:$BD$3,
      Actuals!$H:$BD
   )
)</f>
        <v>0</v>
      </c>
      <c r="W18" s="213" cm="1">
        <f t="array" ref="W18">_xlfn.XLOOKUP(
   $B$4&amp;" "&amp;$B18,
   Actuals!$D:$D,
   _xlfn.XLOOKUP(
      W$6,
      Actuals!$H$3:$BD$3,
      Actuals!$H:$BD
   )
)</f>
        <v>0</v>
      </c>
      <c r="X18" s="213" cm="1">
        <f t="array" ref="X18">_xlfn.XLOOKUP(
   $B$4&amp;" "&amp;$B18,
   Actuals!$D:$D,
   _xlfn.XLOOKUP(
      X$6,
      Actuals!$H$3:$BD$3,
      Actuals!$H:$BD
   )
)</f>
        <v>0</v>
      </c>
      <c r="Y18" s="213" cm="1">
        <f t="array" ref="Y18">_xlfn.XLOOKUP(
   $B$4&amp;" "&amp;$B18,
   Actuals!$D:$D,
   _xlfn.XLOOKUP(
      Y$6,
      Actuals!$H$3:$BD$3,
      Actuals!$H:$BD
   )
)</f>
        <v>0</v>
      </c>
      <c r="Z18" s="213" cm="1">
        <f t="array" ref="Z18">_xlfn.XLOOKUP(
   $B$4&amp;" "&amp;$B18,
   Actuals!$D:$D,
   _xlfn.XLOOKUP(
      Z$6,
      Actuals!$H$3:$BD$3,
      Actuals!$H:$BD
   )
)</f>
        <v>0</v>
      </c>
      <c r="AA18" s="213" cm="1">
        <f t="array" ref="AA18">_xlfn.XLOOKUP(
   $B$4&amp;" "&amp;$B18,
   Actuals!$D:$D,
   _xlfn.XLOOKUP(
      AA$6,
      Actuals!$H$3:$BD$3,
      Actuals!$H:$BD
   )
)</f>
        <v>0</v>
      </c>
      <c r="AB18" s="213" cm="1">
        <f t="array" ref="AB18">_xlfn.XLOOKUP(
   $B$4&amp;" "&amp;$B18,
   Actuals!$D:$D,
   _xlfn.XLOOKUP(
      AB$6,
      Actuals!$H$3:$BD$3,
      Actuals!$H:$BD
   )
)</f>
        <v>0</v>
      </c>
      <c r="AC18" s="213" cm="1">
        <f t="array" ref="AC18">_xlfn.XLOOKUP(
   $B$4&amp;" "&amp;$B18,
   Actuals!$D:$D,
   _xlfn.XLOOKUP(
      AC$6,
      Actuals!$H$3:$BD$3,
      Actuals!$H:$BD
   )
)</f>
        <v>0.86</v>
      </c>
      <c r="AD18" s="213" cm="1">
        <f t="array" ref="AD18">_xlfn.XLOOKUP(
   $B$4&amp;" "&amp;$B18,
   Actuals!$D:$D,
   _xlfn.XLOOKUP(
      AD$6,
      Actuals!$H$3:$BD$3,
      Actuals!$H:$BD
   )
)</f>
        <v>0.75</v>
      </c>
      <c r="AE18" s="213" cm="1">
        <f t="array" ref="AE18">_xlfn.XLOOKUP(
   $B$4&amp;" "&amp;$B18,
   Actuals!$D:$D,
   _xlfn.XLOOKUP(
      AE$6,
      Actuals!$H$3:$BD$3,
      Actuals!$H:$BD
   )
)</f>
        <v>0.78</v>
      </c>
      <c r="AF18" s="213" cm="1">
        <f t="array" ref="AF18">_xlfn.XLOOKUP(
   $B$4&amp;" "&amp;$B18,
   Actuals!$D:$D,
   _xlfn.XLOOKUP(
      AF$6,
      Actuals!$H$3:$BD$3,
      Actuals!$H:$BD
   )
)</f>
        <v>0.84</v>
      </c>
      <c r="AG18" s="213" cm="1">
        <f t="array" ref="AG18">_xlfn.XLOOKUP(
   $B$4&amp;" "&amp;$B18,
   Actuals!$D:$D,
   _xlfn.XLOOKUP(
      AG$6,
      Actuals!$H$3:$BD$3,
      Actuals!$H:$BD
   )
)</f>
        <v>0.82</v>
      </c>
      <c r="AH18" s="213" cm="1">
        <f t="array" ref="AH18">_xlfn.XLOOKUP(
   $B$4&amp;" "&amp;$B18,
   Actuals!$D:$D,
   _xlfn.XLOOKUP(
      AH$6,
      Actuals!$H$3:$BD$3,
      Actuals!$H:$BD
   )
)</f>
        <v>0.83</v>
      </c>
      <c r="AI18" s="213" cm="1">
        <f t="array" ref="AI18">_xlfn.XLOOKUP(
   $B$4&amp;" "&amp;$B18,
   Actuals!$D:$D,
   _xlfn.XLOOKUP(
      AI$6,
      Actuals!$H$3:$BD$3,
      Actuals!$H:$BD
   )
)</f>
        <v>0.82</v>
      </c>
      <c r="AJ18" s="213" cm="1">
        <f t="array" ref="AJ18">_xlfn.XLOOKUP(
   $B$4&amp;" "&amp;$B18,
   Actuals!$D:$D,
   _xlfn.XLOOKUP(
      AJ$6,
      Actuals!$H$3:$BD$3,
      Actuals!$H:$BD
   )
)</f>
        <v>0.86</v>
      </c>
      <c r="AK18" s="213" cm="1">
        <f t="array" ref="AK18">_xlfn.XLOOKUP(
   $B$4&amp;" "&amp;$B18,
   Actuals!$D:$D,
   _xlfn.XLOOKUP(
      AK$6,
      Actuals!$H$3:$BD$3,
      Actuals!$H:$BD
   )
)</f>
        <v>0.88</v>
      </c>
      <c r="AL18" s="213" cm="1">
        <f t="array" ref="AL18">_xlfn.XLOOKUP(
   $B$4&amp;" "&amp;$B18,
   Actuals!$D:$D,
   _xlfn.XLOOKUP(
      AL$6,
      Actuals!$H$3:$BD$3,
      Actuals!$H:$BD
   )
)</f>
        <v>0.84</v>
      </c>
      <c r="AM18" s="213" cm="1">
        <f t="array" ref="AM18">_xlfn.XLOOKUP(
   $B$4&amp;" "&amp;$B18,
   Actuals!$D:$D,
   _xlfn.XLOOKUP(
      AM$6,
      Actuals!$H$3:$BD$3,
      Actuals!$H:$BD
   )
)</f>
        <v>0.8</v>
      </c>
      <c r="AN18" s="213" cm="1">
        <f t="array" ref="AN18">_xlfn.XLOOKUP(
   $B$4&amp;" "&amp;$B18,
   Actuals!$D:$D,
   _xlfn.XLOOKUP(
      AN$6,
      Actuals!$H$3:$BD$3,
      Actuals!$H:$BD
   )
)</f>
        <v>0.8</v>
      </c>
      <c r="AO18" s="213" cm="1">
        <f t="array" ref="AO18">_xlfn.XLOOKUP(
   $B$4&amp;" "&amp;$B18,
   Actuals!$D:$D,
   _xlfn.XLOOKUP(
      AO$6,
      Actuals!$H$3:$BD$3,
      Actuals!$H:$BD
   )
)</f>
        <v>0.8</v>
      </c>
      <c r="AP18" s="213" cm="1">
        <f t="array" ref="AP18">_xlfn.XLOOKUP(
   $B$4&amp;" "&amp;$B18,
   Actuals!$D:$D,
   _xlfn.XLOOKUP(
      AP$6,
      Actuals!$H$3:$BD$3,
      Actuals!$H:$BD
   )
)</f>
        <v>0.7</v>
      </c>
      <c r="AQ18" s="213" cm="1">
        <f t="array" ref="AQ18">_xlfn.XLOOKUP(
   $B$4&amp;" "&amp;$B18,
   Actuals!$D:$D,
   _xlfn.XLOOKUP(
      AQ$6,
      Actuals!$H$3:$BD$3,
      Actuals!$H:$BD
   )
)</f>
        <v>0</v>
      </c>
      <c r="AR18" s="213" cm="1">
        <f t="array" ref="AR18">_xlfn.XLOOKUP(
   $B$4&amp;" "&amp;$B18,
   Actuals!$D:$D,
   _xlfn.XLOOKUP(
      AR$6,
      Actuals!$H$3:$BD$3,
      Actuals!$H:$BD
   )
)</f>
        <v>0</v>
      </c>
      <c r="AS18" s="213" cm="1">
        <f t="array" ref="AS18">_xlfn.XLOOKUP(
   $B$4&amp;" "&amp;$B18,
   Actuals!$D:$D,
   _xlfn.XLOOKUP(
      AS$6,
      Actuals!$H$3:$BD$3,
      Actuals!$H:$BD
   )
)</f>
        <v>0</v>
      </c>
      <c r="AT18" s="213" cm="1">
        <f t="array" ref="AT18">_xlfn.XLOOKUP(
   $B$4&amp;" "&amp;$B18,
   Actuals!$D:$D,
   _xlfn.XLOOKUP(
      AT$6,
      Actuals!$H$3:$BD$3,
      Actuals!$H:$BD
   )
)</f>
        <v>0</v>
      </c>
      <c r="AU18" s="213" cm="1">
        <f t="array" ref="AU18">_xlfn.XLOOKUP(
   $B$4&amp;" "&amp;$B18,
   Actuals!$D:$D,
   _xlfn.XLOOKUP(
      AU$6,
      Actuals!$H$3:$BD$3,
      Actuals!$H:$BD
   )
)</f>
        <v>0</v>
      </c>
      <c r="AV18" s="213" cm="1">
        <f t="array" ref="AV18">_xlfn.XLOOKUP(
   $B$4&amp;" "&amp;$B18,
   Actuals!$D:$D,
   _xlfn.XLOOKUP(
      AV$6,
      Actuals!$H$3:$BD$3,
      Actuals!$H:$BD
   )
)</f>
        <v>0</v>
      </c>
      <c r="AW18" s="213" cm="1">
        <f t="array" ref="AW18">_xlfn.XLOOKUP(
   $B$4&amp;" "&amp;$B18,
   Actuals!$D:$D,
   _xlfn.XLOOKUP(
      AW$6,
      Actuals!$H$3:$BD$3,
      Actuals!$H:$BD
   )
)</f>
        <v>0</v>
      </c>
      <c r="AX18" s="213" cm="1">
        <f t="array" ref="AX18">_xlfn.XLOOKUP(
   $B$4&amp;" "&amp;$B18,
   Actuals!$D:$D,
   _xlfn.XLOOKUP(
      AX$6,
      Actuals!$H$3:$BD$3,
      Actuals!$H:$BD
   )
)</f>
        <v>0</v>
      </c>
      <c r="AY18" s="213" cm="1">
        <f t="array" ref="AY18">_xlfn.XLOOKUP(
   $B$4&amp;" "&amp;$B18,
   Actuals!$D:$D,
   _xlfn.XLOOKUP(
      AY$6,
      Actuals!$H$3:$BD$3,
      Actuals!$H:$BD
   )
)</f>
        <v>0</v>
      </c>
      <c r="AZ18" s="213" cm="1">
        <f t="array" ref="AZ18">_xlfn.XLOOKUP(
   $B$4&amp;" "&amp;$B18,
   Actuals!$D:$D,
   _xlfn.XLOOKUP(
      AZ$6,
      Actuals!$H$3:$BD$3,
      Actuals!$H:$BD
   )
)</f>
        <v>0</v>
      </c>
      <c r="BA18" s="213"/>
      <c r="BB18" s="213" cm="1">
        <f t="array" ref="BB18">_xlfn.XLOOKUP(
   $B$4&amp;" "&amp;$B18,
   Actuals!$D:$D,
   _xlfn.XLOOKUP(
      BB$7,
      Actuals!$H$3:$BM$3,
      Actuals!$H:$BM
   )
)</f>
        <v>0.75</v>
      </c>
      <c r="BC18" s="213">
        <f>VLOOKUP($B$4&amp;" "&amp;$B18,Budget!$AG$4:$AL$132,$BB$5+1,FALSE)</f>
        <v>0.94999999999999984</v>
      </c>
      <c r="BD18" s="213">
        <f>IFERROR(BB18-BC18,"-")</f>
        <v>-0.19999999999999984</v>
      </c>
      <c r="BE18" s="213"/>
      <c r="BF18" s="213" t="str" cm="1">
        <f t="array" ref="BF18">_xlfn.XLOOKUP(
   $B$4&amp;" "&amp;$B18,
   Actuals!$D:$D,
   _xlfn.XLOOKUP(
      BF$7,
      Actuals!$H$3:$BM$3,
      Actuals!$H:$BM
   )
)</f>
        <v>-</v>
      </c>
      <c r="BG18" s="213">
        <f>VLOOKUP($B$4&amp;" "&amp;$B18,Budget!$AG$4:$AL$132,BF$5+1,FALSE)</f>
        <v>0.94999999999999984</v>
      </c>
      <c r="BH18" s="213" t="str">
        <f>IFERROR(BF18-BG18,"-")</f>
        <v>-</v>
      </c>
      <c r="BI18" s="213"/>
      <c r="BJ18" s="213" t="str" cm="1">
        <f t="array" ref="BJ18">_xlfn.XLOOKUP(
   $B$4&amp;" "&amp;$B18,
   Actuals!$D:$D,
   _xlfn.XLOOKUP(
      BJ$7,
      Actuals!$H$3:$BM$3,
      Actuals!$H:$BM
   )
)</f>
        <v>-</v>
      </c>
      <c r="BK18" s="213">
        <f>VLOOKUP($B$4&amp;" "&amp;$B18,Budget!$AG$4:$AL$132,BJ$5+1,FALSE)</f>
        <v>0.94999999999999984</v>
      </c>
      <c r="BL18" s="213" t="str">
        <f>IFERROR(BJ18-BK18,"-")</f>
        <v>-</v>
      </c>
      <c r="BM18" s="213"/>
      <c r="BN18" s="213" t="str" cm="1">
        <f t="array" ref="BN18">_xlfn.XLOOKUP(
   $B$4&amp;" "&amp;$B18,
   Actuals!$D:$D,
   _xlfn.XLOOKUP(
      BN$7,
      Actuals!$H$3:$BM$3,
      Actuals!$H:$BM
   )
)</f>
        <v>-</v>
      </c>
      <c r="BO18" s="213">
        <f>VLOOKUP($B$4&amp;" "&amp;$B18,Budget!$AG$4:$AL$132,BN$5+1,FALSE)</f>
        <v>0.94999999999999984</v>
      </c>
      <c r="BP18" s="213"/>
      <c r="BQ18" s="213"/>
      <c r="BR18" s="213" cm="1">
        <f t="array" aca="1" ref="BR18" ca="1">_xlfn.XLOOKUP(
   $B$4&amp;" "&amp;$B18,
   Actuals!$D:$D,
   _xlfn.XLOOKUP(
      BR$6,
      Actuals!$H$3:$BM$3,
      Actuals!$H:$BM
   )
)</f>
        <v>0.125</v>
      </c>
      <c r="BS18" s="213">
        <f ca="1">VLOOKUP($B$4&amp;" "&amp;$B18,Budget!$AG$4:$AL$132,6,FALSE)</f>
        <v>0.94999999999999984</v>
      </c>
      <c r="BT18" s="210">
        <f ca="1">IFERROR(BR18-BS18,"-")</f>
        <v>-0.82499999999999984</v>
      </c>
      <c r="BU18" s="213"/>
      <c r="BV18" s="213" cm="1">
        <f t="array" ref="BV18">_xlfn.XLOOKUP(
   $B$4&amp;" "&amp;$B18,
   Actuals!$D:$D,
   _xlfn.XLOOKUP(
      BV$6,
      Actuals!$H$3:$BM$3,
      Actuals!$H:$BM
   )
)</f>
        <v>0.81833333333333347</v>
      </c>
    </row>
    <row r="19" spans="2:74">
      <c r="B19" s="26" t="s">
        <v>56</v>
      </c>
      <c r="C19" s="139" t="s">
        <v>49</v>
      </c>
      <c r="D19" s="171" t="str">
        <f>VLOOKUP($B$4&amp;" "&amp;$B19,Actuals!$D$4:$AG$131,3,FALSE)</f>
        <v>%</v>
      </c>
      <c r="E19" s="180" cm="1">
        <f t="array" ref="E19">_xlfn.XLOOKUP(
   $B$4&amp;" "&amp;$B19,
   Actuals!$D:$D,
   _xlfn.XLOOKUP(
      E$6,
      Actuals!$H$3:$BD$3,
      Actuals!$H:$BD
   )
)</f>
        <v>0</v>
      </c>
      <c r="F19" s="180" cm="1">
        <f t="array" ref="F19">_xlfn.XLOOKUP(
   $B$4&amp;" "&amp;$B19,
   Actuals!$D:$D,
   _xlfn.XLOOKUP(
      F$6,
      Actuals!$H$3:$BD$3,
      Actuals!$H:$BD
   )
)</f>
        <v>0</v>
      </c>
      <c r="G19" s="180" cm="1">
        <f t="array" ref="G19">_xlfn.XLOOKUP(
   $B$4&amp;" "&amp;$B19,
   Actuals!$D:$D,
   _xlfn.XLOOKUP(
      G$6,
      Actuals!$H$3:$BD$3,
      Actuals!$H:$BD
   )
)</f>
        <v>0</v>
      </c>
      <c r="H19" s="180" cm="1">
        <f t="array" ref="H19">_xlfn.XLOOKUP(
   $B$4&amp;" "&amp;$B19,
   Actuals!$D:$D,
   _xlfn.XLOOKUP(
      H$6,
      Actuals!$H$3:$BD$3,
      Actuals!$H:$BD
   )
)</f>
        <v>0.05</v>
      </c>
      <c r="I19" s="180" cm="1">
        <f t="array" ref="I19">_xlfn.XLOOKUP(
   $B$4&amp;" "&amp;$B19,
   Actuals!$D:$D,
   _xlfn.XLOOKUP(
      I$6,
      Actuals!$H$3:$BD$3,
      Actuals!$H:$BD
   )
)</f>
        <v>0.03</v>
      </c>
      <c r="J19" s="180" cm="1">
        <f t="array" ref="J19">_xlfn.XLOOKUP(
   $B$4&amp;" "&amp;$B19,
   Actuals!$D:$D,
   _xlfn.XLOOKUP(
      J$6,
      Actuals!$H$3:$BD$3,
      Actuals!$H:$BD
   )
)</f>
        <v>0.02</v>
      </c>
      <c r="K19" s="180" cm="1">
        <f t="array" ref="K19">_xlfn.XLOOKUP(
   $B$4&amp;" "&amp;$B19,
   Actuals!$D:$D,
   _xlfn.XLOOKUP(
      K$6,
      Actuals!$H$3:$BD$3,
      Actuals!$H:$BD
   )
)</f>
        <v>0.02</v>
      </c>
      <c r="L19" s="180" cm="1">
        <f t="array" ref="L19">_xlfn.XLOOKUP(
   $B$4&amp;" "&amp;$B19,
   Actuals!$D:$D,
   _xlfn.XLOOKUP(
      L$6,
      Actuals!$H$3:$BD$3,
      Actuals!$H:$BD
   )
)</f>
        <v>0.02</v>
      </c>
      <c r="M19" s="180" cm="1">
        <f t="array" ref="M19">_xlfn.XLOOKUP(
   $B$4&amp;" "&amp;$B19,
   Actuals!$D:$D,
   _xlfn.XLOOKUP(
      M$6,
      Actuals!$H$3:$BD$3,
      Actuals!$H:$BD
   )
)</f>
        <v>0.02</v>
      </c>
      <c r="N19" s="180" cm="1">
        <f t="array" ref="N19">_xlfn.XLOOKUP(
   $B$4&amp;" "&amp;$B19,
   Actuals!$D:$D,
   _xlfn.XLOOKUP(
      N$6,
      Actuals!$H$3:$BD$3,
      Actuals!$H:$BD
   )
)</f>
        <v>0.02</v>
      </c>
      <c r="O19" s="213" cm="1">
        <f t="array" ref="O19">_xlfn.XLOOKUP(
   $B$4&amp;" "&amp;$B19,
   Actuals!$D:$D,
   _xlfn.XLOOKUP(
      O$6,
      Actuals!$H$3:$BD$3,
      Actuals!$H:$BD
   )
)</f>
        <v>0</v>
      </c>
      <c r="P19" s="213" cm="1">
        <f t="array" ref="P19">_xlfn.XLOOKUP(
   $B$4&amp;" "&amp;$B19,
   Actuals!$D:$D,
   _xlfn.XLOOKUP(
      P$6,
      Actuals!$H$3:$BD$3,
      Actuals!$H:$BD
   )
)</f>
        <v>0</v>
      </c>
      <c r="Q19" s="213" cm="1">
        <f t="array" ref="Q19">_xlfn.XLOOKUP(
   $B$4&amp;" "&amp;$B19,
   Actuals!$D:$D,
   _xlfn.XLOOKUP(
      Q$6,
      Actuals!$H$3:$BD$3,
      Actuals!$H:$BD
   )
)</f>
        <v>0</v>
      </c>
      <c r="R19" s="213" cm="1">
        <f t="array" ref="R19">_xlfn.XLOOKUP(
   $B$4&amp;" "&amp;$B19,
   Actuals!$D:$D,
   _xlfn.XLOOKUP(
      R$6,
      Actuals!$H$3:$BD$3,
      Actuals!$H:$BD
   )
)</f>
        <v>0</v>
      </c>
      <c r="S19" s="213" cm="1">
        <f t="array" ref="S19">_xlfn.XLOOKUP(
   $B$4&amp;" "&amp;$B19,
   Actuals!$D:$D,
   _xlfn.XLOOKUP(
      S$6,
      Actuals!$H$3:$BD$3,
      Actuals!$H:$BD
   )
)</f>
        <v>0</v>
      </c>
      <c r="T19" s="213" cm="1">
        <f t="array" ref="T19">_xlfn.XLOOKUP(
   $B$4&amp;" "&amp;$B19,
   Actuals!$D:$D,
   _xlfn.XLOOKUP(
      T$6,
      Actuals!$H$3:$BD$3,
      Actuals!$H:$BD
   )
)</f>
        <v>0</v>
      </c>
      <c r="U19" s="213" cm="1">
        <f t="array" ref="U19">_xlfn.XLOOKUP(
   $B$4&amp;" "&amp;$B19,
   Actuals!$D:$D,
   _xlfn.XLOOKUP(
      U$6,
      Actuals!$H$3:$BD$3,
      Actuals!$H:$BD
   )
)</f>
        <v>0</v>
      </c>
      <c r="V19" s="213" cm="1">
        <f t="array" ref="V19">_xlfn.XLOOKUP(
   $B$4&amp;" "&amp;$B19,
   Actuals!$D:$D,
   _xlfn.XLOOKUP(
      V$6,
      Actuals!$H$3:$BD$3,
      Actuals!$H:$BD
   )
)</f>
        <v>0</v>
      </c>
      <c r="W19" s="213" cm="1">
        <f t="array" ref="W19">_xlfn.XLOOKUP(
   $B$4&amp;" "&amp;$B19,
   Actuals!$D:$D,
   _xlfn.XLOOKUP(
      W$6,
      Actuals!$H$3:$BD$3,
      Actuals!$H:$BD
   )
)</f>
        <v>0</v>
      </c>
      <c r="X19" s="213" cm="1">
        <f t="array" ref="X19">_xlfn.XLOOKUP(
   $B$4&amp;" "&amp;$B19,
   Actuals!$D:$D,
   _xlfn.XLOOKUP(
      X$6,
      Actuals!$H$3:$BD$3,
      Actuals!$H:$BD
   )
)</f>
        <v>0</v>
      </c>
      <c r="Y19" s="213" cm="1">
        <f t="array" ref="Y19">_xlfn.XLOOKUP(
   $B$4&amp;" "&amp;$B19,
   Actuals!$D:$D,
   _xlfn.XLOOKUP(
      Y$6,
      Actuals!$H$3:$BD$3,
      Actuals!$H:$BD
   )
)</f>
        <v>0</v>
      </c>
      <c r="Z19" s="213" cm="1">
        <f t="array" ref="Z19">_xlfn.XLOOKUP(
   $B$4&amp;" "&amp;$B19,
   Actuals!$D:$D,
   _xlfn.XLOOKUP(
      Z$6,
      Actuals!$H$3:$BD$3,
      Actuals!$H:$BD
   )
)</f>
        <v>0</v>
      </c>
      <c r="AA19" s="213" cm="1">
        <f t="array" ref="AA19">_xlfn.XLOOKUP(
   $B$4&amp;" "&amp;$B19,
   Actuals!$D:$D,
   _xlfn.XLOOKUP(
      AA$6,
      Actuals!$H$3:$BD$3,
      Actuals!$H:$BD
   )
)</f>
        <v>0</v>
      </c>
      <c r="AB19" s="213" cm="1">
        <f t="array" ref="AB19">_xlfn.XLOOKUP(
   $B$4&amp;" "&amp;$B19,
   Actuals!$D:$D,
   _xlfn.XLOOKUP(
      AB$6,
      Actuals!$H$3:$BD$3,
      Actuals!$H:$BD
   )
)</f>
        <v>0</v>
      </c>
      <c r="AC19" s="213" cm="1">
        <f t="array" ref="AC19">_xlfn.XLOOKUP(
   $B$4&amp;" "&amp;$B19,
   Actuals!$D:$D,
   _xlfn.XLOOKUP(
      AC$6,
      Actuals!$H$3:$BD$3,
      Actuals!$H:$BD
   )
)</f>
        <v>0.14000000000000001</v>
      </c>
      <c r="AD19" s="213" cm="1">
        <f t="array" ref="AD19">_xlfn.XLOOKUP(
   $B$4&amp;" "&amp;$B19,
   Actuals!$D:$D,
   _xlfn.XLOOKUP(
      AD$6,
      Actuals!$H$3:$BD$3,
      Actuals!$H:$BD
   )
)</f>
        <v>0.25</v>
      </c>
      <c r="AE19" s="213" cm="1">
        <f t="array" ref="AE19">_xlfn.XLOOKUP(
   $B$4&amp;" "&amp;$B19,
   Actuals!$D:$D,
   _xlfn.XLOOKUP(
      AE$6,
      Actuals!$H$3:$BD$3,
      Actuals!$H:$BD
   )
)</f>
        <v>0.22</v>
      </c>
      <c r="AF19" s="213" cm="1">
        <f t="array" ref="AF19">_xlfn.XLOOKUP(
   $B$4&amp;" "&amp;$B19,
   Actuals!$D:$D,
   _xlfn.XLOOKUP(
      AF$6,
      Actuals!$H$3:$BD$3,
      Actuals!$H:$BD
   )
)</f>
        <v>0.16</v>
      </c>
      <c r="AG19" s="213" cm="1">
        <f t="array" ref="AG19">_xlfn.XLOOKUP(
   $B$4&amp;" "&amp;$B19,
   Actuals!$D:$D,
   _xlfn.XLOOKUP(
      AG$6,
      Actuals!$H$3:$BD$3,
      Actuals!$H:$BD
   )
)</f>
        <v>0.18</v>
      </c>
      <c r="AH19" s="213" cm="1">
        <f t="array" ref="AH19">_xlfn.XLOOKUP(
   $B$4&amp;" "&amp;$B19,
   Actuals!$D:$D,
   _xlfn.XLOOKUP(
      AH$6,
      Actuals!$H$3:$BD$3,
      Actuals!$H:$BD
   )
)</f>
        <v>0.17</v>
      </c>
      <c r="AI19" s="213" cm="1">
        <f t="array" ref="AI19">_xlfn.XLOOKUP(
   $B$4&amp;" "&amp;$B19,
   Actuals!$D:$D,
   _xlfn.XLOOKUP(
      AI$6,
      Actuals!$H$3:$BD$3,
      Actuals!$H:$BD
   )
)</f>
        <v>0.18</v>
      </c>
      <c r="AJ19" s="213" cm="1">
        <f t="array" ref="AJ19">_xlfn.XLOOKUP(
   $B$4&amp;" "&amp;$B19,
   Actuals!$D:$D,
   _xlfn.XLOOKUP(
      AJ$6,
      Actuals!$H$3:$BD$3,
      Actuals!$H:$BD
   )
)</f>
        <v>0.14000000000000001</v>
      </c>
      <c r="AK19" s="213" cm="1">
        <f t="array" ref="AK19">_xlfn.XLOOKUP(
   $B$4&amp;" "&amp;$B19,
   Actuals!$D:$D,
   _xlfn.XLOOKUP(
      AK$6,
      Actuals!$H$3:$BD$3,
      Actuals!$H:$BD
   )
)</f>
        <v>0.12</v>
      </c>
      <c r="AL19" s="213" cm="1">
        <f t="array" ref="AL19">_xlfn.XLOOKUP(
   $B$4&amp;" "&amp;$B19,
   Actuals!$D:$D,
   _xlfn.XLOOKUP(
      AL$6,
      Actuals!$H$3:$BD$3,
      Actuals!$H:$BD
   )
)</f>
        <v>0.16</v>
      </c>
      <c r="AM19" s="213" cm="1">
        <f t="array" ref="AM19">_xlfn.XLOOKUP(
   $B$4&amp;" "&amp;$B19,
   Actuals!$D:$D,
   _xlfn.XLOOKUP(
      AM$6,
      Actuals!$H$3:$BD$3,
      Actuals!$H:$BD
   )
)</f>
        <v>0.2</v>
      </c>
      <c r="AN19" s="213" cm="1">
        <f t="array" ref="AN19">_xlfn.XLOOKUP(
   $B$4&amp;" "&amp;$B19,
   Actuals!$D:$D,
   _xlfn.XLOOKUP(
      AN$6,
      Actuals!$H$3:$BD$3,
      Actuals!$H:$BD
   )
)</f>
        <v>0.2</v>
      </c>
      <c r="AO19" s="213" cm="1">
        <f t="array" ref="AO19">_xlfn.XLOOKUP(
   $B$4&amp;" "&amp;$B19,
   Actuals!$D:$D,
   _xlfn.XLOOKUP(
      AO$6,
      Actuals!$H$3:$BD$3,
      Actuals!$H:$BD
   )
)</f>
        <v>0.2</v>
      </c>
      <c r="AP19" s="213" cm="1">
        <f t="array" ref="AP19">_xlfn.XLOOKUP(
   $B$4&amp;" "&amp;$B19,
   Actuals!$D:$D,
   _xlfn.XLOOKUP(
      AP$6,
      Actuals!$H$3:$BD$3,
      Actuals!$H:$BD
   )
)</f>
        <v>0.3</v>
      </c>
      <c r="AQ19" s="213" cm="1">
        <f t="array" ref="AQ19">_xlfn.XLOOKUP(
   $B$4&amp;" "&amp;$B19,
   Actuals!$D:$D,
   _xlfn.XLOOKUP(
      AQ$6,
      Actuals!$H$3:$BD$3,
      Actuals!$H:$BD
   )
)</f>
        <v>0</v>
      </c>
      <c r="AR19" s="213" cm="1">
        <f t="array" ref="AR19">_xlfn.XLOOKUP(
   $B$4&amp;" "&amp;$B19,
   Actuals!$D:$D,
   _xlfn.XLOOKUP(
      AR$6,
      Actuals!$H$3:$BD$3,
      Actuals!$H:$BD
   )
)</f>
        <v>0</v>
      </c>
      <c r="AS19" s="213" cm="1">
        <f t="array" ref="AS19">_xlfn.XLOOKUP(
   $B$4&amp;" "&amp;$B19,
   Actuals!$D:$D,
   _xlfn.XLOOKUP(
      AS$6,
      Actuals!$H$3:$BD$3,
      Actuals!$H:$BD
   )
)</f>
        <v>0</v>
      </c>
      <c r="AT19" s="213" cm="1">
        <f t="array" ref="AT19">_xlfn.XLOOKUP(
   $B$4&amp;" "&amp;$B19,
   Actuals!$D:$D,
   _xlfn.XLOOKUP(
      AT$6,
      Actuals!$H$3:$BD$3,
      Actuals!$H:$BD
   )
)</f>
        <v>0</v>
      </c>
      <c r="AU19" s="213" cm="1">
        <f t="array" ref="AU19">_xlfn.XLOOKUP(
   $B$4&amp;" "&amp;$B19,
   Actuals!$D:$D,
   _xlfn.XLOOKUP(
      AU$6,
      Actuals!$H$3:$BD$3,
      Actuals!$H:$BD
   )
)</f>
        <v>0</v>
      </c>
      <c r="AV19" s="213" cm="1">
        <f t="array" ref="AV19">_xlfn.XLOOKUP(
   $B$4&amp;" "&amp;$B19,
   Actuals!$D:$D,
   _xlfn.XLOOKUP(
      AV$6,
      Actuals!$H$3:$BD$3,
      Actuals!$H:$BD
   )
)</f>
        <v>0</v>
      </c>
      <c r="AW19" s="213" cm="1">
        <f t="array" ref="AW19">_xlfn.XLOOKUP(
   $B$4&amp;" "&amp;$B19,
   Actuals!$D:$D,
   _xlfn.XLOOKUP(
      AW$6,
      Actuals!$H$3:$BD$3,
      Actuals!$H:$BD
   )
)</f>
        <v>0</v>
      </c>
      <c r="AX19" s="213" cm="1">
        <f t="array" ref="AX19">_xlfn.XLOOKUP(
   $B$4&amp;" "&amp;$B19,
   Actuals!$D:$D,
   _xlfn.XLOOKUP(
      AX$6,
      Actuals!$H$3:$BD$3,
      Actuals!$H:$BD
   )
)</f>
        <v>0</v>
      </c>
      <c r="AY19" s="213" cm="1">
        <f t="array" ref="AY19">_xlfn.XLOOKUP(
   $B$4&amp;" "&amp;$B19,
   Actuals!$D:$D,
   _xlfn.XLOOKUP(
      AY$6,
      Actuals!$H$3:$BD$3,
      Actuals!$H:$BD
   )
)</f>
        <v>0</v>
      </c>
      <c r="AZ19" s="213" cm="1">
        <f t="array" ref="AZ19">_xlfn.XLOOKUP(
   $B$4&amp;" "&amp;$B19,
   Actuals!$D:$D,
   _xlfn.XLOOKUP(
      AZ$6,
      Actuals!$H$3:$BD$3,
      Actuals!$H:$BD
   )
)</f>
        <v>0</v>
      </c>
      <c r="BA19" s="213"/>
      <c r="BB19" s="213" cm="1">
        <f t="array" ref="BB19">_xlfn.XLOOKUP(
   $B$4&amp;" "&amp;$B19,
   Actuals!$D:$D,
   _xlfn.XLOOKUP(
      BB$7,
      Actuals!$H$3:$BM$3,
      Actuals!$H:$BM
   )
)</f>
        <v>0.25</v>
      </c>
      <c r="BC19" s="213">
        <f>VLOOKUP($B$4&amp;" "&amp;$B19,Budget!$AG$4:$AL$132,$BB$5+1,FALSE)</f>
        <v>5.000000000000001E-2</v>
      </c>
      <c r="BD19" s="213">
        <f>IFERROR(BB19-BC19,"-")</f>
        <v>0.19999999999999998</v>
      </c>
      <c r="BE19" s="213"/>
      <c r="BF19" s="213" t="str" cm="1">
        <f t="array" ref="BF19">_xlfn.XLOOKUP(
   $B$4&amp;" "&amp;$B19,
   Actuals!$D:$D,
   _xlfn.XLOOKUP(
      BF$7,
      Actuals!$H$3:$BM$3,
      Actuals!$H:$BM
   )
)</f>
        <v>-</v>
      </c>
      <c r="BG19" s="213">
        <f>VLOOKUP($B$4&amp;" "&amp;$B19,Budget!$AG$4:$AL$132,BF$5+1,FALSE)</f>
        <v>5.000000000000001E-2</v>
      </c>
      <c r="BH19" s="213" t="str">
        <f>IFERROR(BF19-BG19,"-")</f>
        <v>-</v>
      </c>
      <c r="BI19" s="213"/>
      <c r="BJ19" s="213" t="str" cm="1">
        <f t="array" ref="BJ19">_xlfn.XLOOKUP(
   $B$4&amp;" "&amp;$B19,
   Actuals!$D:$D,
   _xlfn.XLOOKUP(
      BJ$7,
      Actuals!$H$3:$BM$3,
      Actuals!$H:$BM
   )
)</f>
        <v>-</v>
      </c>
      <c r="BK19" s="213">
        <f>VLOOKUP($B$4&amp;" "&amp;$B19,Budget!$AG$4:$AL$132,BJ$5+1,FALSE)</f>
        <v>5.000000000000001E-2</v>
      </c>
      <c r="BL19" s="213" t="str">
        <f>IFERROR(BJ19-BK19,"-")</f>
        <v>-</v>
      </c>
      <c r="BM19" s="213"/>
      <c r="BN19" s="213" t="str" cm="1">
        <f t="array" ref="BN19">_xlfn.XLOOKUP(
   $B$4&amp;" "&amp;$B19,
   Actuals!$D:$D,
   _xlfn.XLOOKUP(
      BN$7,
      Actuals!$H$3:$BM$3,
      Actuals!$H:$BM
   )
)</f>
        <v>-</v>
      </c>
      <c r="BO19" s="213">
        <f>VLOOKUP($B$4&amp;" "&amp;$B19,Budget!$AG$4:$AL$132,BN$5+1,FALSE)</f>
        <v>5.000000000000001E-2</v>
      </c>
      <c r="BP19" s="213"/>
      <c r="BQ19" s="213"/>
      <c r="BR19" s="213" cm="1">
        <f t="array" aca="1" ref="BR19" ca="1">_xlfn.XLOOKUP(
   $B$4&amp;" "&amp;$B19,
   Actuals!$D:$D,
   _xlfn.XLOOKUP(
      BR$6,
      Actuals!$H$3:$BM$3,
      Actuals!$H:$BM
   )
)</f>
        <v>4.1666666666666664E-2</v>
      </c>
      <c r="BS19" s="213">
        <f ca="1">VLOOKUP($B$4&amp;" "&amp;$B19,Budget!$AG$4:$AL$132,6,FALSE)</f>
        <v>4.9999999999999996E-2</v>
      </c>
      <c r="BT19" s="210">
        <f ca="1">IFERROR(BR19-BS19,"-")</f>
        <v>-8.3333333333333315E-3</v>
      </c>
      <c r="BU19" s="213"/>
      <c r="BV19" s="213" cm="1">
        <f t="array" ref="BV19">_xlfn.XLOOKUP(
   $B$4&amp;" "&amp;$B19,
   Actuals!$D:$D,
   _xlfn.XLOOKUP(
      BV$6,
      Actuals!$H$3:$BM$3,
      Actuals!$H:$BM
   )
)</f>
        <v>0.18166666666666667</v>
      </c>
    </row>
    <row r="20" spans="2:74">
      <c r="D20" s="171"/>
      <c r="E20" s="26"/>
      <c r="F20" s="26"/>
      <c r="G20" s="26"/>
      <c r="H20" s="26"/>
      <c r="I20" s="26"/>
      <c r="J20" s="26"/>
      <c r="K20" s="26"/>
      <c r="L20" s="26"/>
      <c r="M20" s="26"/>
      <c r="N20" s="26"/>
      <c r="O20" s="285"/>
      <c r="P20" s="285"/>
      <c r="Q20" s="285"/>
      <c r="R20" s="285"/>
      <c r="S20" s="285"/>
      <c r="T20" s="285"/>
      <c r="U20" s="285"/>
      <c r="V20" s="285"/>
      <c r="W20" s="285"/>
      <c r="X20" s="285"/>
      <c r="Y20" s="285"/>
      <c r="Z20" s="285"/>
      <c r="AA20" s="285"/>
      <c r="AB20" s="285"/>
      <c r="AC20" s="285"/>
      <c r="AD20" s="285"/>
      <c r="AE20" s="285"/>
      <c r="AF20" s="285"/>
      <c r="AG20" s="285"/>
      <c r="AH20" s="285"/>
      <c r="AI20" s="285"/>
      <c r="AJ20" s="285"/>
      <c r="AK20" s="285"/>
      <c r="AL20" s="285"/>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5"/>
      <c r="BK20" s="285"/>
      <c r="BL20" s="285"/>
      <c r="BM20" s="285"/>
      <c r="BN20" s="285"/>
      <c r="BO20" s="285"/>
      <c r="BP20" s="285"/>
      <c r="BQ20" s="285"/>
      <c r="BR20" s="285"/>
      <c r="BS20" s="285"/>
      <c r="BT20" s="285"/>
      <c r="BU20" s="285"/>
      <c r="BV20" s="285"/>
    </row>
    <row r="21" spans="2:74" ht="13">
      <c r="B21" s="126" t="s">
        <v>57</v>
      </c>
      <c r="C21" s="138"/>
      <c r="D21" s="138"/>
      <c r="E21" s="138"/>
      <c r="F21" s="138"/>
      <c r="G21" s="138"/>
      <c r="H21" s="138"/>
      <c r="I21" s="138"/>
      <c r="J21" s="138"/>
      <c r="K21" s="138"/>
      <c r="L21" s="138"/>
      <c r="M21" s="138"/>
      <c r="N21" s="138"/>
      <c r="O21" s="286"/>
      <c r="P21" s="286"/>
      <c r="Q21" s="286"/>
      <c r="R21" s="286"/>
      <c r="S21" s="286"/>
      <c r="T21" s="286"/>
      <c r="U21" s="286"/>
      <c r="V21" s="286"/>
      <c r="W21" s="286"/>
      <c r="X21" s="286"/>
      <c r="Y21" s="286"/>
      <c r="Z21" s="286"/>
      <c r="AA21" s="286"/>
      <c r="AB21" s="286"/>
      <c r="AC21" s="286"/>
      <c r="AD21" s="286"/>
      <c r="AE21" s="286"/>
      <c r="AF21" s="286"/>
      <c r="AG21" s="286"/>
      <c r="AH21" s="286"/>
      <c r="AI21" s="286"/>
      <c r="AJ21" s="286"/>
      <c r="AK21" s="286"/>
      <c r="AL21" s="286"/>
      <c r="AM21" s="286"/>
      <c r="AN21" s="286"/>
      <c r="AO21" s="286"/>
      <c r="AP21" s="286"/>
      <c r="AQ21" s="286"/>
      <c r="AR21" s="286"/>
      <c r="AS21" s="286"/>
      <c r="AT21" s="286"/>
      <c r="AU21" s="286"/>
      <c r="AV21" s="286"/>
      <c r="AW21" s="286"/>
      <c r="AX21" s="286"/>
      <c r="AY21" s="286"/>
      <c r="AZ21" s="286"/>
      <c r="BA21" s="286"/>
      <c r="BB21" s="286"/>
      <c r="BC21" s="286"/>
      <c r="BD21" s="286"/>
      <c r="BE21" s="286"/>
      <c r="BF21" s="286"/>
      <c r="BG21" s="286"/>
      <c r="BH21" s="286"/>
      <c r="BI21" s="286"/>
      <c r="BJ21" s="286"/>
      <c r="BK21" s="286"/>
      <c r="BL21" s="286"/>
      <c r="BM21" s="286"/>
      <c r="BN21" s="286"/>
      <c r="BO21" s="286"/>
      <c r="BP21" s="286"/>
      <c r="BQ21" s="286"/>
      <c r="BR21" s="286"/>
      <c r="BS21" s="286"/>
      <c r="BT21" s="286"/>
      <c r="BU21" s="286"/>
      <c r="BV21" s="286"/>
    </row>
    <row r="22" spans="2:74">
      <c r="B22" s="26" t="s">
        <v>58</v>
      </c>
      <c r="C22" s="139" t="s">
        <v>47</v>
      </c>
      <c r="D22" s="171" t="str">
        <f>VLOOKUP($B$4&amp;" "&amp;$B22,Actuals!$D$4:$AG$131,3,FALSE)</f>
        <v>#</v>
      </c>
      <c r="E22" s="168" cm="1">
        <f t="array" ref="E22">_xlfn.XLOOKUP(
   $B$4&amp;" "&amp;$B22,
   Actuals!$D:$D,
   _xlfn.XLOOKUP(
      E$6,
      Actuals!$H$3:$BD$3,
      Actuals!$H:$BD
   )
)</f>
        <v>10</v>
      </c>
      <c r="F22" s="168" cm="1">
        <f t="array" ref="F22">_xlfn.XLOOKUP(
   $B$4&amp;" "&amp;$B22,
   Actuals!$D:$D,
   _xlfn.XLOOKUP(
      F$6,
      Actuals!$H$3:$BD$3,
      Actuals!$H:$BD
   )
)</f>
        <v>11</v>
      </c>
      <c r="G22" s="168" cm="1">
        <f t="array" ref="G22">_xlfn.XLOOKUP(
   $B$4&amp;" "&amp;$B22,
   Actuals!$D:$D,
   _xlfn.XLOOKUP(
      G$6,
      Actuals!$H$3:$BD$3,
      Actuals!$H:$BD
   )
)</f>
        <v>12</v>
      </c>
      <c r="H22" s="168" cm="1">
        <f t="array" ref="H22">_xlfn.XLOOKUP(
   $B$4&amp;" "&amp;$B22,
   Actuals!$D:$D,
   _xlfn.XLOOKUP(
      H$6,
      Actuals!$H$3:$BD$3,
      Actuals!$H:$BD
   )
)</f>
        <v>12</v>
      </c>
      <c r="I22" s="168" cm="1">
        <f t="array" ref="I22">_xlfn.XLOOKUP(
   $B$4&amp;" "&amp;$B22,
   Actuals!$D:$D,
   _xlfn.XLOOKUP(
      I$6,
      Actuals!$H$3:$BD$3,
      Actuals!$H:$BD
   )
)</f>
        <v>12</v>
      </c>
      <c r="J22" s="168" cm="1">
        <f t="array" ref="J22">_xlfn.XLOOKUP(
   $B$4&amp;" "&amp;$B22,
   Actuals!$D:$D,
   _xlfn.XLOOKUP(
      J$6,
      Actuals!$H$3:$BD$3,
      Actuals!$H:$BD
   )
)</f>
        <v>14</v>
      </c>
      <c r="K22" s="168" cm="1">
        <f t="array" ref="K22">_xlfn.XLOOKUP(
   $B$4&amp;" "&amp;$B22,
   Actuals!$D:$D,
   _xlfn.XLOOKUP(
      K$6,
      Actuals!$H$3:$BD$3,
      Actuals!$H:$BD
   )
)</f>
        <v>17</v>
      </c>
      <c r="L22" s="168" cm="1">
        <f t="array" ref="L22">_xlfn.XLOOKUP(
   $B$4&amp;" "&amp;$B22,
   Actuals!$D:$D,
   _xlfn.XLOOKUP(
      L$6,
      Actuals!$H$3:$BD$3,
      Actuals!$H:$BD
   )
)</f>
        <v>17</v>
      </c>
      <c r="M22" s="168" cm="1">
        <f t="array" ref="M22">_xlfn.XLOOKUP(
   $B$4&amp;" "&amp;$B22,
   Actuals!$D:$D,
   _xlfn.XLOOKUP(
      M$6,
      Actuals!$H$3:$BD$3,
      Actuals!$H:$BD
   )
)</f>
        <v>17</v>
      </c>
      <c r="N22" s="168" cm="1">
        <f t="array" ref="N22">_xlfn.XLOOKUP(
   $B$4&amp;" "&amp;$B22,
   Actuals!$D:$D,
   _xlfn.XLOOKUP(
      N$6,
      Actuals!$H$3:$BD$3,
      Actuals!$H:$BD
   )
)</f>
        <v>19</v>
      </c>
      <c r="O22" s="292" cm="1">
        <f t="array" ref="O22">_xlfn.XLOOKUP(
   $B$4&amp;" "&amp;$B22,
   Actuals!$D:$D,
   _xlfn.XLOOKUP(
      O$6,
      Actuals!$H$3:$BD$3,
      Actuals!$H:$BD
   )
)</f>
        <v>0</v>
      </c>
      <c r="P22" s="292" cm="1">
        <f t="array" ref="P22">_xlfn.XLOOKUP(
   $B$4&amp;" "&amp;$B22,
   Actuals!$D:$D,
   _xlfn.XLOOKUP(
      P$6,
      Actuals!$H$3:$BD$3,
      Actuals!$H:$BD
   )
)</f>
        <v>0</v>
      </c>
      <c r="Q22" s="292" cm="1">
        <f t="array" ref="Q22">_xlfn.XLOOKUP(
   $B$4&amp;" "&amp;$B22,
   Actuals!$D:$D,
   _xlfn.XLOOKUP(
      Q$6,
      Actuals!$H$3:$BD$3,
      Actuals!$H:$BD
   )
)</f>
        <v>0</v>
      </c>
      <c r="R22" s="292" cm="1">
        <f t="array" ref="R22">_xlfn.XLOOKUP(
   $B$4&amp;" "&amp;$B22,
   Actuals!$D:$D,
   _xlfn.XLOOKUP(
      R$6,
      Actuals!$H$3:$BD$3,
      Actuals!$H:$BD
   )
)</f>
        <v>0</v>
      </c>
      <c r="S22" s="292" cm="1">
        <f t="array" ref="S22">_xlfn.XLOOKUP(
   $B$4&amp;" "&amp;$B22,
   Actuals!$D:$D,
   _xlfn.XLOOKUP(
      S$6,
      Actuals!$H$3:$BD$3,
      Actuals!$H:$BD
   )
)</f>
        <v>0</v>
      </c>
      <c r="T22" s="292" cm="1">
        <f t="array" ref="T22">_xlfn.XLOOKUP(
   $B$4&amp;" "&amp;$B22,
   Actuals!$D:$D,
   _xlfn.XLOOKUP(
      T$6,
      Actuals!$H$3:$BD$3,
      Actuals!$H:$BD
   )
)</f>
        <v>0</v>
      </c>
      <c r="U22" s="292" cm="1">
        <f t="array" ref="U22">_xlfn.XLOOKUP(
   $B$4&amp;" "&amp;$B22,
   Actuals!$D:$D,
   _xlfn.XLOOKUP(
      U$6,
      Actuals!$H$3:$BD$3,
      Actuals!$H:$BD
   )
)</f>
        <v>0</v>
      </c>
      <c r="V22" s="292" cm="1">
        <f t="array" ref="V22">_xlfn.XLOOKUP(
   $B$4&amp;" "&amp;$B22,
   Actuals!$D:$D,
   _xlfn.XLOOKUP(
      V$6,
      Actuals!$H$3:$BD$3,
      Actuals!$H:$BD
   )
)</f>
        <v>0</v>
      </c>
      <c r="W22" s="292" cm="1">
        <f t="array" ref="W22">_xlfn.XLOOKUP(
   $B$4&amp;" "&amp;$B22,
   Actuals!$D:$D,
   _xlfn.XLOOKUP(
      W$6,
      Actuals!$H$3:$BD$3,
      Actuals!$H:$BD
   )
)</f>
        <v>0</v>
      </c>
      <c r="X22" s="292" cm="1">
        <f t="array" ref="X22">_xlfn.XLOOKUP(
   $B$4&amp;" "&amp;$B22,
   Actuals!$D:$D,
   _xlfn.XLOOKUP(
      X$6,
      Actuals!$H$3:$BD$3,
      Actuals!$H:$BD
   )
)</f>
        <v>0</v>
      </c>
      <c r="Y22" s="292" cm="1">
        <f t="array" ref="Y22">_xlfn.XLOOKUP(
   $B$4&amp;" "&amp;$B22,
   Actuals!$D:$D,
   _xlfn.XLOOKUP(
      Y$6,
      Actuals!$H$3:$BD$3,
      Actuals!$H:$BD
   )
)</f>
        <v>0</v>
      </c>
      <c r="Z22" s="292" cm="1">
        <f t="array" ref="Z22">_xlfn.XLOOKUP(
   $B$4&amp;" "&amp;$B22,
   Actuals!$D:$D,
   _xlfn.XLOOKUP(
      Z$6,
      Actuals!$H$3:$BD$3,
      Actuals!$H:$BD
   )
)</f>
        <v>0</v>
      </c>
      <c r="AA22" s="292" cm="1">
        <f t="array" ref="AA22">_xlfn.XLOOKUP(
   $B$4&amp;" "&amp;$B22,
   Actuals!$D:$D,
   _xlfn.XLOOKUP(
      AA$6,
      Actuals!$H$3:$BD$3,
      Actuals!$H:$BD
   )
)</f>
        <v>0</v>
      </c>
      <c r="AB22" s="292" cm="1">
        <f t="array" ref="AB22">_xlfn.XLOOKUP(
   $B$4&amp;" "&amp;$B22,
   Actuals!$D:$D,
   _xlfn.XLOOKUP(
      AB$6,
      Actuals!$H$3:$BD$3,
      Actuals!$H:$BD
   )
)</f>
        <v>0</v>
      </c>
      <c r="AC22" s="292" cm="1">
        <f t="array" ref="AC22">_xlfn.XLOOKUP(
   $B$4&amp;" "&amp;$B22,
   Actuals!$D:$D,
   _xlfn.XLOOKUP(
      AC$6,
      Actuals!$H$3:$BD$3,
      Actuals!$H:$BD
   )
)</f>
        <v>23</v>
      </c>
      <c r="AD22" s="292" cm="1">
        <f t="array" ref="AD22">_xlfn.XLOOKUP(
   $B$4&amp;" "&amp;$B22,
   Actuals!$D:$D,
   _xlfn.XLOOKUP(
      AD$6,
      Actuals!$H$3:$BD$3,
      Actuals!$H:$BD
   )
)</f>
        <v>23</v>
      </c>
      <c r="AE22" s="292" cm="1">
        <f t="array" ref="AE22">_xlfn.XLOOKUP(
   $B$4&amp;" "&amp;$B22,
   Actuals!$D:$D,
   _xlfn.XLOOKUP(
      AE$6,
      Actuals!$H$3:$BD$3,
      Actuals!$H:$BD
   )
)</f>
        <v>23</v>
      </c>
      <c r="AF22" s="292" cm="1">
        <f t="array" ref="AF22">_xlfn.XLOOKUP(
   $B$4&amp;" "&amp;$B22,
   Actuals!$D:$D,
   _xlfn.XLOOKUP(
      AF$6,
      Actuals!$H$3:$BD$3,
      Actuals!$H:$BD
   )
)</f>
        <v>23</v>
      </c>
      <c r="AG22" s="292" cm="1">
        <f t="array" ref="AG22">_xlfn.XLOOKUP(
   $B$4&amp;" "&amp;$B22,
   Actuals!$D:$D,
   _xlfn.XLOOKUP(
      AG$6,
      Actuals!$H$3:$BD$3,
      Actuals!$H:$BD
   )
)</f>
        <v>23</v>
      </c>
      <c r="AH22" s="292" cm="1">
        <f t="array" ref="AH22">_xlfn.XLOOKUP(
   $B$4&amp;" "&amp;$B22,
   Actuals!$D:$D,
   _xlfn.XLOOKUP(
      AH$6,
      Actuals!$H$3:$BD$3,
      Actuals!$H:$BD
   )
)</f>
        <v>23</v>
      </c>
      <c r="AI22" s="292" cm="1">
        <f t="array" ref="AI22">_xlfn.XLOOKUP(
   $B$4&amp;" "&amp;$B22,
   Actuals!$D:$D,
   _xlfn.XLOOKUP(
      AI$6,
      Actuals!$H$3:$BD$3,
      Actuals!$H:$BD
   )
)</f>
        <v>23</v>
      </c>
      <c r="AJ22" s="292" cm="1">
        <f t="array" ref="AJ22">_xlfn.XLOOKUP(
   $B$4&amp;" "&amp;$B22,
   Actuals!$D:$D,
   _xlfn.XLOOKUP(
      AJ$6,
      Actuals!$H$3:$BD$3,
      Actuals!$H:$BD
   )
)</f>
        <v>18.5</v>
      </c>
      <c r="AK22" s="292" cm="1">
        <f t="array" ref="AK22">_xlfn.XLOOKUP(
   $B$4&amp;" "&amp;$B22,
   Actuals!$D:$D,
   _xlfn.XLOOKUP(
      AK$6,
      Actuals!$H$3:$BD$3,
      Actuals!$H:$BD
   )
)</f>
        <v>18.5</v>
      </c>
      <c r="AL22" s="292" cm="1">
        <f t="array" ref="AL22">_xlfn.XLOOKUP(
   $B$4&amp;" "&amp;$B22,
   Actuals!$D:$D,
   _xlfn.XLOOKUP(
      AL$6,
      Actuals!$H$3:$BD$3,
      Actuals!$H:$BD
   )
)</f>
        <v>17.5</v>
      </c>
      <c r="AM22" s="292" cm="1">
        <f t="array" ref="AM22">_xlfn.XLOOKUP(
   $B$4&amp;" "&amp;$B22,
   Actuals!$D:$D,
   _xlfn.XLOOKUP(
      AM$6,
      Actuals!$H$3:$BD$3,
      Actuals!$H:$BD
   )
)</f>
        <v>16.5</v>
      </c>
      <c r="AN22" s="292" cm="1">
        <f t="array" ref="AN22">_xlfn.XLOOKUP(
   $B$4&amp;" "&amp;$B22,
   Actuals!$D:$D,
   _xlfn.XLOOKUP(
      AN$6,
      Actuals!$H$3:$BD$3,
      Actuals!$H:$BD
   )
)</f>
        <v>16</v>
      </c>
      <c r="AO22" s="292" cm="1">
        <f t="array" ref="AO22">_xlfn.XLOOKUP(
   $B$4&amp;" "&amp;$B22,
   Actuals!$D:$D,
   _xlfn.XLOOKUP(
      AO$6,
      Actuals!$H$3:$BD$3,
      Actuals!$H:$BD
   )
)</f>
        <v>15</v>
      </c>
      <c r="AP22" s="292" cm="1">
        <f t="array" ref="AP22">_xlfn.XLOOKUP(
   $B$4&amp;" "&amp;$B22,
   Actuals!$D:$D,
   _xlfn.XLOOKUP(
      AP$6,
      Actuals!$H$3:$BD$3,
      Actuals!$H:$BD
   )
)</f>
        <v>15</v>
      </c>
      <c r="AQ22" s="292" cm="1">
        <f t="array" ref="AQ22">_xlfn.XLOOKUP(
   $B$4&amp;" "&amp;$B22,
   Actuals!$D:$D,
   _xlfn.XLOOKUP(
      AQ$6,
      Actuals!$H$3:$BD$3,
      Actuals!$H:$BD
   )
)</f>
        <v>0</v>
      </c>
      <c r="AR22" s="292" cm="1">
        <f t="array" ref="AR22">_xlfn.XLOOKUP(
   $B$4&amp;" "&amp;$B22,
   Actuals!$D:$D,
   _xlfn.XLOOKUP(
      AR$6,
      Actuals!$H$3:$BD$3,
      Actuals!$H:$BD
   )
)</f>
        <v>0</v>
      </c>
      <c r="AS22" s="292" cm="1">
        <f t="array" ref="AS22">_xlfn.XLOOKUP(
   $B$4&amp;" "&amp;$B22,
   Actuals!$D:$D,
   _xlfn.XLOOKUP(
      AS$6,
      Actuals!$H$3:$BD$3,
      Actuals!$H:$BD
   )
)</f>
        <v>0</v>
      </c>
      <c r="AT22" s="292" cm="1">
        <f t="array" ref="AT22">_xlfn.XLOOKUP(
   $B$4&amp;" "&amp;$B22,
   Actuals!$D:$D,
   _xlfn.XLOOKUP(
      AT$6,
      Actuals!$H$3:$BD$3,
      Actuals!$H:$BD
   )
)</f>
        <v>0</v>
      </c>
      <c r="AU22" s="292" cm="1">
        <f t="array" ref="AU22">_xlfn.XLOOKUP(
   $B$4&amp;" "&amp;$B22,
   Actuals!$D:$D,
   _xlfn.XLOOKUP(
      AU$6,
      Actuals!$H$3:$BD$3,
      Actuals!$H:$BD
   )
)</f>
        <v>0</v>
      </c>
      <c r="AV22" s="292" cm="1">
        <f t="array" ref="AV22">_xlfn.XLOOKUP(
   $B$4&amp;" "&amp;$B22,
   Actuals!$D:$D,
   _xlfn.XLOOKUP(
      AV$6,
      Actuals!$H$3:$BD$3,
      Actuals!$H:$BD
   )
)</f>
        <v>0</v>
      </c>
      <c r="AW22" s="292" cm="1">
        <f t="array" ref="AW22">_xlfn.XLOOKUP(
   $B$4&amp;" "&amp;$B22,
   Actuals!$D:$D,
   _xlfn.XLOOKUP(
      AW$6,
      Actuals!$H$3:$BD$3,
      Actuals!$H:$BD
   )
)</f>
        <v>0</v>
      </c>
      <c r="AX22" s="292" cm="1">
        <f t="array" ref="AX22">_xlfn.XLOOKUP(
   $B$4&amp;" "&amp;$B22,
   Actuals!$D:$D,
   _xlfn.XLOOKUP(
      AX$6,
      Actuals!$H$3:$BD$3,
      Actuals!$H:$BD
   )
)</f>
        <v>0</v>
      </c>
      <c r="AY22" s="292" cm="1">
        <f t="array" ref="AY22">_xlfn.XLOOKUP(
   $B$4&amp;" "&amp;$B22,
   Actuals!$D:$D,
   _xlfn.XLOOKUP(
      AY$6,
      Actuals!$H$3:$BD$3,
      Actuals!$H:$BD
   )
)</f>
        <v>0</v>
      </c>
      <c r="AZ22" s="292" cm="1">
        <f t="array" ref="AZ22">_xlfn.XLOOKUP(
   $B$4&amp;" "&amp;$B22,
   Actuals!$D:$D,
   _xlfn.XLOOKUP(
      AZ$6,
      Actuals!$H$3:$BD$3,
      Actuals!$H:$BD
   )
)</f>
        <v>0</v>
      </c>
      <c r="BA22" s="292"/>
      <c r="BB22" s="292" cm="1">
        <f t="array" ref="BB22">_xlfn.XLOOKUP(
   $B$4&amp;" "&amp;$B22,
   Actuals!$D:$D,
   _xlfn.XLOOKUP(
      BB$7,
      Actuals!$H$3:$BM$3,
      Actuals!$H:$BM
   )
)</f>
        <v>0</v>
      </c>
      <c r="BC22" s="292">
        <f>VLOOKUP($B$4&amp;" "&amp;$B22,Budget!$AG$4:$AL$132,$BB$5+1,FALSE)</f>
        <v>0</v>
      </c>
      <c r="BD22" s="292">
        <f>BB22-BC22</f>
        <v>0</v>
      </c>
      <c r="BE22" s="292"/>
      <c r="BF22" s="292" cm="1">
        <f t="array" ref="BF22">_xlfn.XLOOKUP(
   $B$4&amp;" "&amp;$B22,
   Actuals!$D:$D,
   _xlfn.XLOOKUP(
      BF$7,
      Actuals!$H$3:$BM$3,
      Actuals!$H:$BM
   )
)</f>
        <v>0</v>
      </c>
      <c r="BG22" s="292">
        <f>VLOOKUP($B$4&amp;" "&amp;$B22,Budget!$AG$4:$AL$132,BF$5+1,FALSE)</f>
        <v>25</v>
      </c>
      <c r="BH22" s="292">
        <f>BF22-BG22</f>
        <v>-25</v>
      </c>
      <c r="BI22" s="292"/>
      <c r="BJ22" s="292" cm="1">
        <f t="array" ref="BJ22">_xlfn.XLOOKUP(
   $B$4&amp;" "&amp;$B22,
   Actuals!$D:$D,
   _xlfn.XLOOKUP(
      BJ$7,
      Actuals!$H$3:$BM$3,
      Actuals!$H:$BM
   )
)</f>
        <v>0</v>
      </c>
      <c r="BK22" s="292">
        <f>VLOOKUP($B$4&amp;" "&amp;$B22,Budget!$AG$4:$AL$132,BJ$5+1,FALSE)</f>
        <v>25</v>
      </c>
      <c r="BL22" s="292">
        <f>BJ22-BK22</f>
        <v>-25</v>
      </c>
      <c r="BM22" s="292"/>
      <c r="BN22" s="292" cm="1">
        <f t="array" ref="BN22">_xlfn.XLOOKUP(
   $B$4&amp;" "&amp;$B22,
   Actuals!$D:$D,
   _xlfn.XLOOKUP(
      BN$7,
      Actuals!$H$3:$BM$3,
      Actuals!$H:$BM
   )
)</f>
        <v>0</v>
      </c>
      <c r="BO22" s="292">
        <f>VLOOKUP($B$4&amp;" "&amp;$B22,Budget!$AG$4:$AL$132,BN$5+1,FALSE)</f>
        <v>25</v>
      </c>
      <c r="BP22" s="292"/>
      <c r="BQ22" s="292"/>
      <c r="BR22" s="292" cm="1">
        <f t="array" aca="1" ref="BR22" ca="1">_xlfn.XLOOKUP(
   $B$4&amp;" "&amp;$B22,
   Actuals!$D:$D,
   _xlfn.XLOOKUP(
      BR$6,
      Actuals!$H$3:$BM$3,
      Actuals!$H:$BM
   )
)</f>
        <v>0</v>
      </c>
      <c r="BS22" s="292">
        <f ca="1">VLOOKUP($B$4&amp;" "&amp;$B22,Budget!$AG$4:$AL$132,6,FALSE)</f>
        <v>25</v>
      </c>
      <c r="BT22" s="292">
        <f t="shared" ref="BT22:BT27" ca="1" si="26">IFERROR(BR22-BS22,"-")</f>
        <v>-25</v>
      </c>
      <c r="BU22" s="292"/>
      <c r="BV22" s="292" cm="1">
        <f t="array" ref="BV22">_xlfn.XLOOKUP(
   $B$4&amp;" "&amp;$B22,
   Actuals!$D:$D,
   _xlfn.XLOOKUP(
      BV$6,
      Actuals!$H$3:$BM$3,
      Actuals!$H:$BM
   )
)</f>
        <v>15</v>
      </c>
    </row>
    <row r="23" spans="2:74">
      <c r="B23" s="26" t="s">
        <v>59</v>
      </c>
      <c r="C23" s="139" t="s">
        <v>47</v>
      </c>
      <c r="D23" s="171" t="str">
        <f>VLOOKUP($B$4&amp;" "&amp;$B23,Actuals!$D$4:$AG$131,3,FALSE)</f>
        <v>#</v>
      </c>
      <c r="E23" s="168" cm="1">
        <f t="array" ref="E23">_xlfn.XLOOKUP(
   $B$4&amp;" "&amp;$B23,
   Actuals!$D:$D,
   _xlfn.XLOOKUP(
      E$6,
      Actuals!$H$3:$BD$3,
      Actuals!$H:$BD
   )
)</f>
        <v>7</v>
      </c>
      <c r="F23" s="168" cm="1">
        <f t="array" ref="F23">_xlfn.XLOOKUP(
   $B$4&amp;" "&amp;$B23,
   Actuals!$D:$D,
   _xlfn.XLOOKUP(
      F$6,
      Actuals!$H$3:$BD$3,
      Actuals!$H:$BD
   )
)</f>
        <v>6</v>
      </c>
      <c r="G23" s="168" cm="1">
        <f t="array" ref="G23">_xlfn.XLOOKUP(
   $B$4&amp;" "&amp;$B23,
   Actuals!$D:$D,
   _xlfn.XLOOKUP(
      G$6,
      Actuals!$H$3:$BD$3,
      Actuals!$H:$BD
   )
)</f>
        <v>7</v>
      </c>
      <c r="H23" s="168" cm="1">
        <f t="array" ref="H23">_xlfn.XLOOKUP(
   $B$4&amp;" "&amp;$B23,
   Actuals!$D:$D,
   _xlfn.XLOOKUP(
      H$6,
      Actuals!$H$3:$BD$3,
      Actuals!$H:$BD
   )
)</f>
        <v>7</v>
      </c>
      <c r="I23" s="168" cm="1">
        <f t="array" ref="I23">_xlfn.XLOOKUP(
   $B$4&amp;" "&amp;$B23,
   Actuals!$D:$D,
   _xlfn.XLOOKUP(
      I$6,
      Actuals!$H$3:$BD$3,
      Actuals!$H:$BD
   )
)</f>
        <v>7</v>
      </c>
      <c r="J23" s="168" cm="1">
        <f t="array" ref="J23">_xlfn.XLOOKUP(
   $B$4&amp;" "&amp;$B23,
   Actuals!$D:$D,
   _xlfn.XLOOKUP(
      J$6,
      Actuals!$H$3:$BD$3,
      Actuals!$H:$BD
   )
)</f>
        <v>7</v>
      </c>
      <c r="K23" s="168" cm="1">
        <f t="array" ref="K23">_xlfn.XLOOKUP(
   $B$4&amp;" "&amp;$B23,
   Actuals!$D:$D,
   _xlfn.XLOOKUP(
      K$6,
      Actuals!$H$3:$BD$3,
      Actuals!$H:$BD
   )
)</f>
        <v>8</v>
      </c>
      <c r="L23" s="168" cm="1">
        <f t="array" ref="L23">_xlfn.XLOOKUP(
   $B$4&amp;" "&amp;$B23,
   Actuals!$D:$D,
   _xlfn.XLOOKUP(
      L$6,
      Actuals!$H$3:$BD$3,
      Actuals!$H:$BD
   )
)</f>
        <v>8</v>
      </c>
      <c r="M23" s="168" cm="1">
        <f t="array" ref="M23">_xlfn.XLOOKUP(
   $B$4&amp;" "&amp;$B23,
   Actuals!$D:$D,
   _xlfn.XLOOKUP(
      M$6,
      Actuals!$H$3:$BD$3,
      Actuals!$H:$BD
   )
)</f>
        <v>8</v>
      </c>
      <c r="N23" s="168" cm="1">
        <f t="array" ref="N23">_xlfn.XLOOKUP(
   $B$4&amp;" "&amp;$B23,
   Actuals!$D:$D,
   _xlfn.XLOOKUP(
      N$6,
      Actuals!$H$3:$BD$3,
      Actuals!$H:$BD
   )
)</f>
        <v>8</v>
      </c>
      <c r="O23" s="292" cm="1">
        <f t="array" ref="O23">_xlfn.XLOOKUP(
   $B$4&amp;" "&amp;$B23,
   Actuals!$D:$D,
   _xlfn.XLOOKUP(
      O$6,
      Actuals!$H$3:$BD$3,
      Actuals!$H:$BD
   )
)</f>
        <v>0</v>
      </c>
      <c r="P23" s="292" cm="1">
        <f t="array" ref="P23">_xlfn.XLOOKUP(
   $B$4&amp;" "&amp;$B23,
   Actuals!$D:$D,
   _xlfn.XLOOKUP(
      P$6,
      Actuals!$H$3:$BD$3,
      Actuals!$H:$BD
   )
)</f>
        <v>0</v>
      </c>
      <c r="Q23" s="292" cm="1">
        <f t="array" ref="Q23">_xlfn.XLOOKUP(
   $B$4&amp;" "&amp;$B23,
   Actuals!$D:$D,
   _xlfn.XLOOKUP(
      Q$6,
      Actuals!$H$3:$BD$3,
      Actuals!$H:$BD
   )
)</f>
        <v>0</v>
      </c>
      <c r="R23" s="292" cm="1">
        <f t="array" ref="R23">_xlfn.XLOOKUP(
   $B$4&amp;" "&amp;$B23,
   Actuals!$D:$D,
   _xlfn.XLOOKUP(
      R$6,
      Actuals!$H$3:$BD$3,
      Actuals!$H:$BD
   )
)</f>
        <v>0</v>
      </c>
      <c r="S23" s="292" cm="1">
        <f t="array" ref="S23">_xlfn.XLOOKUP(
   $B$4&amp;" "&amp;$B23,
   Actuals!$D:$D,
   _xlfn.XLOOKUP(
      S$6,
      Actuals!$H$3:$BD$3,
      Actuals!$H:$BD
   )
)</f>
        <v>0</v>
      </c>
      <c r="T23" s="292" cm="1">
        <f t="array" ref="T23">_xlfn.XLOOKUP(
   $B$4&amp;" "&amp;$B23,
   Actuals!$D:$D,
   _xlfn.XLOOKUP(
      T$6,
      Actuals!$H$3:$BD$3,
      Actuals!$H:$BD
   )
)</f>
        <v>0</v>
      </c>
      <c r="U23" s="292" cm="1">
        <f t="array" ref="U23">_xlfn.XLOOKUP(
   $B$4&amp;" "&amp;$B23,
   Actuals!$D:$D,
   _xlfn.XLOOKUP(
      U$6,
      Actuals!$H$3:$BD$3,
      Actuals!$H:$BD
   )
)</f>
        <v>0</v>
      </c>
      <c r="V23" s="292" cm="1">
        <f t="array" ref="V23">_xlfn.XLOOKUP(
   $B$4&amp;" "&amp;$B23,
   Actuals!$D:$D,
   _xlfn.XLOOKUP(
      V$6,
      Actuals!$H$3:$BD$3,
      Actuals!$H:$BD
   )
)</f>
        <v>0</v>
      </c>
      <c r="W23" s="292" cm="1">
        <f t="array" ref="W23">_xlfn.XLOOKUP(
   $B$4&amp;" "&amp;$B23,
   Actuals!$D:$D,
   _xlfn.XLOOKUP(
      W$6,
      Actuals!$H$3:$BD$3,
      Actuals!$H:$BD
   )
)</f>
        <v>0</v>
      </c>
      <c r="X23" s="292" cm="1">
        <f t="array" ref="X23">_xlfn.XLOOKUP(
   $B$4&amp;" "&amp;$B23,
   Actuals!$D:$D,
   _xlfn.XLOOKUP(
      X$6,
      Actuals!$H$3:$BD$3,
      Actuals!$H:$BD
   )
)</f>
        <v>0</v>
      </c>
      <c r="Y23" s="292" cm="1">
        <f t="array" ref="Y23">_xlfn.XLOOKUP(
   $B$4&amp;" "&amp;$B23,
   Actuals!$D:$D,
   _xlfn.XLOOKUP(
      Y$6,
      Actuals!$H$3:$BD$3,
      Actuals!$H:$BD
   )
)</f>
        <v>0</v>
      </c>
      <c r="Z23" s="292" cm="1">
        <f t="array" ref="Z23">_xlfn.XLOOKUP(
   $B$4&amp;" "&amp;$B23,
   Actuals!$D:$D,
   _xlfn.XLOOKUP(
      Z$6,
      Actuals!$H$3:$BD$3,
      Actuals!$H:$BD
   )
)</f>
        <v>0</v>
      </c>
      <c r="AA23" s="292" cm="1">
        <f t="array" ref="AA23">_xlfn.XLOOKUP(
   $B$4&amp;" "&amp;$B23,
   Actuals!$D:$D,
   _xlfn.XLOOKUP(
      AA$6,
      Actuals!$H$3:$BD$3,
      Actuals!$H:$BD
   )
)</f>
        <v>0</v>
      </c>
      <c r="AB23" s="292" cm="1">
        <f t="array" ref="AB23">_xlfn.XLOOKUP(
   $B$4&amp;" "&amp;$B23,
   Actuals!$D:$D,
   _xlfn.XLOOKUP(
      AB$6,
      Actuals!$H$3:$BD$3,
      Actuals!$H:$BD
   )
)</f>
        <v>0</v>
      </c>
      <c r="AC23" s="292" cm="1">
        <f t="array" ref="AC23">_xlfn.XLOOKUP(
   $B$4&amp;" "&amp;$B23,
   Actuals!$D:$D,
   _xlfn.XLOOKUP(
      AC$6,
      Actuals!$H$3:$BD$3,
      Actuals!$H:$BD
   )
)</f>
        <v>7</v>
      </c>
      <c r="AD23" s="292" cm="1">
        <f t="array" ref="AD23">_xlfn.XLOOKUP(
   $B$4&amp;" "&amp;$B23,
   Actuals!$D:$D,
   _xlfn.XLOOKUP(
      AD$6,
      Actuals!$H$3:$BD$3,
      Actuals!$H:$BD
   )
)</f>
        <v>7</v>
      </c>
      <c r="AE23" s="292" cm="1">
        <f t="array" ref="AE23">_xlfn.XLOOKUP(
   $B$4&amp;" "&amp;$B23,
   Actuals!$D:$D,
   _xlfn.XLOOKUP(
      AE$6,
      Actuals!$H$3:$BD$3,
      Actuals!$H:$BD
   )
)</f>
        <v>7</v>
      </c>
      <c r="AF23" s="292" cm="1">
        <f t="array" ref="AF23">_xlfn.XLOOKUP(
   $B$4&amp;" "&amp;$B23,
   Actuals!$D:$D,
   _xlfn.XLOOKUP(
      AF$6,
      Actuals!$H$3:$BD$3,
      Actuals!$H:$BD
   )
)</f>
        <v>7</v>
      </c>
      <c r="AG23" s="292" cm="1">
        <f t="array" ref="AG23">_xlfn.XLOOKUP(
   $B$4&amp;" "&amp;$B23,
   Actuals!$D:$D,
   _xlfn.XLOOKUP(
      AG$6,
      Actuals!$H$3:$BD$3,
      Actuals!$H:$BD
   )
)</f>
        <v>7</v>
      </c>
      <c r="AH23" s="292" cm="1">
        <f t="array" ref="AH23">_xlfn.XLOOKUP(
   $B$4&amp;" "&amp;$B23,
   Actuals!$D:$D,
   _xlfn.XLOOKUP(
      AH$6,
      Actuals!$H$3:$BD$3,
      Actuals!$H:$BD
   )
)</f>
        <v>7</v>
      </c>
      <c r="AI23" s="292" cm="1">
        <f t="array" ref="AI23">_xlfn.XLOOKUP(
   $B$4&amp;" "&amp;$B23,
   Actuals!$D:$D,
   _xlfn.XLOOKUP(
      AI$6,
      Actuals!$H$3:$BD$3,
      Actuals!$H:$BD
   )
)</f>
        <v>7</v>
      </c>
      <c r="AJ23" s="292" cm="1">
        <f t="array" ref="AJ23">_xlfn.XLOOKUP(
   $B$4&amp;" "&amp;$B23,
   Actuals!$D:$D,
   _xlfn.XLOOKUP(
      AJ$6,
      Actuals!$H$3:$BD$3,
      Actuals!$H:$BD
   )
)</f>
        <v>4</v>
      </c>
      <c r="AK23" s="292" cm="1">
        <f t="array" ref="AK23">_xlfn.XLOOKUP(
   $B$4&amp;" "&amp;$B23,
   Actuals!$D:$D,
   _xlfn.XLOOKUP(
      AK$6,
      Actuals!$H$3:$BD$3,
      Actuals!$H:$BD
   )
)</f>
        <v>4</v>
      </c>
      <c r="AL23" s="292" cm="1">
        <f t="array" ref="AL23">_xlfn.XLOOKUP(
   $B$4&amp;" "&amp;$B23,
   Actuals!$D:$D,
   _xlfn.XLOOKUP(
      AL$6,
      Actuals!$H$3:$BD$3,
      Actuals!$H:$BD
   )
)</f>
        <v>4</v>
      </c>
      <c r="AM23" s="292" cm="1">
        <f t="array" ref="AM23">_xlfn.XLOOKUP(
   $B$4&amp;" "&amp;$B23,
   Actuals!$D:$D,
   _xlfn.XLOOKUP(
      AM$6,
      Actuals!$H$3:$BD$3,
      Actuals!$H:$BD
   )
)</f>
        <v>3</v>
      </c>
      <c r="AN23" s="292" cm="1">
        <f t="array" ref="AN23">_xlfn.XLOOKUP(
   $B$4&amp;" "&amp;$B23,
   Actuals!$D:$D,
   _xlfn.XLOOKUP(
      AN$6,
      Actuals!$H$3:$BD$3,
      Actuals!$H:$BD
   )
)</f>
        <v>3</v>
      </c>
      <c r="AO23" s="292" cm="1">
        <f t="array" ref="AO23">_xlfn.XLOOKUP(
   $B$4&amp;" "&amp;$B23,
   Actuals!$D:$D,
   _xlfn.XLOOKUP(
      AO$6,
      Actuals!$H$3:$BD$3,
      Actuals!$H:$BD
   )
)</f>
        <v>3</v>
      </c>
      <c r="AP23" s="292" cm="1">
        <f t="array" ref="AP23">_xlfn.XLOOKUP(
   $B$4&amp;" "&amp;$B23,
   Actuals!$D:$D,
   _xlfn.XLOOKUP(
      AP$6,
      Actuals!$H$3:$BD$3,
      Actuals!$H:$BD
   )
)</f>
        <v>3</v>
      </c>
      <c r="AQ23" s="292" cm="1">
        <f t="array" ref="AQ23">_xlfn.XLOOKUP(
   $B$4&amp;" "&amp;$B23,
   Actuals!$D:$D,
   _xlfn.XLOOKUP(
      AQ$6,
      Actuals!$H$3:$BD$3,
      Actuals!$H:$BD
   )
)</f>
        <v>0</v>
      </c>
      <c r="AR23" s="292" cm="1">
        <f t="array" ref="AR23">_xlfn.XLOOKUP(
   $B$4&amp;" "&amp;$B23,
   Actuals!$D:$D,
   _xlfn.XLOOKUP(
      AR$6,
      Actuals!$H$3:$BD$3,
      Actuals!$H:$BD
   )
)</f>
        <v>0</v>
      </c>
      <c r="AS23" s="292" cm="1">
        <f t="array" ref="AS23">_xlfn.XLOOKUP(
   $B$4&amp;" "&amp;$B23,
   Actuals!$D:$D,
   _xlfn.XLOOKUP(
      AS$6,
      Actuals!$H$3:$BD$3,
      Actuals!$H:$BD
   )
)</f>
        <v>0</v>
      </c>
      <c r="AT23" s="292" cm="1">
        <f t="array" ref="AT23">_xlfn.XLOOKUP(
   $B$4&amp;" "&amp;$B23,
   Actuals!$D:$D,
   _xlfn.XLOOKUP(
      AT$6,
      Actuals!$H$3:$BD$3,
      Actuals!$H:$BD
   )
)</f>
        <v>0</v>
      </c>
      <c r="AU23" s="292" cm="1">
        <f t="array" ref="AU23">_xlfn.XLOOKUP(
   $B$4&amp;" "&amp;$B23,
   Actuals!$D:$D,
   _xlfn.XLOOKUP(
      AU$6,
      Actuals!$H$3:$BD$3,
      Actuals!$H:$BD
   )
)</f>
        <v>0</v>
      </c>
      <c r="AV23" s="292" cm="1">
        <f t="array" ref="AV23">_xlfn.XLOOKUP(
   $B$4&amp;" "&amp;$B23,
   Actuals!$D:$D,
   _xlfn.XLOOKUP(
      AV$6,
      Actuals!$H$3:$BD$3,
      Actuals!$H:$BD
   )
)</f>
        <v>0</v>
      </c>
      <c r="AW23" s="292" cm="1">
        <f t="array" ref="AW23">_xlfn.XLOOKUP(
   $B$4&amp;" "&amp;$B23,
   Actuals!$D:$D,
   _xlfn.XLOOKUP(
      AW$6,
      Actuals!$H$3:$BD$3,
      Actuals!$H:$BD
   )
)</f>
        <v>0</v>
      </c>
      <c r="AX23" s="292" cm="1">
        <f t="array" ref="AX23">_xlfn.XLOOKUP(
   $B$4&amp;" "&amp;$B23,
   Actuals!$D:$D,
   _xlfn.XLOOKUP(
      AX$6,
      Actuals!$H$3:$BD$3,
      Actuals!$H:$BD
   )
)</f>
        <v>0</v>
      </c>
      <c r="AY23" s="292" cm="1">
        <f t="array" ref="AY23">_xlfn.XLOOKUP(
   $B$4&amp;" "&amp;$B23,
   Actuals!$D:$D,
   _xlfn.XLOOKUP(
      AY$6,
      Actuals!$H$3:$BD$3,
      Actuals!$H:$BD
   )
)</f>
        <v>0</v>
      </c>
      <c r="AZ23" s="292" cm="1">
        <f t="array" ref="AZ23">_xlfn.XLOOKUP(
   $B$4&amp;" "&amp;$B23,
   Actuals!$D:$D,
   _xlfn.XLOOKUP(
      AZ$6,
      Actuals!$H$3:$BD$3,
      Actuals!$H:$BD
   )
)</f>
        <v>0</v>
      </c>
      <c r="BA23" s="292"/>
      <c r="BB23" s="292" cm="1">
        <f t="array" ref="BB23">_xlfn.XLOOKUP(
   $B$4&amp;" "&amp;$B23,
   Actuals!$D:$D,
   _xlfn.XLOOKUP(
      BB$7,
      Actuals!$H$3:$BM$3,
      Actuals!$H:$BM
   )
)</f>
        <v>0</v>
      </c>
      <c r="BC23" s="292">
        <f>VLOOKUP($B$4&amp;" "&amp;$B23,Budget!$AG$4:$AL$132,$BB$5+1,FALSE)</f>
        <v>0</v>
      </c>
      <c r="BD23" s="292">
        <f t="shared" ref="BD23:BD25" si="27">BB23-BC23</f>
        <v>0</v>
      </c>
      <c r="BE23" s="292"/>
      <c r="BF23" s="292" cm="1">
        <f t="array" ref="BF23">_xlfn.XLOOKUP(
   $B$4&amp;" "&amp;$B23,
   Actuals!$D:$D,
   _xlfn.XLOOKUP(
      BF$7,
      Actuals!$H$3:$BM$3,
      Actuals!$H:$BM
   )
)</f>
        <v>0</v>
      </c>
      <c r="BG23" s="292">
        <f>VLOOKUP($B$4&amp;" "&amp;$B23,Budget!$AG$4:$AL$132,BF$5+1,FALSE)</f>
        <v>12</v>
      </c>
      <c r="BH23" s="292">
        <f t="shared" ref="BH23:BH25" si="28">BF23-BG23</f>
        <v>-12</v>
      </c>
      <c r="BI23" s="292"/>
      <c r="BJ23" s="292" cm="1">
        <f t="array" ref="BJ23">_xlfn.XLOOKUP(
   $B$4&amp;" "&amp;$B23,
   Actuals!$D:$D,
   _xlfn.XLOOKUP(
      BJ$7,
      Actuals!$H$3:$BM$3,
      Actuals!$H:$BM
   )
)</f>
        <v>0</v>
      </c>
      <c r="BK23" s="292">
        <f>VLOOKUP($B$4&amp;" "&amp;$B23,Budget!$AG$4:$AL$132,BJ$5+1,FALSE)</f>
        <v>12</v>
      </c>
      <c r="BL23" s="292">
        <f t="shared" ref="BL23:BL25" si="29">BJ23-BK23</f>
        <v>-12</v>
      </c>
      <c r="BM23" s="292"/>
      <c r="BN23" s="292" cm="1">
        <f t="array" ref="BN23">_xlfn.XLOOKUP(
   $B$4&amp;" "&amp;$B23,
   Actuals!$D:$D,
   _xlfn.XLOOKUP(
      BN$7,
      Actuals!$H$3:$BM$3,
      Actuals!$H:$BM
   )
)</f>
        <v>0</v>
      </c>
      <c r="BO23" s="292">
        <f>VLOOKUP($B$4&amp;" "&amp;$B23,Budget!$AG$4:$AL$132,BN$5+1,FALSE)</f>
        <v>12</v>
      </c>
      <c r="BP23" s="292"/>
      <c r="BQ23" s="292"/>
      <c r="BR23" s="292" cm="1">
        <f t="array" aca="1" ref="BR23" ca="1">_xlfn.XLOOKUP(
   $B$4&amp;" "&amp;$B23,
   Actuals!$D:$D,
   _xlfn.XLOOKUP(
      BR$6,
      Actuals!$H$3:$BM$3,
      Actuals!$H:$BM
   )
)</f>
        <v>0</v>
      </c>
      <c r="BS23" s="292">
        <f ca="1">VLOOKUP($B$4&amp;" "&amp;$B23,Budget!$AG$4:$AL$132,6,FALSE)</f>
        <v>12</v>
      </c>
      <c r="BT23" s="292">
        <f t="shared" ca="1" si="26"/>
        <v>-12</v>
      </c>
      <c r="BU23" s="292"/>
      <c r="BV23" s="292" cm="1">
        <f t="array" ref="BV23">_xlfn.XLOOKUP(
   $B$4&amp;" "&amp;$B23,
   Actuals!$D:$D,
   _xlfn.XLOOKUP(
      BV$6,
      Actuals!$H$3:$BM$3,
      Actuals!$H:$BM
   )
)</f>
        <v>3</v>
      </c>
    </row>
    <row r="24" spans="2:74">
      <c r="B24" s="26" t="s">
        <v>60</v>
      </c>
      <c r="C24" s="139" t="s">
        <v>47</v>
      </c>
      <c r="D24" s="171" t="str">
        <f>VLOOKUP($B$4&amp;" "&amp;$B24,Actuals!$D$4:$AG$131,3,FALSE)</f>
        <v>#</v>
      </c>
      <c r="E24" s="168" cm="1">
        <f t="array" ref="E24">_xlfn.XLOOKUP(
   $B$4&amp;" "&amp;$B24,
   Actuals!$D:$D,
   _xlfn.XLOOKUP(
      E$6,
      Actuals!$H$3:$BD$3,
      Actuals!$H:$BD
   )
)</f>
        <v>3</v>
      </c>
      <c r="F24" s="168" cm="1">
        <f t="array" ref="F24">_xlfn.XLOOKUP(
   $B$4&amp;" "&amp;$B24,
   Actuals!$D:$D,
   _xlfn.XLOOKUP(
      F$6,
      Actuals!$H$3:$BD$3,
      Actuals!$H:$BD
   )
)</f>
        <v>5</v>
      </c>
      <c r="G24" s="168" cm="1">
        <f t="array" ref="G24">_xlfn.XLOOKUP(
   $B$4&amp;" "&amp;$B24,
   Actuals!$D:$D,
   _xlfn.XLOOKUP(
      G$6,
      Actuals!$H$3:$BD$3,
      Actuals!$H:$BD
   )
)</f>
        <v>5</v>
      </c>
      <c r="H24" s="168" cm="1">
        <f t="array" ref="H24">_xlfn.XLOOKUP(
   $B$4&amp;" "&amp;$B24,
   Actuals!$D:$D,
   _xlfn.XLOOKUP(
      H$6,
      Actuals!$H$3:$BD$3,
      Actuals!$H:$BD
   )
)</f>
        <v>5</v>
      </c>
      <c r="I24" s="168" cm="1">
        <f t="array" ref="I24">_xlfn.XLOOKUP(
   $B$4&amp;" "&amp;$B24,
   Actuals!$D:$D,
   _xlfn.XLOOKUP(
      I$6,
      Actuals!$H$3:$BD$3,
      Actuals!$H:$BD
   )
)</f>
        <v>5</v>
      </c>
      <c r="J24" s="168" cm="1">
        <f t="array" ref="J24">_xlfn.XLOOKUP(
   $B$4&amp;" "&amp;$B24,
   Actuals!$D:$D,
   _xlfn.XLOOKUP(
      J$6,
      Actuals!$H$3:$BD$3,
      Actuals!$H:$BD
   )
)</f>
        <v>7</v>
      </c>
      <c r="K24" s="168" cm="1">
        <f t="array" ref="K24">_xlfn.XLOOKUP(
   $B$4&amp;" "&amp;$B24,
   Actuals!$D:$D,
   _xlfn.XLOOKUP(
      K$6,
      Actuals!$H$3:$BD$3,
      Actuals!$H:$BD
   )
)</f>
        <v>9</v>
      </c>
      <c r="L24" s="168" cm="1">
        <f t="array" ref="L24">_xlfn.XLOOKUP(
   $B$4&amp;" "&amp;$B24,
   Actuals!$D:$D,
   _xlfn.XLOOKUP(
      L$6,
      Actuals!$H$3:$BD$3,
      Actuals!$H:$BD
   )
)</f>
        <v>9</v>
      </c>
      <c r="M24" s="168" cm="1">
        <f t="array" ref="M24">_xlfn.XLOOKUP(
   $B$4&amp;" "&amp;$B24,
   Actuals!$D:$D,
   _xlfn.XLOOKUP(
      M$6,
      Actuals!$H$3:$BD$3,
      Actuals!$H:$BD
   )
)</f>
        <v>9</v>
      </c>
      <c r="N24" s="168" cm="1">
        <f t="array" ref="N24">_xlfn.XLOOKUP(
   $B$4&amp;" "&amp;$B24,
   Actuals!$D:$D,
   _xlfn.XLOOKUP(
      N$6,
      Actuals!$H$3:$BD$3,
      Actuals!$H:$BD
   )
)</f>
        <v>11</v>
      </c>
      <c r="O24" s="292" cm="1">
        <f t="array" ref="O24">_xlfn.XLOOKUP(
   $B$4&amp;" "&amp;$B24,
   Actuals!$D:$D,
   _xlfn.XLOOKUP(
      O$6,
      Actuals!$H$3:$BD$3,
      Actuals!$H:$BD
   )
)</f>
        <v>0</v>
      </c>
      <c r="P24" s="292" cm="1">
        <f t="array" ref="P24">_xlfn.XLOOKUP(
   $B$4&amp;" "&amp;$B24,
   Actuals!$D:$D,
   _xlfn.XLOOKUP(
      P$6,
      Actuals!$H$3:$BD$3,
      Actuals!$H:$BD
   )
)</f>
        <v>0</v>
      </c>
      <c r="Q24" s="292" cm="1">
        <f t="array" ref="Q24">_xlfn.XLOOKUP(
   $B$4&amp;" "&amp;$B24,
   Actuals!$D:$D,
   _xlfn.XLOOKUP(
      Q$6,
      Actuals!$H$3:$BD$3,
      Actuals!$H:$BD
   )
)</f>
        <v>0</v>
      </c>
      <c r="R24" s="292" cm="1">
        <f t="array" ref="R24">_xlfn.XLOOKUP(
   $B$4&amp;" "&amp;$B24,
   Actuals!$D:$D,
   _xlfn.XLOOKUP(
      R$6,
      Actuals!$H$3:$BD$3,
      Actuals!$H:$BD
   )
)</f>
        <v>0</v>
      </c>
      <c r="S24" s="292" cm="1">
        <f t="array" ref="S24">_xlfn.XLOOKUP(
   $B$4&amp;" "&amp;$B24,
   Actuals!$D:$D,
   _xlfn.XLOOKUP(
      S$6,
      Actuals!$H$3:$BD$3,
      Actuals!$H:$BD
   )
)</f>
        <v>0</v>
      </c>
      <c r="T24" s="292" cm="1">
        <f t="array" ref="T24">_xlfn.XLOOKUP(
   $B$4&amp;" "&amp;$B24,
   Actuals!$D:$D,
   _xlfn.XLOOKUP(
      T$6,
      Actuals!$H$3:$BD$3,
      Actuals!$H:$BD
   )
)</f>
        <v>0</v>
      </c>
      <c r="U24" s="292" cm="1">
        <f t="array" ref="U24">_xlfn.XLOOKUP(
   $B$4&amp;" "&amp;$B24,
   Actuals!$D:$D,
   _xlfn.XLOOKUP(
      U$6,
      Actuals!$H$3:$BD$3,
      Actuals!$H:$BD
   )
)</f>
        <v>0</v>
      </c>
      <c r="V24" s="292" cm="1">
        <f t="array" ref="V24">_xlfn.XLOOKUP(
   $B$4&amp;" "&amp;$B24,
   Actuals!$D:$D,
   _xlfn.XLOOKUP(
      V$6,
      Actuals!$H$3:$BD$3,
      Actuals!$H:$BD
   )
)</f>
        <v>0</v>
      </c>
      <c r="W24" s="292" cm="1">
        <f t="array" ref="W24">_xlfn.XLOOKUP(
   $B$4&amp;" "&amp;$B24,
   Actuals!$D:$D,
   _xlfn.XLOOKUP(
      W$6,
      Actuals!$H$3:$BD$3,
      Actuals!$H:$BD
   )
)</f>
        <v>0</v>
      </c>
      <c r="X24" s="292" cm="1">
        <f t="array" ref="X24">_xlfn.XLOOKUP(
   $B$4&amp;" "&amp;$B24,
   Actuals!$D:$D,
   _xlfn.XLOOKUP(
      X$6,
      Actuals!$H$3:$BD$3,
      Actuals!$H:$BD
   )
)</f>
        <v>0</v>
      </c>
      <c r="Y24" s="292" cm="1">
        <f t="array" ref="Y24">_xlfn.XLOOKUP(
   $B$4&amp;" "&amp;$B24,
   Actuals!$D:$D,
   _xlfn.XLOOKUP(
      Y$6,
      Actuals!$H$3:$BD$3,
      Actuals!$H:$BD
   )
)</f>
        <v>0</v>
      </c>
      <c r="Z24" s="292" cm="1">
        <f t="array" ref="Z24">_xlfn.XLOOKUP(
   $B$4&amp;" "&amp;$B24,
   Actuals!$D:$D,
   _xlfn.XLOOKUP(
      Z$6,
      Actuals!$H$3:$BD$3,
      Actuals!$H:$BD
   )
)</f>
        <v>0</v>
      </c>
      <c r="AA24" s="292" cm="1">
        <f t="array" ref="AA24">_xlfn.XLOOKUP(
   $B$4&amp;" "&amp;$B24,
   Actuals!$D:$D,
   _xlfn.XLOOKUP(
      AA$6,
      Actuals!$H$3:$BD$3,
      Actuals!$H:$BD
   )
)</f>
        <v>0</v>
      </c>
      <c r="AB24" s="292" cm="1">
        <f t="array" ref="AB24">_xlfn.XLOOKUP(
   $B$4&amp;" "&amp;$B24,
   Actuals!$D:$D,
   _xlfn.XLOOKUP(
      AB$6,
      Actuals!$H$3:$BD$3,
      Actuals!$H:$BD
   )
)</f>
        <v>0</v>
      </c>
      <c r="AC24" s="292" cm="1">
        <f t="array" ref="AC24">_xlfn.XLOOKUP(
   $B$4&amp;" "&amp;$B24,
   Actuals!$D:$D,
   _xlfn.XLOOKUP(
      AC$6,
      Actuals!$H$3:$BD$3,
      Actuals!$H:$BD
   )
)</f>
        <v>14</v>
      </c>
      <c r="AD24" s="292" cm="1">
        <f t="array" ref="AD24">_xlfn.XLOOKUP(
   $B$4&amp;" "&amp;$B24,
   Actuals!$D:$D,
   _xlfn.XLOOKUP(
      AD$6,
      Actuals!$H$3:$BD$3,
      Actuals!$H:$BD
   )
)</f>
        <v>14</v>
      </c>
      <c r="AE24" s="292" cm="1">
        <f t="array" ref="AE24">_xlfn.XLOOKUP(
   $B$4&amp;" "&amp;$B24,
   Actuals!$D:$D,
   _xlfn.XLOOKUP(
      AE$6,
      Actuals!$H$3:$BD$3,
      Actuals!$H:$BD
   )
)</f>
        <v>14</v>
      </c>
      <c r="AF24" s="292" cm="1">
        <f t="array" ref="AF24">_xlfn.XLOOKUP(
   $B$4&amp;" "&amp;$B24,
   Actuals!$D:$D,
   _xlfn.XLOOKUP(
      AF$6,
      Actuals!$H$3:$BD$3,
      Actuals!$H:$BD
   )
)</f>
        <v>14</v>
      </c>
      <c r="AG24" s="292" cm="1">
        <f t="array" ref="AG24">_xlfn.XLOOKUP(
   $B$4&amp;" "&amp;$B24,
   Actuals!$D:$D,
   _xlfn.XLOOKUP(
      AG$6,
      Actuals!$H$3:$BD$3,
      Actuals!$H:$BD
   )
)</f>
        <v>14</v>
      </c>
      <c r="AH24" s="292" cm="1">
        <f t="array" ref="AH24">_xlfn.XLOOKUP(
   $B$4&amp;" "&amp;$B24,
   Actuals!$D:$D,
   _xlfn.XLOOKUP(
      AH$6,
      Actuals!$H$3:$BD$3,
      Actuals!$H:$BD
   )
)</f>
        <v>14</v>
      </c>
      <c r="AI24" s="292" cm="1">
        <f t="array" ref="AI24">_xlfn.XLOOKUP(
   $B$4&amp;" "&amp;$B24,
   Actuals!$D:$D,
   _xlfn.XLOOKUP(
      AI$6,
      Actuals!$H$3:$BD$3,
      Actuals!$H:$BD
   )
)</f>
        <v>14</v>
      </c>
      <c r="AJ24" s="292" cm="1">
        <f t="array" ref="AJ24">_xlfn.XLOOKUP(
   $B$4&amp;" "&amp;$B24,
   Actuals!$D:$D,
   _xlfn.XLOOKUP(
      AJ$6,
      Actuals!$H$3:$BD$3,
      Actuals!$H:$BD
   )
)</f>
        <v>12.5</v>
      </c>
      <c r="AK24" s="292" cm="1">
        <f t="array" ref="AK24">_xlfn.XLOOKUP(
   $B$4&amp;" "&amp;$B24,
   Actuals!$D:$D,
   _xlfn.XLOOKUP(
      AK$6,
      Actuals!$H$3:$BD$3,
      Actuals!$H:$BD
   )
)</f>
        <v>12.5</v>
      </c>
      <c r="AL24" s="292" cm="1">
        <f t="array" ref="AL24">_xlfn.XLOOKUP(
   $B$4&amp;" "&amp;$B24,
   Actuals!$D:$D,
   _xlfn.XLOOKUP(
      AL$6,
      Actuals!$H$3:$BD$3,
      Actuals!$H:$BD
   )
)</f>
        <v>11.5</v>
      </c>
      <c r="AM24" s="292" cm="1">
        <f t="array" ref="AM24">_xlfn.XLOOKUP(
   $B$4&amp;" "&amp;$B24,
   Actuals!$D:$D,
   _xlfn.XLOOKUP(
      AM$6,
      Actuals!$H$3:$BD$3,
      Actuals!$H:$BD
   )
)</f>
        <v>11.5</v>
      </c>
      <c r="AN24" s="292" cm="1">
        <f t="array" ref="AN24">_xlfn.XLOOKUP(
   $B$4&amp;" "&amp;$B24,
   Actuals!$D:$D,
   _xlfn.XLOOKUP(
      AN$6,
      Actuals!$H$3:$BD$3,
      Actuals!$H:$BD
   )
)</f>
        <v>11</v>
      </c>
      <c r="AO24" s="292" cm="1">
        <f t="array" ref="AO24">_xlfn.XLOOKUP(
   $B$4&amp;" "&amp;$B24,
   Actuals!$D:$D,
   _xlfn.XLOOKUP(
      AO$6,
      Actuals!$H$3:$BD$3,
      Actuals!$H:$BD
   )
)</f>
        <v>12</v>
      </c>
      <c r="AP24" s="292" cm="1">
        <f t="array" ref="AP24">_xlfn.XLOOKUP(
   $B$4&amp;" "&amp;$B24,
   Actuals!$D:$D,
   _xlfn.XLOOKUP(
      AP$6,
      Actuals!$H$3:$BD$3,
      Actuals!$H:$BD
   )
)</f>
        <v>12</v>
      </c>
      <c r="AQ24" s="292" cm="1">
        <f t="array" ref="AQ24">_xlfn.XLOOKUP(
   $B$4&amp;" "&amp;$B24,
   Actuals!$D:$D,
   _xlfn.XLOOKUP(
      AQ$6,
      Actuals!$H$3:$BD$3,
      Actuals!$H:$BD
   )
)</f>
        <v>0</v>
      </c>
      <c r="AR24" s="292" cm="1">
        <f t="array" ref="AR24">_xlfn.XLOOKUP(
   $B$4&amp;" "&amp;$B24,
   Actuals!$D:$D,
   _xlfn.XLOOKUP(
      AR$6,
      Actuals!$H$3:$BD$3,
      Actuals!$H:$BD
   )
)</f>
        <v>0</v>
      </c>
      <c r="AS24" s="292" cm="1">
        <f t="array" ref="AS24">_xlfn.XLOOKUP(
   $B$4&amp;" "&amp;$B24,
   Actuals!$D:$D,
   _xlfn.XLOOKUP(
      AS$6,
      Actuals!$H$3:$BD$3,
      Actuals!$H:$BD
   )
)</f>
        <v>0</v>
      </c>
      <c r="AT24" s="292" cm="1">
        <f t="array" ref="AT24">_xlfn.XLOOKUP(
   $B$4&amp;" "&amp;$B24,
   Actuals!$D:$D,
   _xlfn.XLOOKUP(
      AT$6,
      Actuals!$H$3:$BD$3,
      Actuals!$H:$BD
   )
)</f>
        <v>0</v>
      </c>
      <c r="AU24" s="292" cm="1">
        <f t="array" ref="AU24">_xlfn.XLOOKUP(
   $B$4&amp;" "&amp;$B24,
   Actuals!$D:$D,
   _xlfn.XLOOKUP(
      AU$6,
      Actuals!$H$3:$BD$3,
      Actuals!$H:$BD
   )
)</f>
        <v>0</v>
      </c>
      <c r="AV24" s="292" cm="1">
        <f t="array" ref="AV24">_xlfn.XLOOKUP(
   $B$4&amp;" "&amp;$B24,
   Actuals!$D:$D,
   _xlfn.XLOOKUP(
      AV$6,
      Actuals!$H$3:$BD$3,
      Actuals!$H:$BD
   )
)</f>
        <v>0</v>
      </c>
      <c r="AW24" s="292" cm="1">
        <f t="array" ref="AW24">_xlfn.XLOOKUP(
   $B$4&amp;" "&amp;$B24,
   Actuals!$D:$D,
   _xlfn.XLOOKUP(
      AW$6,
      Actuals!$H$3:$BD$3,
      Actuals!$H:$BD
   )
)</f>
        <v>0</v>
      </c>
      <c r="AX24" s="292" cm="1">
        <f t="array" ref="AX24">_xlfn.XLOOKUP(
   $B$4&amp;" "&amp;$B24,
   Actuals!$D:$D,
   _xlfn.XLOOKUP(
      AX$6,
      Actuals!$H$3:$BD$3,
      Actuals!$H:$BD
   )
)</f>
        <v>0</v>
      </c>
      <c r="AY24" s="292" cm="1">
        <f t="array" ref="AY24">_xlfn.XLOOKUP(
   $B$4&amp;" "&amp;$B24,
   Actuals!$D:$D,
   _xlfn.XLOOKUP(
      AY$6,
      Actuals!$H$3:$BD$3,
      Actuals!$H:$BD
   )
)</f>
        <v>0</v>
      </c>
      <c r="AZ24" s="292" cm="1">
        <f t="array" ref="AZ24">_xlfn.XLOOKUP(
   $B$4&amp;" "&amp;$B24,
   Actuals!$D:$D,
   _xlfn.XLOOKUP(
      AZ$6,
      Actuals!$H$3:$BD$3,
      Actuals!$H:$BD
   )
)</f>
        <v>0</v>
      </c>
      <c r="BA24" s="292"/>
      <c r="BB24" s="292" cm="1">
        <f t="array" ref="BB24">_xlfn.XLOOKUP(
   $B$4&amp;" "&amp;$B24,
   Actuals!$D:$D,
   _xlfn.XLOOKUP(
      BB$7,
      Actuals!$H$3:$BM$3,
      Actuals!$H:$BM
   )
)</f>
        <v>0</v>
      </c>
      <c r="BC24" s="292">
        <f>VLOOKUP($B$4&amp;" "&amp;$B24,Budget!$AG$4:$AL$132,$BB$5+1,FALSE)</f>
        <v>0</v>
      </c>
      <c r="BD24" s="292">
        <f t="shared" si="27"/>
        <v>0</v>
      </c>
      <c r="BE24" s="292"/>
      <c r="BF24" s="292" cm="1">
        <f t="array" ref="BF24">_xlfn.XLOOKUP(
   $B$4&amp;" "&amp;$B24,
   Actuals!$D:$D,
   _xlfn.XLOOKUP(
      BF$7,
      Actuals!$H$3:$BM$3,
      Actuals!$H:$BM
   )
)</f>
        <v>0</v>
      </c>
      <c r="BG24" s="292">
        <f>VLOOKUP($B$4&amp;" "&amp;$B24,Budget!$AG$4:$AL$132,BF$5+1,FALSE)</f>
        <v>13</v>
      </c>
      <c r="BH24" s="292">
        <f t="shared" si="28"/>
        <v>-13</v>
      </c>
      <c r="BI24" s="292"/>
      <c r="BJ24" s="292" cm="1">
        <f t="array" ref="BJ24">_xlfn.XLOOKUP(
   $B$4&amp;" "&amp;$B24,
   Actuals!$D:$D,
   _xlfn.XLOOKUP(
      BJ$7,
      Actuals!$H$3:$BM$3,
      Actuals!$H:$BM
   )
)</f>
        <v>0</v>
      </c>
      <c r="BK24" s="292">
        <f>VLOOKUP($B$4&amp;" "&amp;$B24,Budget!$AG$4:$AL$132,BJ$5+1,FALSE)</f>
        <v>13</v>
      </c>
      <c r="BL24" s="292">
        <f t="shared" si="29"/>
        <v>-13</v>
      </c>
      <c r="BM24" s="292"/>
      <c r="BN24" s="292" cm="1">
        <f t="array" ref="BN24">_xlfn.XLOOKUP(
   $B$4&amp;" "&amp;$B24,
   Actuals!$D:$D,
   _xlfn.XLOOKUP(
      BN$7,
      Actuals!$H$3:$BM$3,
      Actuals!$H:$BM
   )
)</f>
        <v>0</v>
      </c>
      <c r="BO24" s="292">
        <f>VLOOKUP($B$4&amp;" "&amp;$B24,Budget!$AG$4:$AL$132,BN$5+1,FALSE)</f>
        <v>13</v>
      </c>
      <c r="BP24" s="292"/>
      <c r="BQ24" s="292"/>
      <c r="BR24" s="292" cm="1">
        <f t="array" aca="1" ref="BR24" ca="1">_xlfn.XLOOKUP(
   $B$4&amp;" "&amp;$B24,
   Actuals!$D:$D,
   _xlfn.XLOOKUP(
      BR$6,
      Actuals!$H$3:$BM$3,
      Actuals!$H:$BM
   )
)</f>
        <v>0</v>
      </c>
      <c r="BS24" s="292">
        <f ca="1">VLOOKUP($B$4&amp;" "&amp;$B24,Budget!$AG$4:$AL$132,6,FALSE)</f>
        <v>13</v>
      </c>
      <c r="BT24" s="292">
        <f t="shared" ca="1" si="26"/>
        <v>-13</v>
      </c>
      <c r="BU24" s="292"/>
      <c r="BV24" s="292" cm="1">
        <f t="array" ref="BV24">_xlfn.XLOOKUP(
   $B$4&amp;" "&amp;$B24,
   Actuals!$D:$D,
   _xlfn.XLOOKUP(
      BV$6,
      Actuals!$H$3:$BM$3,
      Actuals!$H:$BM
   )
)</f>
        <v>12</v>
      </c>
    </row>
    <row r="25" spans="2:74">
      <c r="B25" s="26" t="s">
        <v>61</v>
      </c>
      <c r="C25" s="139" t="s">
        <v>47</v>
      </c>
      <c r="D25" s="171" t="str">
        <f>VLOOKUP($B$4&amp;" "&amp;$B25,Actuals!$D$4:$AG$131,3,FALSE)</f>
        <v>#</v>
      </c>
      <c r="E25" s="168" cm="1">
        <f t="array" ref="E25">_xlfn.XLOOKUP(
   $B$4&amp;" "&amp;$B25,
   Actuals!$D:$D,
   _xlfn.XLOOKUP(
      E$6,
      Actuals!$H$3:$BD$3,
      Actuals!$H:$BD
   )
)</f>
        <v>0</v>
      </c>
      <c r="F25" s="168" cm="1">
        <f t="array" ref="F25">_xlfn.XLOOKUP(
   $B$4&amp;" "&amp;$B25,
   Actuals!$D:$D,
   _xlfn.XLOOKUP(
      F$6,
      Actuals!$H$3:$BD$3,
      Actuals!$H:$BD
   )
)</f>
        <v>0</v>
      </c>
      <c r="G25" s="168" cm="1">
        <f t="array" ref="G25">_xlfn.XLOOKUP(
   $B$4&amp;" "&amp;$B25,
   Actuals!$D:$D,
   _xlfn.XLOOKUP(
      G$6,
      Actuals!$H$3:$BD$3,
      Actuals!$H:$BD
   )
)</f>
        <v>0</v>
      </c>
      <c r="H25" s="168" cm="1">
        <f t="array" ref="H25">_xlfn.XLOOKUP(
   $B$4&amp;" "&amp;$B25,
   Actuals!$D:$D,
   _xlfn.XLOOKUP(
      H$6,
      Actuals!$H$3:$BD$3,
      Actuals!$H:$BD
   )
)</f>
        <v>0</v>
      </c>
      <c r="I25" s="168" cm="1">
        <f t="array" ref="I25">_xlfn.XLOOKUP(
   $B$4&amp;" "&amp;$B25,
   Actuals!$D:$D,
   _xlfn.XLOOKUP(
      I$6,
      Actuals!$H$3:$BD$3,
      Actuals!$H:$BD
   )
)</f>
        <v>0</v>
      </c>
      <c r="J25" s="168" cm="1">
        <f t="array" ref="J25">_xlfn.XLOOKUP(
   $B$4&amp;" "&amp;$B25,
   Actuals!$D:$D,
   _xlfn.XLOOKUP(
      J$6,
      Actuals!$H$3:$BD$3,
      Actuals!$H:$BD
   )
)</f>
        <v>0</v>
      </c>
      <c r="K25" s="168" cm="1">
        <f t="array" ref="K25">_xlfn.XLOOKUP(
   $B$4&amp;" "&amp;$B25,
   Actuals!$D:$D,
   _xlfn.XLOOKUP(
      K$6,
      Actuals!$H$3:$BD$3,
      Actuals!$H:$BD
   )
)</f>
        <v>0</v>
      </c>
      <c r="L25" s="168" cm="1">
        <f t="array" ref="L25">_xlfn.XLOOKUP(
   $B$4&amp;" "&amp;$B25,
   Actuals!$D:$D,
   _xlfn.XLOOKUP(
      L$6,
      Actuals!$H$3:$BD$3,
      Actuals!$H:$BD
   )
)</f>
        <v>0</v>
      </c>
      <c r="M25" s="168" cm="1">
        <f t="array" ref="M25">_xlfn.XLOOKUP(
   $B$4&amp;" "&amp;$B25,
   Actuals!$D:$D,
   _xlfn.XLOOKUP(
      M$6,
      Actuals!$H$3:$BD$3,
      Actuals!$H:$BD
   )
)</f>
        <v>0</v>
      </c>
      <c r="N25" s="168" cm="1">
        <f t="array" ref="N25">_xlfn.XLOOKUP(
   $B$4&amp;" "&amp;$B25,
   Actuals!$D:$D,
   _xlfn.XLOOKUP(
      N$6,
      Actuals!$H$3:$BD$3,
      Actuals!$H:$BD
   )
)</f>
        <v>0</v>
      </c>
      <c r="O25" s="292" cm="1">
        <f t="array" ref="O25">_xlfn.XLOOKUP(
   $B$4&amp;" "&amp;$B25,
   Actuals!$D:$D,
   _xlfn.XLOOKUP(
      O$6,
      Actuals!$H$3:$BD$3,
      Actuals!$H:$BD
   )
)</f>
        <v>0</v>
      </c>
      <c r="P25" s="292" cm="1">
        <f t="array" ref="P25">_xlfn.XLOOKUP(
   $B$4&amp;" "&amp;$B25,
   Actuals!$D:$D,
   _xlfn.XLOOKUP(
      P$6,
      Actuals!$H$3:$BD$3,
      Actuals!$H:$BD
   )
)</f>
        <v>0</v>
      </c>
      <c r="Q25" s="292" cm="1">
        <f t="array" ref="Q25">_xlfn.XLOOKUP(
   $B$4&amp;" "&amp;$B25,
   Actuals!$D:$D,
   _xlfn.XLOOKUP(
      Q$6,
      Actuals!$H$3:$BD$3,
      Actuals!$H:$BD
   )
)</f>
        <v>0</v>
      </c>
      <c r="R25" s="292" cm="1">
        <f t="array" ref="R25">_xlfn.XLOOKUP(
   $B$4&amp;" "&amp;$B25,
   Actuals!$D:$D,
   _xlfn.XLOOKUP(
      R$6,
      Actuals!$H$3:$BD$3,
      Actuals!$H:$BD
   )
)</f>
        <v>0</v>
      </c>
      <c r="S25" s="292" cm="1">
        <f t="array" ref="S25">_xlfn.XLOOKUP(
   $B$4&amp;" "&amp;$B25,
   Actuals!$D:$D,
   _xlfn.XLOOKUP(
      S$6,
      Actuals!$H$3:$BD$3,
      Actuals!$H:$BD
   )
)</f>
        <v>0</v>
      </c>
      <c r="T25" s="292" cm="1">
        <f t="array" ref="T25">_xlfn.XLOOKUP(
   $B$4&amp;" "&amp;$B25,
   Actuals!$D:$D,
   _xlfn.XLOOKUP(
      T$6,
      Actuals!$H$3:$BD$3,
      Actuals!$H:$BD
   )
)</f>
        <v>0</v>
      </c>
      <c r="U25" s="292" cm="1">
        <f t="array" ref="U25">_xlfn.XLOOKUP(
   $B$4&amp;" "&amp;$B25,
   Actuals!$D:$D,
   _xlfn.XLOOKUP(
      U$6,
      Actuals!$H$3:$BD$3,
      Actuals!$H:$BD
   )
)</f>
        <v>0</v>
      </c>
      <c r="V25" s="292" cm="1">
        <f t="array" ref="V25">_xlfn.XLOOKUP(
   $B$4&amp;" "&amp;$B25,
   Actuals!$D:$D,
   _xlfn.XLOOKUP(
      V$6,
      Actuals!$H$3:$BD$3,
      Actuals!$H:$BD
   )
)</f>
        <v>0</v>
      </c>
      <c r="W25" s="292" cm="1">
        <f t="array" ref="W25">_xlfn.XLOOKUP(
   $B$4&amp;" "&amp;$B25,
   Actuals!$D:$D,
   _xlfn.XLOOKUP(
      W$6,
      Actuals!$H$3:$BD$3,
      Actuals!$H:$BD
   )
)</f>
        <v>0</v>
      </c>
      <c r="X25" s="292" cm="1">
        <f t="array" ref="X25">_xlfn.XLOOKUP(
   $B$4&amp;" "&amp;$B25,
   Actuals!$D:$D,
   _xlfn.XLOOKUP(
      X$6,
      Actuals!$H$3:$BD$3,
      Actuals!$H:$BD
   )
)</f>
        <v>0</v>
      </c>
      <c r="Y25" s="292" cm="1">
        <f t="array" ref="Y25">_xlfn.XLOOKUP(
   $B$4&amp;" "&amp;$B25,
   Actuals!$D:$D,
   _xlfn.XLOOKUP(
      Y$6,
      Actuals!$H$3:$BD$3,
      Actuals!$H:$BD
   )
)</f>
        <v>0</v>
      </c>
      <c r="Z25" s="292" cm="1">
        <f t="array" ref="Z25">_xlfn.XLOOKUP(
   $B$4&amp;" "&amp;$B25,
   Actuals!$D:$D,
   _xlfn.XLOOKUP(
      Z$6,
      Actuals!$H$3:$BD$3,
      Actuals!$H:$BD
   )
)</f>
        <v>0</v>
      </c>
      <c r="AA25" s="292" cm="1">
        <f t="array" ref="AA25">_xlfn.XLOOKUP(
   $B$4&amp;" "&amp;$B25,
   Actuals!$D:$D,
   _xlfn.XLOOKUP(
      AA$6,
      Actuals!$H$3:$BD$3,
      Actuals!$H:$BD
   )
)</f>
        <v>0</v>
      </c>
      <c r="AB25" s="292" cm="1">
        <f t="array" ref="AB25">_xlfn.XLOOKUP(
   $B$4&amp;" "&amp;$B25,
   Actuals!$D:$D,
   _xlfn.XLOOKUP(
      AB$6,
      Actuals!$H$3:$BD$3,
      Actuals!$H:$BD
   )
)</f>
        <v>0</v>
      </c>
      <c r="AC25" s="292" cm="1">
        <f t="array" ref="AC25">_xlfn.XLOOKUP(
   $B$4&amp;" "&amp;$B25,
   Actuals!$D:$D,
   _xlfn.XLOOKUP(
      AC$6,
      Actuals!$H$3:$BD$3,
      Actuals!$H:$BD
   )
)</f>
        <v>2</v>
      </c>
      <c r="AD25" s="292" cm="1">
        <f t="array" ref="AD25">_xlfn.XLOOKUP(
   $B$4&amp;" "&amp;$B25,
   Actuals!$D:$D,
   _xlfn.XLOOKUP(
      AD$6,
      Actuals!$H$3:$BD$3,
      Actuals!$H:$BD
   )
)</f>
        <v>2</v>
      </c>
      <c r="AE25" s="292" cm="1">
        <f t="array" ref="AE25">_xlfn.XLOOKUP(
   $B$4&amp;" "&amp;$B25,
   Actuals!$D:$D,
   _xlfn.XLOOKUP(
      AE$6,
      Actuals!$H$3:$BD$3,
      Actuals!$H:$BD
   )
)</f>
        <v>2</v>
      </c>
      <c r="AF25" s="292" cm="1">
        <f t="array" ref="AF25">_xlfn.XLOOKUP(
   $B$4&amp;" "&amp;$B25,
   Actuals!$D:$D,
   _xlfn.XLOOKUP(
      AF$6,
      Actuals!$H$3:$BD$3,
      Actuals!$H:$BD
   )
)</f>
        <v>2</v>
      </c>
      <c r="AG25" s="292" cm="1">
        <f t="array" ref="AG25">_xlfn.XLOOKUP(
   $B$4&amp;" "&amp;$B25,
   Actuals!$D:$D,
   _xlfn.XLOOKUP(
      AG$6,
      Actuals!$H$3:$BD$3,
      Actuals!$H:$BD
   )
)</f>
        <v>2</v>
      </c>
      <c r="AH25" s="292" cm="1">
        <f t="array" ref="AH25">_xlfn.XLOOKUP(
   $B$4&amp;" "&amp;$B25,
   Actuals!$D:$D,
   _xlfn.XLOOKUP(
      AH$6,
      Actuals!$H$3:$BD$3,
      Actuals!$H:$BD
   )
)</f>
        <v>2</v>
      </c>
      <c r="AI25" s="292" cm="1">
        <f t="array" ref="AI25">_xlfn.XLOOKUP(
   $B$4&amp;" "&amp;$B25,
   Actuals!$D:$D,
   _xlfn.XLOOKUP(
      AI$6,
      Actuals!$H$3:$BD$3,
      Actuals!$H:$BD
   )
)</f>
        <v>2</v>
      </c>
      <c r="AJ25" s="292" cm="1">
        <f t="array" ref="AJ25">_xlfn.XLOOKUP(
   $B$4&amp;" "&amp;$B25,
   Actuals!$D:$D,
   _xlfn.XLOOKUP(
      AJ$6,
      Actuals!$H$3:$BD$3,
      Actuals!$H:$BD
   )
)</f>
        <v>2</v>
      </c>
      <c r="AK25" s="292" cm="1">
        <f t="array" ref="AK25">_xlfn.XLOOKUP(
   $B$4&amp;" "&amp;$B25,
   Actuals!$D:$D,
   _xlfn.XLOOKUP(
      AK$6,
      Actuals!$H$3:$BD$3,
      Actuals!$H:$BD
   )
)</f>
        <v>2</v>
      </c>
      <c r="AL25" s="292" cm="1">
        <f t="array" ref="AL25">_xlfn.XLOOKUP(
   $B$4&amp;" "&amp;$B25,
   Actuals!$D:$D,
   _xlfn.XLOOKUP(
      AL$6,
      Actuals!$H$3:$BD$3,
      Actuals!$H:$BD
   )
)</f>
        <v>2</v>
      </c>
      <c r="AM25" s="292" cm="1">
        <f t="array" ref="AM25">_xlfn.XLOOKUP(
   $B$4&amp;" "&amp;$B25,
   Actuals!$D:$D,
   _xlfn.XLOOKUP(
      AM$6,
      Actuals!$H$3:$BD$3,
      Actuals!$H:$BD
   )
)</f>
        <v>2</v>
      </c>
      <c r="AN25" s="292" cm="1">
        <f t="array" ref="AN25">_xlfn.XLOOKUP(
   $B$4&amp;" "&amp;$B25,
   Actuals!$D:$D,
   _xlfn.XLOOKUP(
      AN$6,
      Actuals!$H$3:$BD$3,
      Actuals!$H:$BD
   )
)</f>
        <v>2</v>
      </c>
      <c r="AO25" s="292" cm="1">
        <f t="array" ref="AO25">_xlfn.XLOOKUP(
   $B$4&amp;" "&amp;$B25,
   Actuals!$D:$D,
   _xlfn.XLOOKUP(
      AO$6,
      Actuals!$H$3:$BD$3,
      Actuals!$H:$BD
   )
)</f>
        <v>0</v>
      </c>
      <c r="AP25" s="292" cm="1">
        <f t="array" ref="AP25">_xlfn.XLOOKUP(
   $B$4&amp;" "&amp;$B25,
   Actuals!$D:$D,
   _xlfn.XLOOKUP(
      AP$6,
      Actuals!$H$3:$BD$3,
      Actuals!$H:$BD
   )
)</f>
        <v>0</v>
      </c>
      <c r="AQ25" s="292" cm="1">
        <f t="array" ref="AQ25">_xlfn.XLOOKUP(
   $B$4&amp;" "&amp;$B25,
   Actuals!$D:$D,
   _xlfn.XLOOKUP(
      AQ$6,
      Actuals!$H$3:$BD$3,
      Actuals!$H:$BD
   )
)</f>
        <v>0</v>
      </c>
      <c r="AR25" s="292" cm="1">
        <f t="array" ref="AR25">_xlfn.XLOOKUP(
   $B$4&amp;" "&amp;$B25,
   Actuals!$D:$D,
   _xlfn.XLOOKUP(
      AR$6,
      Actuals!$H$3:$BD$3,
      Actuals!$H:$BD
   )
)</f>
        <v>0</v>
      </c>
      <c r="AS25" s="292" cm="1">
        <f t="array" ref="AS25">_xlfn.XLOOKUP(
   $B$4&amp;" "&amp;$B25,
   Actuals!$D:$D,
   _xlfn.XLOOKUP(
      AS$6,
      Actuals!$H$3:$BD$3,
      Actuals!$H:$BD
   )
)</f>
        <v>0</v>
      </c>
      <c r="AT25" s="292" cm="1">
        <f t="array" ref="AT25">_xlfn.XLOOKUP(
   $B$4&amp;" "&amp;$B25,
   Actuals!$D:$D,
   _xlfn.XLOOKUP(
      AT$6,
      Actuals!$H$3:$BD$3,
      Actuals!$H:$BD
   )
)</f>
        <v>0</v>
      </c>
      <c r="AU25" s="292" cm="1">
        <f t="array" ref="AU25">_xlfn.XLOOKUP(
   $B$4&amp;" "&amp;$B25,
   Actuals!$D:$D,
   _xlfn.XLOOKUP(
      AU$6,
      Actuals!$H$3:$BD$3,
      Actuals!$H:$BD
   )
)</f>
        <v>0</v>
      </c>
      <c r="AV25" s="292" cm="1">
        <f t="array" ref="AV25">_xlfn.XLOOKUP(
   $B$4&amp;" "&amp;$B25,
   Actuals!$D:$D,
   _xlfn.XLOOKUP(
      AV$6,
      Actuals!$H$3:$BD$3,
      Actuals!$H:$BD
   )
)</f>
        <v>0</v>
      </c>
      <c r="AW25" s="292" cm="1">
        <f t="array" ref="AW25">_xlfn.XLOOKUP(
   $B$4&amp;" "&amp;$B25,
   Actuals!$D:$D,
   _xlfn.XLOOKUP(
      AW$6,
      Actuals!$H$3:$BD$3,
      Actuals!$H:$BD
   )
)</f>
        <v>0</v>
      </c>
      <c r="AX25" s="292" cm="1">
        <f t="array" ref="AX25">_xlfn.XLOOKUP(
   $B$4&amp;" "&amp;$B25,
   Actuals!$D:$D,
   _xlfn.XLOOKUP(
      AX$6,
      Actuals!$H$3:$BD$3,
      Actuals!$H:$BD
   )
)</f>
        <v>0</v>
      </c>
      <c r="AY25" s="292" cm="1">
        <f t="array" ref="AY25">_xlfn.XLOOKUP(
   $B$4&amp;" "&amp;$B25,
   Actuals!$D:$D,
   _xlfn.XLOOKUP(
      AY$6,
      Actuals!$H$3:$BD$3,
      Actuals!$H:$BD
   )
)</f>
        <v>0</v>
      </c>
      <c r="AZ25" s="292" cm="1">
        <f t="array" ref="AZ25">_xlfn.XLOOKUP(
   $B$4&amp;" "&amp;$B25,
   Actuals!$D:$D,
   _xlfn.XLOOKUP(
      AZ$6,
      Actuals!$H$3:$BD$3,
      Actuals!$H:$BD
   )
)</f>
        <v>0</v>
      </c>
      <c r="BA25" s="292"/>
      <c r="BB25" s="292" cm="1">
        <f t="array" ref="BB25">_xlfn.XLOOKUP(
   $B$4&amp;" "&amp;$B25,
   Actuals!$D:$D,
   _xlfn.XLOOKUP(
      BB$7,
      Actuals!$H$3:$BM$3,
      Actuals!$H:$BM
   )
)</f>
        <v>0</v>
      </c>
      <c r="BC25" s="292">
        <f>VLOOKUP($B$4&amp;" "&amp;$B25,Budget!$AG$4:$AL$132,$BB$5+1,FALSE)</f>
        <v>0</v>
      </c>
      <c r="BD25" s="292">
        <f t="shared" si="27"/>
        <v>0</v>
      </c>
      <c r="BE25" s="292"/>
      <c r="BF25" s="292" cm="1">
        <f t="array" ref="BF25">_xlfn.XLOOKUP(
   $B$4&amp;" "&amp;$B25,
   Actuals!$D:$D,
   _xlfn.XLOOKUP(
      BF$7,
      Actuals!$H$3:$BM$3,
      Actuals!$H:$BM
   )
)</f>
        <v>0</v>
      </c>
      <c r="BG25" s="292">
        <f>VLOOKUP($B$4&amp;" "&amp;$B25,Budget!$AG$4:$AL$132,BF$5+1,FALSE)</f>
        <v>0</v>
      </c>
      <c r="BH25" s="292">
        <f t="shared" si="28"/>
        <v>0</v>
      </c>
      <c r="BI25" s="292"/>
      <c r="BJ25" s="292" cm="1">
        <f t="array" ref="BJ25">_xlfn.XLOOKUP(
   $B$4&amp;" "&amp;$B25,
   Actuals!$D:$D,
   _xlfn.XLOOKUP(
      BJ$7,
      Actuals!$H$3:$BM$3,
      Actuals!$H:$BM
   )
)</f>
        <v>0</v>
      </c>
      <c r="BK25" s="292">
        <f>VLOOKUP($B$4&amp;" "&amp;$B25,Budget!$AG$4:$AL$132,BJ$5+1,FALSE)</f>
        <v>0</v>
      </c>
      <c r="BL25" s="292">
        <f t="shared" si="29"/>
        <v>0</v>
      </c>
      <c r="BM25" s="292"/>
      <c r="BN25" s="292" cm="1">
        <f t="array" ref="BN25">_xlfn.XLOOKUP(
   $B$4&amp;" "&amp;$B25,
   Actuals!$D:$D,
   _xlfn.XLOOKUP(
      BN$7,
      Actuals!$H$3:$BM$3,
      Actuals!$H:$BM
   )
)</f>
        <v>0</v>
      </c>
      <c r="BO25" s="292">
        <f>VLOOKUP($B$4&amp;" "&amp;$B25,Budget!$AG$4:$AL$132,BN$5+1,FALSE)</f>
        <v>0</v>
      </c>
      <c r="BP25" s="292"/>
      <c r="BQ25" s="292"/>
      <c r="BR25" s="292" cm="1">
        <f t="array" aca="1" ref="BR25" ca="1">_xlfn.XLOOKUP(
   $B$4&amp;" "&amp;$B25,
   Actuals!$D:$D,
   _xlfn.XLOOKUP(
      BR$6,
      Actuals!$H$3:$BM$3,
      Actuals!$H:$BM
   )
)</f>
        <v>0</v>
      </c>
      <c r="BS25" s="292">
        <f ca="1">VLOOKUP($B$4&amp;" "&amp;$B25,Budget!$AG$4:$AL$132,6,FALSE)</f>
        <v>0</v>
      </c>
      <c r="BT25" s="292">
        <f t="shared" ca="1" si="26"/>
        <v>0</v>
      </c>
      <c r="BU25" s="292"/>
      <c r="BV25" s="292" cm="1">
        <f t="array" ref="BV25">_xlfn.XLOOKUP(
   $B$4&amp;" "&amp;$B25,
   Actuals!$D:$D,
   _xlfn.XLOOKUP(
      BV$6,
      Actuals!$H$3:$BM$3,
      Actuals!$H:$BM
   )
)</f>
        <v>0</v>
      </c>
    </row>
    <row r="26" spans="2:74">
      <c r="B26" s="26" t="s">
        <v>62</v>
      </c>
      <c r="C26" s="139" t="s">
        <v>63</v>
      </c>
      <c r="D26" s="171" t="str">
        <f>VLOOKUP($B$4&amp;" "&amp;$B26,Actuals!$D$4:$AG$131,3,FALSE)</f>
        <v>$</v>
      </c>
      <c r="E26" s="236" cm="1">
        <f t="array" ref="E26">_xlfn.XLOOKUP(
   $B$4&amp;" "&amp;$B26,
   Actuals!$D:$D,
   _xlfn.XLOOKUP(
      E$6,
      Actuals!$H$3:$BD$3,
      Actuals!$H:$BD
   )
)</f>
        <v>69121.714999999997</v>
      </c>
      <c r="F26" s="236" cm="1">
        <f t="array" ref="F26">_xlfn.XLOOKUP(
   $B$4&amp;" "&amp;$B26,
   Actuals!$D:$D,
   _xlfn.XLOOKUP(
      F$6,
      Actuals!$H$3:$BD$3,
      Actuals!$H:$BD
   )
)</f>
        <v>72497.695000000007</v>
      </c>
      <c r="G26" s="236" cm="1">
        <f t="array" ref="G26">_xlfn.XLOOKUP(
   $B$4&amp;" "&amp;$B26,
   Actuals!$D:$D,
   _xlfn.XLOOKUP(
      G$6,
      Actuals!$H$3:$BD$3,
      Actuals!$H:$BD
   )
)</f>
        <v>74103.684999999998</v>
      </c>
      <c r="H26" s="236" cm="1">
        <f t="array" ref="H26">_xlfn.XLOOKUP(
   $B$4&amp;" "&amp;$B26,
   Actuals!$D:$D,
   _xlfn.XLOOKUP(
      H$6,
      Actuals!$H$3:$BD$3,
      Actuals!$H:$BD
   )
)</f>
        <v>72135.81</v>
      </c>
      <c r="I26" s="236" cm="1">
        <f t="array" ref="I26">_xlfn.XLOOKUP(
   $B$4&amp;" "&amp;$B26,
   Actuals!$D:$D,
   _xlfn.XLOOKUP(
      I$6,
      Actuals!$H$3:$BD$3,
      Actuals!$H:$BD
   )
)</f>
        <v>70305.679999999993</v>
      </c>
      <c r="J26" s="236" cm="1">
        <f t="array" ref="J26">_xlfn.XLOOKUP(
   $B$4&amp;" "&amp;$B26,
   Actuals!$D:$D,
   _xlfn.XLOOKUP(
      J$6,
      Actuals!$H$3:$BD$3,
      Actuals!$H:$BD
   )
)</f>
        <v>77211.37</v>
      </c>
      <c r="K26" s="237" cm="1">
        <f t="array" ref="K26">_xlfn.XLOOKUP(
   $B$4&amp;" "&amp;$B26,
   Actuals!$D:$D,
   _xlfn.XLOOKUP(
      K$6,
      Actuals!$H$3:$BD$3,
      Actuals!$H:$BD
   )
)</f>
        <v>57329.25</v>
      </c>
      <c r="L26" s="237" cm="1">
        <f t="array" ref="L26">_xlfn.XLOOKUP(
   $B$4&amp;" "&amp;$B26,
   Actuals!$D:$D,
   _xlfn.XLOOKUP(
      L$6,
      Actuals!$H$3:$BD$3,
      Actuals!$H:$BD
   )
)</f>
        <v>59369.04</v>
      </c>
      <c r="M26" s="237" cm="1">
        <f t="array" ref="M26">_xlfn.XLOOKUP(
   $B$4&amp;" "&amp;$B26,
   Actuals!$D:$D,
   _xlfn.XLOOKUP(
      M$6,
      Actuals!$H$3:$BD$3,
      Actuals!$H:$BD
   )
)</f>
        <v>56274.559999999998</v>
      </c>
      <c r="N26" s="237" cm="1">
        <f t="array" ref="N26">_xlfn.XLOOKUP(
   $B$4&amp;" "&amp;$B26,
   Actuals!$D:$D,
   _xlfn.XLOOKUP(
      N$6,
      Actuals!$H$3:$BD$3,
      Actuals!$H:$BD
   )
)</f>
        <v>61662.713333333326</v>
      </c>
      <c r="O26" s="236" cm="1">
        <f t="array" ref="O26">_xlfn.XLOOKUP(
   $B$4&amp;" "&amp;$B26,
   Actuals!$D:$D,
   _xlfn.XLOOKUP(
      O$6,
      Actuals!$H$3:$BD$3,
      Actuals!$H:$BD
   )
)</f>
        <v>0</v>
      </c>
      <c r="P26" s="236" cm="1">
        <f t="array" ref="P26">_xlfn.XLOOKUP(
   $B$4&amp;" "&amp;$B26,
   Actuals!$D:$D,
   _xlfn.XLOOKUP(
      P$6,
      Actuals!$H$3:$BD$3,
      Actuals!$H:$BD
   )
)</f>
        <v>0</v>
      </c>
      <c r="Q26" s="236" cm="1">
        <f t="array" ref="Q26">_xlfn.XLOOKUP(
   $B$4&amp;" "&amp;$B26,
   Actuals!$D:$D,
   _xlfn.XLOOKUP(
      Q$6,
      Actuals!$H$3:$BD$3,
      Actuals!$H:$BD
   )
)</f>
        <v>0</v>
      </c>
      <c r="R26" s="236" cm="1">
        <f t="array" ref="R26">_xlfn.XLOOKUP(
   $B$4&amp;" "&amp;$B26,
   Actuals!$D:$D,
   _xlfn.XLOOKUP(
      R$6,
      Actuals!$H$3:$BD$3,
      Actuals!$H:$BD
   )
)</f>
        <v>0</v>
      </c>
      <c r="S26" s="236" cm="1">
        <f t="array" ref="S26">_xlfn.XLOOKUP(
   $B$4&amp;" "&amp;$B26,
   Actuals!$D:$D,
   _xlfn.XLOOKUP(
      S$6,
      Actuals!$H$3:$BD$3,
      Actuals!$H:$BD
   )
)</f>
        <v>0</v>
      </c>
      <c r="T26" s="236" cm="1">
        <f t="array" ref="T26">_xlfn.XLOOKUP(
   $B$4&amp;" "&amp;$B26,
   Actuals!$D:$D,
   _xlfn.XLOOKUP(
      T$6,
      Actuals!$H$3:$BD$3,
      Actuals!$H:$BD
   )
)</f>
        <v>0</v>
      </c>
      <c r="U26" s="236" cm="1">
        <f t="array" ref="U26">_xlfn.XLOOKUP(
   $B$4&amp;" "&amp;$B26,
   Actuals!$D:$D,
   _xlfn.XLOOKUP(
      U$6,
      Actuals!$H$3:$BD$3,
      Actuals!$H:$BD
   )
)</f>
        <v>0</v>
      </c>
      <c r="V26" s="236" cm="1">
        <f t="array" ref="V26">_xlfn.XLOOKUP(
   $B$4&amp;" "&amp;$B26,
   Actuals!$D:$D,
   _xlfn.XLOOKUP(
      V$6,
      Actuals!$H$3:$BD$3,
      Actuals!$H:$BD
   )
)</f>
        <v>0</v>
      </c>
      <c r="W26" s="236" cm="1">
        <f t="array" ref="W26">_xlfn.XLOOKUP(
   $B$4&amp;" "&amp;$B26,
   Actuals!$D:$D,
   _xlfn.XLOOKUP(
      W$6,
      Actuals!$H$3:$BD$3,
      Actuals!$H:$BD
   )
)</f>
        <v>0</v>
      </c>
      <c r="X26" s="236" cm="1">
        <f t="array" ref="X26">_xlfn.XLOOKUP(
   $B$4&amp;" "&amp;$B26,
   Actuals!$D:$D,
   _xlfn.XLOOKUP(
      X$6,
      Actuals!$H$3:$BD$3,
      Actuals!$H:$BD
   )
)</f>
        <v>0</v>
      </c>
      <c r="Y26" s="236" cm="1">
        <f t="array" ref="Y26">_xlfn.XLOOKUP(
   $B$4&amp;" "&amp;$B26,
   Actuals!$D:$D,
   _xlfn.XLOOKUP(
      Y$6,
      Actuals!$H$3:$BD$3,
      Actuals!$H:$BD
   )
)</f>
        <v>0</v>
      </c>
      <c r="Z26" s="236" cm="1">
        <f t="array" ref="Z26">_xlfn.XLOOKUP(
   $B$4&amp;" "&amp;$B26,
   Actuals!$D:$D,
   _xlfn.XLOOKUP(
      Z$6,
      Actuals!$H$3:$BD$3,
      Actuals!$H:$BD
   )
)</f>
        <v>0</v>
      </c>
      <c r="AA26" s="236" cm="1">
        <f t="array" ref="AA26">_xlfn.XLOOKUP(
   $B$4&amp;" "&amp;$B26,
   Actuals!$D:$D,
   _xlfn.XLOOKUP(
      AA$6,
      Actuals!$H$3:$BD$3,
      Actuals!$H:$BD
   )
)</f>
        <v>0</v>
      </c>
      <c r="AB26" s="236" cm="1">
        <f t="array" ref="AB26">_xlfn.XLOOKUP(
   $B$4&amp;" "&amp;$B26,
   Actuals!$D:$D,
   _xlfn.XLOOKUP(
      AB$6,
      Actuals!$H$3:$BD$3,
      Actuals!$H:$BD
   )
)</f>
        <v>0</v>
      </c>
      <c r="AC26" s="292" cm="1">
        <f t="array" ref="AC26">_xlfn.XLOOKUP(
   $B$4&amp;" "&amp;$B26,
   Actuals!$D:$D,
   _xlfn.XLOOKUP(
      AC$6,
      Actuals!$H$3:$BD$3,
      Actuals!$H:$BD
   )
)</f>
        <v>75495.760000000009</v>
      </c>
      <c r="AD26" s="292" cm="1">
        <f t="array" ref="AD26">_xlfn.XLOOKUP(
   $B$4&amp;" "&amp;$B26,
   Actuals!$D:$D,
   _xlfn.XLOOKUP(
      AD$6,
      Actuals!$H$3:$BD$3,
      Actuals!$H:$BD
   )
)</f>
        <v>75135.530933333343</v>
      </c>
      <c r="AE26" s="292" cm="1">
        <f t="array" ref="AE26">_xlfn.XLOOKUP(
   $B$4&amp;" "&amp;$B26,
   Actuals!$D:$D,
   _xlfn.XLOOKUP(
      AE$6,
      Actuals!$H$3:$BD$3,
      Actuals!$H:$BD
   )
)</f>
        <v>75845.786242666669</v>
      </c>
      <c r="AF26" s="292" cm="1">
        <f t="array" ref="AF26">_xlfn.XLOOKUP(
   $B$4&amp;" "&amp;$B26,
   Actuals!$D:$D,
   _xlfn.XLOOKUP(
      AF$6,
      Actuals!$H$3:$BD$3,
      Actuals!$H:$BD
   )
)</f>
        <v>78563.604105093342</v>
      </c>
      <c r="AG26" s="292" cm="1">
        <f t="array" ref="AG26">_xlfn.XLOOKUP(
   $B$4&amp;" "&amp;$B26,
   Actuals!$D:$D,
   _xlfn.XLOOKUP(
      AG$6,
      Actuals!$H$3:$BD$3,
      Actuals!$H:$BD
   )
)</f>
        <v>78607.396812810926</v>
      </c>
      <c r="AH26" s="292" cm="1">
        <f t="array" ref="AH26">_xlfn.XLOOKUP(
   $B$4&amp;" "&amp;$B26,
   Actuals!$D:$D,
   _xlfn.XLOOKUP(
      AH$6,
      Actuals!$H$3:$BD$3,
      Actuals!$H:$BD
   )
)</f>
        <v>78757.244114272369</v>
      </c>
      <c r="AI26" s="292" cm="1">
        <f t="array" ref="AI26">_xlfn.XLOOKUP(
   $B$4&amp;" "&amp;$B26,
   Actuals!$D:$D,
   _xlfn.XLOOKUP(
      AI$6,
      Actuals!$H$3:$BD$3,
      Actuals!$H:$BD
   )
)</f>
        <v>121684.83983312265</v>
      </c>
      <c r="AJ26" s="292" cm="1">
        <f t="array" ref="AJ26">_xlfn.XLOOKUP(
   $B$4&amp;" "&amp;$B26,
   Actuals!$D:$D,
   _xlfn.XLOOKUP(
      AJ$6,
      Actuals!$H$3:$BD$3,
      Actuals!$H:$BD
   )
)</f>
        <v>121424.63823145388</v>
      </c>
      <c r="AK26" s="292" cm="1">
        <f t="array" ref="AK26">_xlfn.XLOOKUP(
   $B$4&amp;" "&amp;$B26,
   Actuals!$D:$D,
   _xlfn.XLOOKUP(
      AK$6,
      Actuals!$H$3:$BD$3,
      Actuals!$H:$BD
   )
)</f>
        <v>123465.38461376843</v>
      </c>
      <c r="AL26" s="292" cm="1">
        <f t="array" ref="AL26">_xlfn.XLOOKUP(
   $B$4&amp;" "&amp;$B26,
   Actuals!$D:$D,
   _xlfn.XLOOKUP(
      AL$6,
      Actuals!$H$3:$BD$3,
      Actuals!$H:$BD
   )
)</f>
        <v>125551.7034599061</v>
      </c>
      <c r="AM26" s="292" cm="1">
        <f t="array" ref="AM26">_xlfn.XLOOKUP(
   $B$4&amp;" "&amp;$B26,
   Actuals!$D:$D,
   _xlfn.XLOOKUP(
      AM$6,
      Actuals!$H$3:$BD$3,
      Actuals!$H:$BD
   )
)</f>
        <v>125683.22049450516</v>
      </c>
      <c r="AN26" s="292" cm="1">
        <f t="array" ref="AN26">_xlfn.XLOOKUP(
   $B$4&amp;" "&amp;$B26,
   Actuals!$D:$D,
   _xlfn.XLOOKUP(
      AN$6,
      Actuals!$H$3:$BD$3,
      Actuals!$H:$BD
   )
)</f>
        <v>127811.37269945021</v>
      </c>
      <c r="AO26" s="292" cm="1">
        <f t="array" ref="AO26">_xlfn.XLOOKUP(
   $B$4&amp;" "&amp;$B26,
   Actuals!$D:$D,
   _xlfn.XLOOKUP(
      AO$6,
      Actuals!$H$3:$BD$3,
      Actuals!$H:$BD
   )
)</f>
        <v>82492.058884296479</v>
      </c>
      <c r="AP26" s="292" cm="1">
        <f t="array" ref="AP26">_xlfn.XLOOKUP(
   $B$4&amp;" "&amp;$B26,
   Actuals!$D:$D,
   _xlfn.XLOOKUP(
      AP$6,
      Actuals!$H$3:$BD$3,
      Actuals!$H:$BD
   )
)</f>
        <v>84530.011273139447</v>
      </c>
      <c r="AQ26" s="292" cm="1">
        <f t="array" ref="AQ26">_xlfn.XLOOKUP(
   $B$4&amp;" "&amp;$B26,
   Actuals!$D:$D,
   _xlfn.XLOOKUP(
      AQ$6,
      Actuals!$H$3:$BD$3,
      Actuals!$H:$BD
   )
)</f>
        <v>86948.846185870832</v>
      </c>
      <c r="AR26" s="292" cm="1">
        <f t="array" ref="AR26">_xlfn.XLOOKUP(
   $B$4&amp;" "&amp;$B26,
   Actuals!$D:$D,
   _xlfn.XLOOKUP(
      AR$6,
      Actuals!$H$3:$BD$3,
      Actuals!$H:$BD
   )
)</f>
        <v>0</v>
      </c>
      <c r="AS26" s="292" cm="1">
        <f t="array" ref="AS26">_xlfn.XLOOKUP(
   $B$4&amp;" "&amp;$B26,
   Actuals!$D:$D,
   _xlfn.XLOOKUP(
      AS$6,
      Actuals!$H$3:$BD$3,
      Actuals!$H:$BD
   )
)</f>
        <v>0</v>
      </c>
      <c r="AT26" s="292" cm="1">
        <f t="array" ref="AT26">_xlfn.XLOOKUP(
   $B$4&amp;" "&amp;$B26,
   Actuals!$D:$D,
   _xlfn.XLOOKUP(
      AT$6,
      Actuals!$H$3:$BD$3,
      Actuals!$H:$BD
   )
)</f>
        <v>0</v>
      </c>
      <c r="AU26" s="292" cm="1">
        <f t="array" ref="AU26">_xlfn.XLOOKUP(
   $B$4&amp;" "&amp;$B26,
   Actuals!$D:$D,
   _xlfn.XLOOKUP(
      AU$6,
      Actuals!$H$3:$BD$3,
      Actuals!$H:$BD
   )
)</f>
        <v>0</v>
      </c>
      <c r="AV26" s="292" cm="1">
        <f t="array" ref="AV26">_xlfn.XLOOKUP(
   $B$4&amp;" "&amp;$B26,
   Actuals!$D:$D,
   _xlfn.XLOOKUP(
      AV$6,
      Actuals!$H$3:$BD$3,
      Actuals!$H:$BD
   )
)</f>
        <v>0</v>
      </c>
      <c r="AW26" s="292" cm="1">
        <f t="array" ref="AW26">_xlfn.XLOOKUP(
   $B$4&amp;" "&amp;$B26,
   Actuals!$D:$D,
   _xlfn.XLOOKUP(
      AW$6,
      Actuals!$H$3:$BD$3,
      Actuals!$H:$BD
   )
)</f>
        <v>0</v>
      </c>
      <c r="AX26" s="292" cm="1">
        <f t="array" ref="AX26">_xlfn.XLOOKUP(
   $B$4&amp;" "&amp;$B26,
   Actuals!$D:$D,
   _xlfn.XLOOKUP(
      AX$6,
      Actuals!$H$3:$BD$3,
      Actuals!$H:$BD
   )
)</f>
        <v>0</v>
      </c>
      <c r="AY26" s="292" cm="1">
        <f t="array" ref="AY26">_xlfn.XLOOKUP(
   $B$4&amp;" "&amp;$B26,
   Actuals!$D:$D,
   _xlfn.XLOOKUP(
      AY$6,
      Actuals!$H$3:$BD$3,
      Actuals!$H:$BD
   )
)</f>
        <v>0</v>
      </c>
      <c r="AZ26" s="292" cm="1">
        <f t="array" ref="AZ26">_xlfn.XLOOKUP(
   $B$4&amp;" "&amp;$B26,
   Actuals!$D:$D,
   _xlfn.XLOOKUP(
      AZ$6,
      Actuals!$H$3:$BD$3,
      Actuals!$H:$BD
   )
)</f>
        <v>0</v>
      </c>
      <c r="BA26" s="236"/>
      <c r="BB26" s="236" cm="1">
        <f t="array" ref="BB26">_xlfn.XLOOKUP(
   $B$4&amp;" "&amp;$B26,
   Actuals!$D:$D,
   _xlfn.XLOOKUP(
      BB$7,
      Actuals!$H$3:$BM$3,
      Actuals!$H:$BM
   )
)</f>
        <v>84656.972114435586</v>
      </c>
      <c r="BC26" s="236">
        <f>VLOOKUP($B$4&amp;" "&amp;$B26,Budget!$AG$4:$AL$132,$BB$5+1,FALSE)</f>
        <v>75549.333333333328</v>
      </c>
      <c r="BD26" s="236">
        <f>IFERROR(BB26-BC26,"-")</f>
        <v>9107.6387811022578</v>
      </c>
      <c r="BE26" s="236"/>
      <c r="BF26" s="236" t="str" cm="1">
        <f t="array" ref="BF26">_xlfn.XLOOKUP(
   $B$4&amp;" "&amp;$B26,
   Actuals!$D:$D,
   _xlfn.XLOOKUP(
      BF$7,
      Actuals!$H$3:$BM$3,
      Actuals!$H:$BM
   )
)</f>
        <v>-</v>
      </c>
      <c r="BG26" s="236">
        <f>VLOOKUP($B$4&amp;" "&amp;$B26,Budget!$AG$4:$AL$132,BF$5+1,FALSE)</f>
        <v>75549.333333333328</v>
      </c>
      <c r="BH26" s="236" t="str">
        <f>IFERROR(BF26-BG26,"-")</f>
        <v>-</v>
      </c>
      <c r="BI26" s="236"/>
      <c r="BJ26" s="236" t="str" cm="1">
        <f t="array" ref="BJ26">_xlfn.XLOOKUP(
   $B$4&amp;" "&amp;$B26,
   Actuals!$D:$D,
   _xlfn.XLOOKUP(
      BJ$7,
      Actuals!$H$3:$BM$3,
      Actuals!$H:$BM
   )
)</f>
        <v>-</v>
      </c>
      <c r="BK26" s="236">
        <f>VLOOKUP($B$4&amp;" "&amp;$B26,Budget!$AG$4:$AL$132,BJ$5+1,FALSE)</f>
        <v>76843.777777777766</v>
      </c>
      <c r="BL26" s="236" t="str">
        <f>IFERROR(BJ26-BK26,"-")</f>
        <v>-</v>
      </c>
      <c r="BM26" s="236"/>
      <c r="BN26" s="236" t="str" cm="1">
        <f t="array" ref="BN26">_xlfn.XLOOKUP(
   $B$4&amp;" "&amp;$B26,
   Actuals!$D:$D,
   _xlfn.XLOOKUP(
      BN$7,
      Actuals!$H$3:$BM$3,
      Actuals!$H:$BM
   )
)</f>
        <v>-</v>
      </c>
      <c r="BO26" s="236">
        <f>VLOOKUP($B$4&amp;" "&amp;$B26,Budget!$AG$4:$AL$132,BN$5+1,FALSE)</f>
        <v>77566</v>
      </c>
      <c r="BP26" s="236"/>
      <c r="BQ26" s="236"/>
      <c r="BR26" s="236" cm="1">
        <f t="array" aca="1" ref="BR26" ca="1">_xlfn.XLOOKUP(
   $B$4&amp;" "&amp;$B26,
   Actuals!$D:$D,
   _xlfn.XLOOKUP(
      BR$6,
      Actuals!$H$3:$BM$3,
      Actuals!$H:$BM
   )
)</f>
        <v>21164.243028608897</v>
      </c>
      <c r="BS26" s="236">
        <f ca="1">VLOOKUP($B$4&amp;" "&amp;$B26,Budget!$AG$4:$AL$132,6,FALSE)</f>
        <v>76545.166666666672</v>
      </c>
      <c r="BT26" s="292">
        <f t="shared" ca="1" si="26"/>
        <v>-55380.923638057779</v>
      </c>
      <c r="BU26" s="236"/>
      <c r="BV26" s="236" cm="1">
        <f t="array" ref="BV26">_xlfn.XLOOKUP(
   $B$4&amp;" "&amp;$B26,
   Actuals!$D:$D,
   _xlfn.XLOOKUP(
      BV$6,
      Actuals!$H$3:$BM$3,
      Actuals!$H:$BM
   )
)</f>
        <v>101251.89836872328</v>
      </c>
    </row>
    <row r="27" spans="2:74">
      <c r="B27" s="26" t="s">
        <v>64</v>
      </c>
      <c r="C27" s="139" t="s">
        <v>49</v>
      </c>
      <c r="D27" s="171" t="str">
        <f>VLOOKUP($B$4&amp;" "&amp;$B27,Actuals!$D$4:$AG$131,3,FALSE)</f>
        <v>$</v>
      </c>
      <c r="E27" s="236" cm="1">
        <f t="array" ref="E27">_xlfn.XLOOKUP(
   $B$4&amp;" "&amp;$B27,
   Actuals!$D:$D,
   _xlfn.XLOOKUP(
      E$6,
      Actuals!$H$3:$BD$3,
      Actuals!$H:$BD
   )
)</f>
        <v>3540.88</v>
      </c>
      <c r="F27" s="236" cm="1">
        <f t="array" ref="F27">_xlfn.XLOOKUP(
   $B$4&amp;" "&amp;$B27,
   Actuals!$D:$D,
   _xlfn.XLOOKUP(
      F$6,
      Actuals!$H$3:$BD$3,
      Actuals!$H:$BD
   )
)</f>
        <v>12655.84</v>
      </c>
      <c r="G27" s="236" cm="1">
        <f t="array" ref="G27">_xlfn.XLOOKUP(
   $B$4&amp;" "&amp;$B27,
   Actuals!$D:$D,
   _xlfn.XLOOKUP(
      G$6,
      Actuals!$H$3:$BD$3,
      Actuals!$H:$BD
   )
)</f>
        <v>5571.2300000000005</v>
      </c>
      <c r="H27" s="236" cm="1">
        <f t="array" ref="H27">_xlfn.XLOOKUP(
   $B$4&amp;" "&amp;$B27,
   Actuals!$D:$D,
   _xlfn.XLOOKUP(
      H$6,
      Actuals!$H$3:$BD$3,
      Actuals!$H:$BD
   )
)</f>
        <v>3952.25</v>
      </c>
      <c r="I27" s="236" cm="1">
        <f t="array" ref="I27">_xlfn.XLOOKUP(
   $B$4&amp;" "&amp;$B27,
   Actuals!$D:$D,
   _xlfn.XLOOKUP(
      I$6,
      Actuals!$H$3:$BD$3,
      Actuals!$H:$BD
   )
)</f>
        <v>7151.77</v>
      </c>
      <c r="J27" s="236" cm="1">
        <f t="array" ref="J27">_xlfn.XLOOKUP(
   $B$4&amp;" "&amp;$B27,
   Actuals!$D:$D,
   _xlfn.XLOOKUP(
      J$6,
      Actuals!$H$3:$BD$3,
      Actuals!$H:$BD
   )
)</f>
        <v>3481.27</v>
      </c>
      <c r="K27" s="237" cm="1">
        <f t="array" ref="K27">_xlfn.XLOOKUP(
   $B$4&amp;" "&amp;$B27,
   Actuals!$D:$D,
   _xlfn.XLOOKUP(
      K$6,
      Actuals!$H$3:$BD$3,
      Actuals!$H:$BD
   )
)</f>
        <v>28391.06</v>
      </c>
      <c r="L27" s="237" cm="1">
        <f t="array" ref="L27">_xlfn.XLOOKUP(
   $B$4&amp;" "&amp;$B27,
   Actuals!$D:$D,
   _xlfn.XLOOKUP(
      L$6,
      Actuals!$H$3:$BD$3,
      Actuals!$H:$BD
   )
)</f>
        <v>3604.27</v>
      </c>
      <c r="M27" s="237" cm="1">
        <f t="array" ref="M27">_xlfn.XLOOKUP(
   $B$4&amp;" "&amp;$B27,
   Actuals!$D:$D,
   _xlfn.XLOOKUP(
      M$6,
      Actuals!$H$3:$BD$3,
      Actuals!$H:$BD
   )
)</f>
        <v>4818.01</v>
      </c>
      <c r="N27" s="237" cm="1">
        <f t="array" ref="N27">_xlfn.XLOOKUP(
   $B$4&amp;" "&amp;$B27,
   Actuals!$D:$D,
   _xlfn.XLOOKUP(
      N$6,
      Actuals!$H$3:$BD$3,
      Actuals!$H:$BD
   )
)</f>
        <v>7809.3</v>
      </c>
      <c r="O27" s="236" cm="1">
        <f t="array" ref="O27">_xlfn.XLOOKUP(
   $B$4&amp;" "&amp;$B27,
   Actuals!$D:$D,
   _xlfn.XLOOKUP(
      O$6,
      Actuals!$H$3:$BD$3,
      Actuals!$H:$BD
   )
)</f>
        <v>0</v>
      </c>
      <c r="P27" s="236" cm="1">
        <f t="array" ref="P27">_xlfn.XLOOKUP(
   $B$4&amp;" "&amp;$B27,
   Actuals!$D:$D,
   _xlfn.XLOOKUP(
      P$6,
      Actuals!$H$3:$BD$3,
      Actuals!$H:$BD
   )
)</f>
        <v>0</v>
      </c>
      <c r="Q27" s="236" cm="1">
        <f t="array" ref="Q27">_xlfn.XLOOKUP(
   $B$4&amp;" "&amp;$B27,
   Actuals!$D:$D,
   _xlfn.XLOOKUP(
      Q$6,
      Actuals!$H$3:$BD$3,
      Actuals!$H:$BD
   )
)</f>
        <v>0</v>
      </c>
      <c r="R27" s="236" cm="1">
        <f t="array" ref="R27">_xlfn.XLOOKUP(
   $B$4&amp;" "&amp;$B27,
   Actuals!$D:$D,
   _xlfn.XLOOKUP(
      R$6,
      Actuals!$H$3:$BD$3,
      Actuals!$H:$BD
   )
)</f>
        <v>0</v>
      </c>
      <c r="S27" s="236" cm="1">
        <f t="array" ref="S27">_xlfn.XLOOKUP(
   $B$4&amp;" "&amp;$B27,
   Actuals!$D:$D,
   _xlfn.XLOOKUP(
      S$6,
      Actuals!$H$3:$BD$3,
      Actuals!$H:$BD
   )
)</f>
        <v>0</v>
      </c>
      <c r="T27" s="236" cm="1">
        <f t="array" ref="T27">_xlfn.XLOOKUP(
   $B$4&amp;" "&amp;$B27,
   Actuals!$D:$D,
   _xlfn.XLOOKUP(
      T$6,
      Actuals!$H$3:$BD$3,
      Actuals!$H:$BD
   )
)</f>
        <v>0</v>
      </c>
      <c r="U27" s="236" cm="1">
        <f t="array" ref="U27">_xlfn.XLOOKUP(
   $B$4&amp;" "&amp;$B27,
   Actuals!$D:$D,
   _xlfn.XLOOKUP(
      U$6,
      Actuals!$H$3:$BD$3,
      Actuals!$H:$BD
   )
)</f>
        <v>0</v>
      </c>
      <c r="V27" s="236" cm="1">
        <f t="array" ref="V27">_xlfn.XLOOKUP(
   $B$4&amp;" "&amp;$B27,
   Actuals!$D:$D,
   _xlfn.XLOOKUP(
      V$6,
      Actuals!$H$3:$BD$3,
      Actuals!$H:$BD
   )
)</f>
        <v>0</v>
      </c>
      <c r="W27" s="236" cm="1">
        <f t="array" ref="W27">_xlfn.XLOOKUP(
   $B$4&amp;" "&amp;$B27,
   Actuals!$D:$D,
   _xlfn.XLOOKUP(
      W$6,
      Actuals!$H$3:$BD$3,
      Actuals!$H:$BD
   )
)</f>
        <v>0</v>
      </c>
      <c r="X27" s="236" cm="1">
        <f t="array" ref="X27">_xlfn.XLOOKUP(
   $B$4&amp;" "&amp;$B27,
   Actuals!$D:$D,
   _xlfn.XLOOKUP(
      X$6,
      Actuals!$H$3:$BD$3,
      Actuals!$H:$BD
   )
)</f>
        <v>0</v>
      </c>
      <c r="Y27" s="236" cm="1">
        <f t="array" ref="Y27">_xlfn.XLOOKUP(
   $B$4&amp;" "&amp;$B27,
   Actuals!$D:$D,
   _xlfn.XLOOKUP(
      Y$6,
      Actuals!$H$3:$BD$3,
      Actuals!$H:$BD
   )
)</f>
        <v>0</v>
      </c>
      <c r="Z27" s="236" cm="1">
        <f t="array" ref="Z27">_xlfn.XLOOKUP(
   $B$4&amp;" "&amp;$B27,
   Actuals!$D:$D,
   _xlfn.XLOOKUP(
      Z$6,
      Actuals!$H$3:$BD$3,
      Actuals!$H:$BD
   )
)</f>
        <v>0</v>
      </c>
      <c r="AA27" s="236" cm="1">
        <f t="array" ref="AA27">_xlfn.XLOOKUP(
   $B$4&amp;" "&amp;$B27,
   Actuals!$D:$D,
   _xlfn.XLOOKUP(
      AA$6,
      Actuals!$H$3:$BD$3,
      Actuals!$H:$BD
   )
)</f>
        <v>0</v>
      </c>
      <c r="AB27" s="236" cm="1">
        <f t="array" ref="AB27">_xlfn.XLOOKUP(
   $B$4&amp;" "&amp;$B27,
   Actuals!$D:$D,
   _xlfn.XLOOKUP(
      AB$6,
      Actuals!$H$3:$BD$3,
      Actuals!$H:$BD
   )
)</f>
        <v>0</v>
      </c>
      <c r="AC27" s="292" cm="1">
        <f t="array" ref="AC27">_xlfn.XLOOKUP(
   $B$4&amp;" "&amp;$B27,
   Actuals!$D:$D,
   _xlfn.XLOOKUP(
      AC$6,
      Actuals!$H$3:$BD$3,
      Actuals!$H:$BD
   )
)</f>
        <v>8044</v>
      </c>
      <c r="AD27" s="292" cm="1">
        <f t="array" ref="AD27">_xlfn.XLOOKUP(
   $B$4&amp;" "&amp;$B27,
   Actuals!$D:$D,
   _xlfn.XLOOKUP(
      AD$6,
      Actuals!$H$3:$BD$3,
      Actuals!$H:$BD
   )
)</f>
        <v>11470</v>
      </c>
      <c r="AE27" s="292" cm="1">
        <f t="array" ref="AE27">_xlfn.XLOOKUP(
   $B$4&amp;" "&amp;$B27,
   Actuals!$D:$D,
   _xlfn.XLOOKUP(
      AE$6,
      Actuals!$H$3:$BD$3,
      Actuals!$H:$BD
   )
)</f>
        <v>11708</v>
      </c>
      <c r="AF27" s="292" cm="1">
        <f t="array" ref="AF27">_xlfn.XLOOKUP(
   $B$4&amp;" "&amp;$B27,
   Actuals!$D:$D,
   _xlfn.XLOOKUP(
      AF$6,
      Actuals!$H$3:$BD$3,
      Actuals!$H:$BD
   )
)</f>
        <v>5947</v>
      </c>
      <c r="AG27" s="292" cm="1">
        <f t="array" ref="AG27">_xlfn.XLOOKUP(
   $B$4&amp;" "&amp;$B27,
   Actuals!$D:$D,
   _xlfn.XLOOKUP(
      AG$6,
      Actuals!$H$3:$BD$3,
      Actuals!$H:$BD
   )
)</f>
        <v>8232</v>
      </c>
      <c r="AH27" s="292" cm="1">
        <f t="array" ref="AH27">_xlfn.XLOOKUP(
   $B$4&amp;" "&amp;$B27,
   Actuals!$D:$D,
   _xlfn.XLOOKUP(
      AH$6,
      Actuals!$H$3:$BD$3,
      Actuals!$H:$BD
   )
)</f>
        <v>10223</v>
      </c>
      <c r="AI27" s="292" cm="1">
        <f t="array" ref="AI27">_xlfn.XLOOKUP(
   $B$4&amp;" "&amp;$B27,
   Actuals!$D:$D,
   _xlfn.XLOOKUP(
      AI$6,
      Actuals!$H$3:$BD$3,
      Actuals!$H:$BD
   )
)</f>
        <v>5590</v>
      </c>
      <c r="AJ27" s="292" cm="1">
        <f t="array" ref="AJ27">_xlfn.XLOOKUP(
   $B$4&amp;" "&amp;$B27,
   Actuals!$D:$D,
   _xlfn.XLOOKUP(
      AJ$6,
      Actuals!$H$3:$BD$3,
      Actuals!$H:$BD
   )
)</f>
        <v>8600</v>
      </c>
      <c r="AK27" s="292" cm="1">
        <f t="array" ref="AK27">_xlfn.XLOOKUP(
   $B$4&amp;" "&amp;$B27,
   Actuals!$D:$D,
   _xlfn.XLOOKUP(
      AK$6,
      Actuals!$H$3:$BD$3,
      Actuals!$H:$BD
   )
)</f>
        <v>7033</v>
      </c>
      <c r="AL27" s="292" cm="1">
        <f t="array" ref="AL27">_xlfn.XLOOKUP(
   $B$4&amp;" "&amp;$B27,
   Actuals!$D:$D,
   _xlfn.XLOOKUP(
      AL$6,
      Actuals!$H$3:$BD$3,
      Actuals!$H:$BD
   )
)</f>
        <v>5400</v>
      </c>
      <c r="AM27" s="292" cm="1">
        <f t="array" ref="AM27">_xlfn.XLOOKUP(
   $B$4&amp;" "&amp;$B27,
   Actuals!$D:$D,
   _xlfn.XLOOKUP(
      AM$6,
      Actuals!$H$3:$BD$3,
      Actuals!$H:$BD
   )
)</f>
        <v>7702</v>
      </c>
      <c r="AN27" s="292" cm="1">
        <f t="array" ref="AN27">_xlfn.XLOOKUP(
   $B$4&amp;" "&amp;$B27,
   Actuals!$D:$D,
   _xlfn.XLOOKUP(
      AN$6,
      Actuals!$H$3:$BD$3,
      Actuals!$H:$BD
   )
)</f>
        <v>6036.38</v>
      </c>
      <c r="AO27" s="292" cm="1">
        <f t="array" ref="AO27">_xlfn.XLOOKUP(
   $B$4&amp;" "&amp;$B27,
   Actuals!$D:$D,
   _xlfn.XLOOKUP(
      AO$6,
      Actuals!$H$3:$BD$3,
      Actuals!$H:$BD
   )
)</f>
        <v>16799.54</v>
      </c>
      <c r="AP27" s="292" cm="1">
        <f t="array" ref="AP27">_xlfn.XLOOKUP(
   $B$4&amp;" "&amp;$B27,
   Actuals!$D:$D,
   _xlfn.XLOOKUP(
      AP$6,
      Actuals!$H$3:$BD$3,
      Actuals!$H:$BD
   )
)</f>
        <v>13328.44</v>
      </c>
      <c r="AQ27" s="292" cm="1">
        <f t="array" ref="AQ27">_xlfn.XLOOKUP(
   $B$4&amp;" "&amp;$B27,
   Actuals!$D:$D,
   _xlfn.XLOOKUP(
      AQ$6,
      Actuals!$H$3:$BD$3,
      Actuals!$H:$BD
   )
)</f>
        <v>8741.1200000000008</v>
      </c>
      <c r="AR27" s="292" cm="1">
        <f t="array" ref="AR27">_xlfn.XLOOKUP(
   $B$4&amp;" "&amp;$B27,
   Actuals!$D:$D,
   _xlfn.XLOOKUP(
      AR$6,
      Actuals!$H$3:$BD$3,
      Actuals!$H:$BD
   )
)</f>
        <v>0</v>
      </c>
      <c r="AS27" s="292" cm="1">
        <f t="array" ref="AS27">_xlfn.XLOOKUP(
   $B$4&amp;" "&amp;$B27,
   Actuals!$D:$D,
   _xlfn.XLOOKUP(
      AS$6,
      Actuals!$H$3:$BD$3,
      Actuals!$H:$BD
   )
)</f>
        <v>0</v>
      </c>
      <c r="AT27" s="292" cm="1">
        <f t="array" ref="AT27">_xlfn.XLOOKUP(
   $B$4&amp;" "&amp;$B27,
   Actuals!$D:$D,
   _xlfn.XLOOKUP(
      AT$6,
      Actuals!$H$3:$BD$3,
      Actuals!$H:$BD
   )
)</f>
        <v>0</v>
      </c>
      <c r="AU27" s="292" cm="1">
        <f t="array" ref="AU27">_xlfn.XLOOKUP(
   $B$4&amp;" "&amp;$B27,
   Actuals!$D:$D,
   _xlfn.XLOOKUP(
      AU$6,
      Actuals!$H$3:$BD$3,
      Actuals!$H:$BD
   )
)</f>
        <v>0</v>
      </c>
      <c r="AV27" s="292" cm="1">
        <f t="array" ref="AV27">_xlfn.XLOOKUP(
   $B$4&amp;" "&amp;$B27,
   Actuals!$D:$D,
   _xlfn.XLOOKUP(
      AV$6,
      Actuals!$H$3:$BD$3,
      Actuals!$H:$BD
   )
)</f>
        <v>0</v>
      </c>
      <c r="AW27" s="292" cm="1">
        <f t="array" ref="AW27">_xlfn.XLOOKUP(
   $B$4&amp;" "&amp;$B27,
   Actuals!$D:$D,
   _xlfn.XLOOKUP(
      AW$6,
      Actuals!$H$3:$BD$3,
      Actuals!$H:$BD
   )
)</f>
        <v>0</v>
      </c>
      <c r="AX27" s="292" cm="1">
        <f t="array" ref="AX27">_xlfn.XLOOKUP(
   $B$4&amp;" "&amp;$B27,
   Actuals!$D:$D,
   _xlfn.XLOOKUP(
      AX$6,
      Actuals!$H$3:$BD$3,
      Actuals!$H:$BD
   )
)</f>
        <v>0</v>
      </c>
      <c r="AY27" s="292" cm="1">
        <f t="array" ref="AY27">_xlfn.XLOOKUP(
   $B$4&amp;" "&amp;$B27,
   Actuals!$D:$D,
   _xlfn.XLOOKUP(
      AY$6,
      Actuals!$H$3:$BD$3,
      Actuals!$H:$BD
   )
)</f>
        <v>0</v>
      </c>
      <c r="AZ27" s="292" cm="1">
        <f t="array" ref="AZ27">_xlfn.XLOOKUP(
   $B$4&amp;" "&amp;$B27,
   Actuals!$D:$D,
   _xlfn.XLOOKUP(
      AZ$6,
      Actuals!$H$3:$BD$3,
      Actuals!$H:$BD
   )
)</f>
        <v>0</v>
      </c>
      <c r="BA27" s="236"/>
      <c r="BB27" s="236" cm="1">
        <f t="array" ref="BB27">_xlfn.XLOOKUP(
   $B$4&amp;" "&amp;$B27,
   Actuals!$D:$D,
   _xlfn.XLOOKUP(
      BB$7,
      Actuals!$H$3:$BM$3,
      Actuals!$H:$BM
   )
)</f>
        <v>38869.100000000006</v>
      </c>
      <c r="BC27" s="236">
        <f>VLOOKUP($B$4&amp;" "&amp;$B27,Budget!$AG$4:$AL$132,$BB$5+1,FALSE)</f>
        <v>80112</v>
      </c>
      <c r="BD27" s="236">
        <f>BB27-BC27</f>
        <v>-41242.899999999994</v>
      </c>
      <c r="BE27" s="236"/>
      <c r="BF27" s="236" cm="1">
        <f t="array" ref="BF27">_xlfn.XLOOKUP(
   $B$4&amp;" "&amp;$B27,
   Actuals!$D:$D,
   _xlfn.XLOOKUP(
      BF$7,
      Actuals!$H$3:$BM$3,
      Actuals!$H:$BM
   )
)</f>
        <v>0</v>
      </c>
      <c r="BG27" s="236">
        <f>VLOOKUP($B$4&amp;" "&amp;$B27,Budget!$AG$4:$AL$132,BF$5+1,FALSE)</f>
        <v>19044</v>
      </c>
      <c r="BH27" s="236">
        <f>BF27-BG27</f>
        <v>-19044</v>
      </c>
      <c r="BI27" s="236"/>
      <c r="BJ27" s="236" cm="1">
        <f t="array" ref="BJ27">_xlfn.XLOOKUP(
   $B$4&amp;" "&amp;$B27,
   Actuals!$D:$D,
   _xlfn.XLOOKUP(
      BJ$7,
      Actuals!$H$3:$BM$3,
      Actuals!$H:$BM
   )
)</f>
        <v>0</v>
      </c>
      <c r="BK27" s="236">
        <f>VLOOKUP($B$4&amp;" "&amp;$B27,Budget!$AG$4:$AL$132,BJ$5+1,FALSE)</f>
        <v>30904</v>
      </c>
      <c r="BL27" s="236">
        <f>BJ27-BK27</f>
        <v>-30904</v>
      </c>
      <c r="BM27" s="236"/>
      <c r="BN27" s="236" cm="1">
        <f t="array" ref="BN27">_xlfn.XLOOKUP(
   $B$4&amp;" "&amp;$B27,
   Actuals!$D:$D,
   _xlfn.XLOOKUP(
      BN$7,
      Actuals!$H$3:$BM$3,
      Actuals!$H:$BM
   )
)</f>
        <v>0</v>
      </c>
      <c r="BO27" s="236">
        <f>VLOOKUP($B$4&amp;" "&amp;$B27,Budget!$AG$4:$AL$132,BN$5+1,FALSE)</f>
        <v>29584</v>
      </c>
      <c r="BP27" s="236"/>
      <c r="BQ27" s="236"/>
      <c r="BR27" s="236" cm="1">
        <f t="array" aca="1" ref="BR27" ca="1">_xlfn.XLOOKUP(
   $B$4&amp;" "&amp;$B27,
   Actuals!$D:$D,
   _xlfn.XLOOKUP(
      BR$6,
      Actuals!$H$3:$BM$3,
      Actuals!$H:$BM
   )
)</f>
        <v>38869.100000000006</v>
      </c>
      <c r="BS27" s="236">
        <f ca="1">VLOOKUP($B$4&amp;" "&amp;$B27,Budget!$AG$4:$AL$132,6,FALSE)</f>
        <v>165824</v>
      </c>
      <c r="BT27" s="292">
        <f t="shared" ca="1" si="26"/>
        <v>-126954.9</v>
      </c>
      <c r="BU27" s="236"/>
      <c r="BV27" s="236" cm="1">
        <f t="array" ref="BV27">_xlfn.XLOOKUP(
   $B$4&amp;" "&amp;$B27,
   Actuals!$D:$D,
   _xlfn.XLOOKUP(
      BV$6,
      Actuals!$H$3:$BM$3,
      Actuals!$H:$BM
   )
)</f>
        <v>104740.92000000001</v>
      </c>
    </row>
    <row r="28" spans="2:74">
      <c r="E28" s="26"/>
      <c r="F28" s="26"/>
      <c r="G28" s="26"/>
      <c r="H28" s="26"/>
      <c r="I28" s="26"/>
      <c r="J28" s="26"/>
      <c r="K28" s="26"/>
      <c r="L28" s="26"/>
      <c r="M28" s="26"/>
      <c r="N28" s="26"/>
      <c r="O28" s="285"/>
      <c r="P28" s="285"/>
      <c r="Q28" s="285"/>
      <c r="R28" s="285"/>
      <c r="S28" s="285"/>
      <c r="T28" s="285"/>
      <c r="U28" s="285"/>
      <c r="V28" s="285"/>
      <c r="W28" s="285"/>
      <c r="X28" s="285"/>
      <c r="Y28" s="285"/>
      <c r="Z28" s="285"/>
      <c r="AA28" s="285"/>
      <c r="AB28" s="285"/>
      <c r="AC28" s="285"/>
      <c r="AD28" s="285"/>
      <c r="AE28" s="285"/>
      <c r="AF28" s="285"/>
      <c r="AG28" s="285"/>
      <c r="AH28" s="285"/>
      <c r="AI28" s="285"/>
      <c r="AJ28" s="285"/>
      <c r="AK28" s="285"/>
      <c r="AL28" s="285"/>
      <c r="AM28" s="285"/>
      <c r="AN28" s="285"/>
      <c r="AO28" s="285"/>
      <c r="AP28" s="285"/>
      <c r="AQ28" s="285"/>
      <c r="AR28" s="285"/>
      <c r="AS28" s="285"/>
      <c r="AT28" s="285"/>
      <c r="AU28" s="285"/>
      <c r="AV28" s="285"/>
      <c r="AW28" s="285"/>
      <c r="AX28" s="285"/>
      <c r="AY28" s="285"/>
      <c r="AZ28" s="285"/>
      <c r="BA28" s="285"/>
      <c r="BB28" s="285"/>
      <c r="BC28" s="285"/>
      <c r="BD28" s="285"/>
      <c r="BE28" s="285"/>
      <c r="BF28" s="285"/>
      <c r="BG28" s="285"/>
      <c r="BH28" s="285"/>
      <c r="BI28" s="285"/>
      <c r="BJ28" s="285"/>
      <c r="BK28" s="285"/>
      <c r="BL28" s="285"/>
      <c r="BM28" s="285"/>
      <c r="BN28" s="285"/>
      <c r="BO28" s="285"/>
      <c r="BP28" s="285"/>
      <c r="BQ28" s="285"/>
      <c r="BR28" s="285"/>
      <c r="BS28" s="285"/>
      <c r="BT28" s="285"/>
      <c r="BU28" s="285"/>
      <c r="BV28" s="285"/>
    </row>
    <row r="29" spans="2:74">
      <c r="E29" s="26"/>
      <c r="F29" s="26"/>
      <c r="G29" s="26"/>
      <c r="H29" s="26"/>
      <c r="I29" s="26"/>
      <c r="J29" s="26"/>
      <c r="K29" s="26"/>
      <c r="L29" s="26"/>
      <c r="M29" s="26"/>
      <c r="N29" s="26"/>
      <c r="O29" s="285"/>
      <c r="P29" s="285"/>
      <c r="Q29" s="285"/>
      <c r="R29" s="285"/>
      <c r="S29" s="285"/>
      <c r="T29" s="285"/>
      <c r="U29" s="285"/>
      <c r="V29" s="285"/>
      <c r="W29" s="285"/>
      <c r="X29" s="285"/>
      <c r="Y29" s="285"/>
      <c r="Z29" s="285"/>
      <c r="AA29" s="285"/>
      <c r="AB29" s="285"/>
      <c r="AC29" s="285"/>
      <c r="AD29" s="285"/>
      <c r="AE29" s="285"/>
      <c r="AF29" s="285"/>
      <c r="AG29" s="285"/>
      <c r="AH29" s="285"/>
      <c r="AI29" s="285"/>
      <c r="AJ29" s="285"/>
      <c r="AK29" s="285"/>
      <c r="AL29" s="285"/>
      <c r="AM29" s="285"/>
      <c r="AN29" s="285"/>
      <c r="AO29" s="285"/>
      <c r="AP29" s="285"/>
      <c r="AQ29" s="285"/>
      <c r="AR29" s="285"/>
      <c r="AS29" s="285"/>
      <c r="AT29" s="285"/>
      <c r="AU29" s="285"/>
      <c r="AV29" s="285"/>
      <c r="AW29" s="285"/>
      <c r="AX29" s="285"/>
      <c r="AY29" s="285"/>
      <c r="AZ29" s="285"/>
      <c r="BA29" s="285"/>
      <c r="BB29" s="285"/>
      <c r="BC29" s="285"/>
      <c r="BD29" s="285"/>
      <c r="BE29" s="285"/>
      <c r="BF29" s="285"/>
      <c r="BG29" s="285"/>
      <c r="BH29" s="285"/>
      <c r="BI29" s="285"/>
      <c r="BJ29" s="285"/>
      <c r="BK29" s="285"/>
      <c r="BL29" s="285"/>
      <c r="BM29" s="285"/>
      <c r="BN29" s="285"/>
      <c r="BO29" s="285"/>
      <c r="BP29" s="285"/>
      <c r="BQ29" s="285"/>
      <c r="BR29" s="285"/>
      <c r="BS29" s="285"/>
      <c r="BT29" s="285"/>
      <c r="BU29" s="285"/>
      <c r="BV29" s="285"/>
    </row>
    <row r="30" spans="2:74">
      <c r="E30" s="26"/>
      <c r="F30" s="26"/>
      <c r="G30" s="26"/>
      <c r="H30" s="26"/>
      <c r="I30" s="26"/>
      <c r="J30" s="26"/>
      <c r="K30" s="26"/>
      <c r="L30" s="26"/>
      <c r="M30" s="26"/>
      <c r="N30" s="26"/>
      <c r="O30" s="285"/>
      <c r="P30" s="285"/>
      <c r="Q30" s="285"/>
      <c r="R30" s="285"/>
      <c r="S30" s="285"/>
      <c r="T30" s="285"/>
      <c r="U30" s="285"/>
      <c r="V30" s="285"/>
      <c r="W30" s="285"/>
      <c r="X30" s="285"/>
      <c r="Y30" s="285"/>
      <c r="Z30" s="285"/>
      <c r="AA30" s="285"/>
      <c r="AB30" s="285"/>
      <c r="AC30" s="285"/>
      <c r="AD30" s="285"/>
      <c r="AE30" s="285"/>
      <c r="AF30" s="285"/>
      <c r="AG30" s="285"/>
      <c r="AH30" s="285"/>
      <c r="AI30" s="285"/>
      <c r="AJ30" s="285"/>
      <c r="AK30" s="285"/>
      <c r="AL30" s="285"/>
      <c r="AM30" s="285"/>
      <c r="AN30" s="285"/>
      <c r="AO30" s="285"/>
      <c r="AP30" s="285"/>
      <c r="AQ30" s="285"/>
      <c r="AR30" s="285"/>
      <c r="AS30" s="285"/>
      <c r="AT30" s="285"/>
      <c r="AU30" s="285"/>
      <c r="AV30" s="285"/>
      <c r="AW30" s="285"/>
      <c r="AX30" s="285"/>
      <c r="AY30" s="285"/>
      <c r="AZ30" s="285"/>
      <c r="BA30" s="285"/>
      <c r="BB30" s="285"/>
      <c r="BC30" s="285"/>
      <c r="BD30" s="285"/>
      <c r="BE30" s="285"/>
      <c r="BF30" s="285"/>
      <c r="BG30" s="285"/>
      <c r="BH30" s="285"/>
      <c r="BI30" s="285"/>
      <c r="BJ30" s="285"/>
      <c r="BK30" s="285"/>
      <c r="BL30" s="285"/>
      <c r="BM30" s="285"/>
      <c r="BN30" s="285"/>
      <c r="BO30" s="285"/>
      <c r="BP30" s="285"/>
      <c r="BQ30" s="285"/>
      <c r="BR30" s="285"/>
      <c r="BS30" s="285"/>
      <c r="BT30" s="285"/>
      <c r="BU30" s="285"/>
      <c r="BV30" s="285"/>
    </row>
    <row r="31" spans="2:74">
      <c r="E31" s="26"/>
      <c r="F31" s="26"/>
      <c r="G31" s="26"/>
      <c r="H31" s="26"/>
      <c r="I31" s="26"/>
      <c r="J31" s="26"/>
      <c r="K31" s="26"/>
      <c r="L31" s="26"/>
      <c r="M31" s="26"/>
      <c r="N31" s="26"/>
      <c r="O31" s="285"/>
      <c r="P31" s="285"/>
      <c r="Q31" s="285"/>
      <c r="R31" s="285"/>
      <c r="S31" s="285"/>
      <c r="T31" s="285"/>
      <c r="U31" s="285"/>
      <c r="V31" s="285"/>
      <c r="W31" s="285"/>
      <c r="X31" s="285"/>
      <c r="Y31" s="285"/>
      <c r="Z31" s="285"/>
      <c r="AA31" s="285"/>
      <c r="AB31" s="285"/>
      <c r="AC31" s="285"/>
      <c r="AD31" s="285"/>
      <c r="AE31" s="285"/>
      <c r="AF31" s="285"/>
      <c r="AG31" s="285"/>
      <c r="AH31" s="285"/>
      <c r="AI31" s="285"/>
      <c r="AJ31" s="285"/>
      <c r="AK31" s="285"/>
      <c r="AL31" s="285"/>
      <c r="AM31" s="285"/>
      <c r="AN31" s="285"/>
      <c r="AO31" s="285"/>
      <c r="AP31" s="285"/>
      <c r="AQ31" s="285"/>
      <c r="AR31" s="285"/>
      <c r="AS31" s="285"/>
      <c r="AT31" s="285"/>
      <c r="AU31" s="285"/>
      <c r="AV31" s="285"/>
      <c r="AW31" s="285"/>
      <c r="AX31" s="285"/>
      <c r="AY31" s="285"/>
      <c r="AZ31" s="285"/>
      <c r="BA31" s="285"/>
      <c r="BB31" s="285"/>
      <c r="BC31" s="285"/>
      <c r="BD31" s="285"/>
      <c r="BE31" s="285"/>
      <c r="BF31" s="285"/>
      <c r="BG31" s="285"/>
      <c r="BH31" s="285"/>
      <c r="BI31" s="285"/>
      <c r="BJ31" s="285"/>
      <c r="BK31" s="285"/>
      <c r="BL31" s="285"/>
      <c r="BM31" s="285"/>
      <c r="BN31" s="285"/>
      <c r="BO31" s="285"/>
      <c r="BP31" s="285"/>
      <c r="BQ31" s="285"/>
      <c r="BR31" s="285"/>
      <c r="BS31" s="285"/>
      <c r="BT31" s="285"/>
      <c r="BU31" s="285"/>
      <c r="BV31" s="285"/>
    </row>
    <row r="32" spans="2:74">
      <c r="E32" s="26"/>
      <c r="F32" s="26"/>
      <c r="G32" s="26"/>
      <c r="H32" s="26"/>
      <c r="I32" s="26"/>
      <c r="J32" s="26"/>
      <c r="K32" s="26"/>
      <c r="L32" s="26"/>
      <c r="M32" s="26"/>
      <c r="N32" s="26"/>
      <c r="O32" s="285"/>
      <c r="P32" s="285"/>
      <c r="Q32" s="285"/>
      <c r="R32" s="285"/>
      <c r="S32" s="285"/>
      <c r="T32" s="285"/>
      <c r="U32" s="285"/>
      <c r="V32" s="285"/>
      <c r="W32" s="285"/>
      <c r="X32" s="285"/>
      <c r="Y32" s="285"/>
      <c r="Z32" s="285"/>
      <c r="AA32" s="285"/>
      <c r="AB32" s="285"/>
      <c r="AC32" s="285"/>
      <c r="AD32" s="285"/>
      <c r="AE32" s="285"/>
      <c r="AF32" s="285"/>
      <c r="AG32" s="285"/>
      <c r="AH32" s="285"/>
      <c r="AI32" s="285"/>
      <c r="AJ32" s="285"/>
      <c r="AK32" s="285"/>
      <c r="AL32" s="285"/>
      <c r="AM32" s="285"/>
      <c r="AN32" s="285"/>
      <c r="AO32" s="285"/>
      <c r="AP32" s="285"/>
      <c r="AQ32" s="285"/>
      <c r="AR32" s="285"/>
      <c r="AS32" s="285"/>
      <c r="AT32" s="285"/>
      <c r="AU32" s="285"/>
      <c r="AV32" s="285"/>
      <c r="AW32" s="285"/>
      <c r="AX32" s="285"/>
      <c r="AY32" s="285"/>
      <c r="AZ32" s="285"/>
      <c r="BA32" s="285"/>
      <c r="BB32" s="285"/>
      <c r="BC32" s="285"/>
      <c r="BD32" s="285"/>
      <c r="BE32" s="285"/>
      <c r="BF32" s="285"/>
      <c r="BG32" s="285"/>
      <c r="BH32" s="285"/>
      <c r="BI32" s="285"/>
      <c r="BJ32" s="285"/>
      <c r="BK32" s="285"/>
      <c r="BL32" s="285"/>
      <c r="BM32" s="285"/>
      <c r="BN32" s="285"/>
      <c r="BO32" s="285"/>
      <c r="BP32" s="285"/>
      <c r="BQ32" s="285"/>
      <c r="BR32" s="285"/>
      <c r="BS32" s="285"/>
      <c r="BT32" s="285"/>
      <c r="BU32" s="285"/>
      <c r="BV32" s="285"/>
    </row>
    <row r="33" spans="15:73">
      <c r="O33" s="285"/>
      <c r="P33" s="285"/>
      <c r="Q33" s="285"/>
      <c r="R33" s="285"/>
      <c r="S33" s="285"/>
      <c r="T33" s="285"/>
      <c r="U33" s="285"/>
      <c r="V33" s="285"/>
      <c r="W33" s="285"/>
      <c r="X33" s="285"/>
      <c r="Y33" s="285"/>
      <c r="Z33" s="285"/>
      <c r="AA33" s="285"/>
      <c r="AB33" s="285"/>
      <c r="AC33" s="285"/>
      <c r="AD33" s="285"/>
      <c r="AE33" s="285"/>
      <c r="AF33" s="285"/>
      <c r="AG33" s="285"/>
      <c r="AH33" s="285"/>
      <c r="AI33" s="285"/>
      <c r="AJ33" s="285"/>
      <c r="AK33" s="285"/>
      <c r="AL33" s="285"/>
      <c r="AM33" s="285"/>
      <c r="AN33" s="285"/>
      <c r="AO33" s="285"/>
      <c r="AP33" s="285"/>
      <c r="AQ33" s="285"/>
      <c r="AR33" s="285"/>
      <c r="AS33" s="285"/>
      <c r="AT33" s="285"/>
      <c r="AU33" s="285"/>
      <c r="AV33" s="285"/>
      <c r="AW33" s="285"/>
      <c r="AX33" s="285"/>
      <c r="AY33" s="285"/>
      <c r="AZ33" s="285"/>
      <c r="BA33" s="285"/>
      <c r="BB33" s="285"/>
      <c r="BC33" s="285"/>
      <c r="BD33" s="285"/>
      <c r="BE33" s="285"/>
      <c r="BF33" s="285"/>
      <c r="BG33" s="285"/>
      <c r="BH33" s="285"/>
      <c r="BI33" s="285"/>
      <c r="BJ33" s="285"/>
      <c r="BK33" s="285"/>
      <c r="BL33" s="285"/>
      <c r="BM33" s="285"/>
      <c r="BN33" s="285"/>
      <c r="BO33" s="285"/>
      <c r="BP33" s="285"/>
      <c r="BQ33" s="285"/>
      <c r="BR33" s="285"/>
      <c r="BS33" s="285"/>
      <c r="BT33" s="285"/>
      <c r="BU33" s="285"/>
    </row>
    <row r="34" spans="15:73">
      <c r="O34" s="285"/>
      <c r="P34" s="285"/>
      <c r="Q34" s="285"/>
      <c r="R34" s="285"/>
      <c r="S34" s="285"/>
      <c r="T34" s="285"/>
      <c r="U34" s="285"/>
      <c r="V34" s="285"/>
      <c r="W34" s="285"/>
      <c r="X34" s="285"/>
      <c r="Y34" s="285"/>
      <c r="Z34" s="285"/>
      <c r="AA34" s="285"/>
      <c r="AB34" s="285"/>
      <c r="AC34" s="285"/>
      <c r="AD34" s="285"/>
      <c r="AE34" s="285"/>
      <c r="AF34" s="285"/>
      <c r="AG34" s="285"/>
      <c r="AH34" s="285"/>
      <c r="AI34" s="285"/>
      <c r="AJ34" s="285"/>
      <c r="AK34" s="285"/>
      <c r="AL34" s="285"/>
      <c r="AM34" s="285"/>
      <c r="AN34" s="285"/>
      <c r="AO34" s="285"/>
      <c r="AP34" s="285"/>
      <c r="AQ34" s="285"/>
      <c r="AR34" s="285"/>
      <c r="AS34" s="285"/>
      <c r="AT34" s="285"/>
      <c r="AU34" s="285"/>
      <c r="AV34" s="285"/>
      <c r="AW34" s="285"/>
      <c r="AX34" s="285"/>
      <c r="AY34" s="285"/>
      <c r="AZ34" s="285"/>
      <c r="BA34" s="285"/>
      <c r="BB34" s="285"/>
      <c r="BC34" s="285"/>
      <c r="BD34" s="285"/>
      <c r="BE34" s="285"/>
      <c r="BF34" s="285"/>
      <c r="BG34" s="285"/>
      <c r="BH34" s="285"/>
      <c r="BI34" s="285"/>
      <c r="BJ34" s="285"/>
      <c r="BK34" s="285"/>
      <c r="BL34" s="285"/>
      <c r="BM34" s="285"/>
      <c r="BN34" s="285"/>
      <c r="BO34" s="285"/>
      <c r="BP34" s="285"/>
      <c r="BQ34" s="285"/>
      <c r="BR34" s="285"/>
      <c r="BS34" s="285"/>
      <c r="BT34" s="285"/>
      <c r="BU34" s="285"/>
    </row>
    <row r="35" spans="15:73">
      <c r="O35" s="285"/>
      <c r="P35" s="285"/>
      <c r="Q35" s="285"/>
      <c r="R35" s="285"/>
      <c r="S35" s="285"/>
      <c r="T35" s="285"/>
      <c r="U35" s="285"/>
      <c r="V35" s="285"/>
      <c r="W35" s="285"/>
      <c r="X35" s="285"/>
      <c r="Y35" s="285"/>
      <c r="Z35" s="285"/>
      <c r="AA35" s="285"/>
      <c r="AB35" s="285"/>
      <c r="AC35" s="285"/>
      <c r="AD35" s="285"/>
      <c r="AE35" s="285"/>
      <c r="AF35" s="285"/>
      <c r="AG35" s="285"/>
      <c r="AH35" s="285"/>
      <c r="AI35" s="285"/>
      <c r="AJ35" s="285"/>
      <c r="AK35" s="285"/>
      <c r="AL35" s="285"/>
      <c r="AM35" s="285"/>
      <c r="AN35" s="285"/>
      <c r="AO35" s="285"/>
      <c r="AP35" s="285"/>
      <c r="AQ35" s="285"/>
      <c r="AR35" s="285"/>
      <c r="AS35" s="285"/>
      <c r="AT35" s="285"/>
      <c r="AU35" s="285"/>
      <c r="AV35" s="285"/>
      <c r="AW35" s="285"/>
      <c r="AX35" s="285"/>
      <c r="AY35" s="285"/>
      <c r="AZ35" s="285"/>
      <c r="BA35" s="285"/>
      <c r="BB35" s="285"/>
      <c r="BC35" s="285"/>
      <c r="BD35" s="285"/>
      <c r="BE35" s="285"/>
      <c r="BF35" s="285"/>
      <c r="BG35" s="285"/>
      <c r="BH35" s="285"/>
      <c r="BI35" s="285"/>
      <c r="BJ35" s="285"/>
      <c r="BK35" s="285"/>
      <c r="BL35" s="285"/>
      <c r="BM35" s="285"/>
      <c r="BN35" s="285"/>
      <c r="BO35" s="285"/>
      <c r="BP35" s="285"/>
      <c r="BQ35" s="285"/>
      <c r="BR35" s="285"/>
      <c r="BS35" s="285"/>
      <c r="BT35" s="285"/>
      <c r="BU35" s="285"/>
    </row>
    <row r="36" spans="15:73">
      <c r="O36" s="285"/>
      <c r="P36" s="285"/>
      <c r="Q36" s="285"/>
      <c r="R36" s="285"/>
      <c r="S36" s="285"/>
      <c r="T36" s="285"/>
      <c r="U36" s="285"/>
      <c r="V36" s="285"/>
      <c r="W36" s="285"/>
      <c r="X36" s="285"/>
      <c r="Y36" s="285"/>
      <c r="Z36" s="285"/>
      <c r="AA36" s="285"/>
      <c r="AB36" s="285"/>
      <c r="AC36" s="285"/>
      <c r="AD36" s="285"/>
      <c r="AE36" s="285"/>
      <c r="AF36" s="285"/>
      <c r="AG36" s="285"/>
      <c r="AH36" s="285"/>
      <c r="AI36" s="285"/>
      <c r="AJ36" s="285"/>
      <c r="AK36" s="285"/>
      <c r="AL36" s="285"/>
      <c r="AM36" s="285"/>
      <c r="AN36" s="285"/>
      <c r="AO36" s="285"/>
      <c r="AP36" s="285"/>
      <c r="AQ36" s="285"/>
      <c r="AR36" s="285"/>
      <c r="AS36" s="285"/>
      <c r="AT36" s="285"/>
      <c r="AU36" s="285"/>
      <c r="AV36" s="285"/>
      <c r="AW36" s="285"/>
      <c r="AX36" s="285"/>
      <c r="AY36" s="285"/>
      <c r="AZ36" s="285"/>
      <c r="BA36" s="285"/>
      <c r="BB36" s="285"/>
      <c r="BC36" s="285"/>
      <c r="BD36" s="285"/>
      <c r="BE36" s="285"/>
      <c r="BF36" s="285"/>
      <c r="BG36" s="285"/>
      <c r="BH36" s="285"/>
      <c r="BI36" s="285"/>
      <c r="BJ36" s="285"/>
      <c r="BK36" s="285"/>
      <c r="BL36" s="285"/>
      <c r="BM36" s="285"/>
      <c r="BN36" s="285"/>
      <c r="BO36" s="285"/>
      <c r="BP36" s="285"/>
      <c r="BQ36" s="285"/>
      <c r="BR36" s="285"/>
      <c r="BS36" s="285"/>
      <c r="BT36" s="285"/>
      <c r="BU36" s="285"/>
    </row>
    <row r="37" spans="15:73" ht="14.5" customHeight="1">
      <c r="O37" s="285"/>
      <c r="P37" s="285"/>
      <c r="Q37" s="285"/>
      <c r="R37" s="285"/>
      <c r="S37" s="285"/>
      <c r="T37" s="285"/>
      <c r="U37" s="285"/>
      <c r="V37" s="285"/>
      <c r="W37" s="285"/>
      <c r="X37" s="285"/>
      <c r="Y37" s="285"/>
      <c r="Z37" s="285"/>
      <c r="AA37" s="285"/>
      <c r="AB37" s="285"/>
      <c r="AC37" s="285"/>
      <c r="AD37" s="285"/>
      <c r="AE37" s="285"/>
      <c r="AF37" s="285"/>
      <c r="AG37" s="285"/>
      <c r="AH37" s="285"/>
      <c r="AI37" s="285"/>
      <c r="AJ37" s="285"/>
      <c r="AK37" s="285"/>
      <c r="AL37" s="285"/>
      <c r="AM37" s="285"/>
      <c r="AN37" s="285"/>
      <c r="AO37" s="285"/>
      <c r="AP37" s="285"/>
      <c r="AQ37" s="285"/>
      <c r="AR37" s="285"/>
      <c r="AS37" s="285"/>
      <c r="AT37" s="285"/>
      <c r="AU37" s="285"/>
      <c r="AV37" s="285"/>
      <c r="AW37" s="285"/>
      <c r="AX37" s="285"/>
      <c r="AY37" s="285"/>
      <c r="AZ37" s="285"/>
      <c r="BA37" s="285"/>
      <c r="BB37" s="285"/>
      <c r="BC37" s="285"/>
      <c r="BD37" s="285"/>
      <c r="BE37" s="285"/>
      <c r="BF37" s="285"/>
      <c r="BG37" s="285"/>
      <c r="BH37" s="285"/>
      <c r="BI37" s="285"/>
      <c r="BJ37" s="285"/>
      <c r="BK37" s="285"/>
      <c r="BL37" s="285"/>
      <c r="BM37" s="285"/>
      <c r="BN37" s="285"/>
      <c r="BO37" s="285"/>
      <c r="BP37" s="285"/>
      <c r="BQ37" s="285"/>
      <c r="BR37" s="285"/>
      <c r="BS37" s="285"/>
      <c r="BT37" s="285"/>
      <c r="BU37" s="285"/>
    </row>
    <row r="38" spans="15:73">
      <c r="O38" s="285"/>
      <c r="P38" s="285"/>
      <c r="Q38" s="285"/>
      <c r="R38" s="285"/>
      <c r="S38" s="285"/>
      <c r="T38" s="285"/>
      <c r="U38" s="285"/>
      <c r="V38" s="285"/>
      <c r="W38" s="285"/>
      <c r="X38" s="285"/>
      <c r="Y38" s="285"/>
      <c r="Z38" s="285"/>
      <c r="AA38" s="285"/>
      <c r="AB38" s="285"/>
      <c r="AC38" s="285"/>
      <c r="AD38" s="285"/>
      <c r="AE38" s="285"/>
      <c r="AF38" s="285"/>
      <c r="AG38" s="285"/>
      <c r="AH38" s="285"/>
      <c r="AI38" s="285"/>
      <c r="AJ38" s="285"/>
      <c r="AK38" s="285"/>
      <c r="AL38" s="285"/>
      <c r="AM38" s="285"/>
      <c r="AN38" s="285"/>
      <c r="AO38" s="285"/>
      <c r="AP38" s="285"/>
      <c r="AQ38" s="285"/>
      <c r="AR38" s="285"/>
      <c r="AS38" s="285"/>
      <c r="AT38" s="285"/>
      <c r="AU38" s="285"/>
      <c r="AV38" s="285"/>
      <c r="AW38" s="285"/>
      <c r="AX38" s="285"/>
      <c r="AY38" s="285"/>
      <c r="AZ38" s="285"/>
      <c r="BA38" s="285"/>
      <c r="BB38" s="285"/>
      <c r="BC38" s="285"/>
      <c r="BD38" s="285"/>
      <c r="BE38" s="285"/>
      <c r="BF38" s="285"/>
      <c r="BG38" s="285"/>
      <c r="BH38" s="285"/>
      <c r="BI38" s="285"/>
      <c r="BJ38" s="285"/>
      <c r="BK38" s="285"/>
      <c r="BL38" s="285"/>
      <c r="BM38" s="285"/>
      <c r="BN38" s="285"/>
      <c r="BO38" s="285"/>
      <c r="BP38" s="285"/>
      <c r="BQ38" s="285"/>
      <c r="BR38" s="285"/>
      <c r="BS38" s="285"/>
      <c r="BT38" s="285"/>
      <c r="BU38" s="285"/>
    </row>
    <row r="39" spans="15:73">
      <c r="O39" s="285"/>
      <c r="P39" s="285"/>
      <c r="Q39" s="285"/>
      <c r="R39" s="285"/>
      <c r="S39" s="285"/>
      <c r="T39" s="285"/>
      <c r="U39" s="285"/>
      <c r="V39" s="285"/>
      <c r="W39" s="285"/>
      <c r="X39" s="285"/>
      <c r="Y39" s="285"/>
      <c r="Z39" s="285"/>
      <c r="AA39" s="285"/>
      <c r="AB39" s="285"/>
      <c r="AC39" s="285"/>
      <c r="AD39" s="285"/>
      <c r="AE39" s="285"/>
      <c r="AF39" s="285"/>
      <c r="AG39" s="285"/>
      <c r="AH39" s="285"/>
      <c r="AI39" s="285"/>
      <c r="AJ39" s="285"/>
      <c r="AK39" s="285"/>
      <c r="AL39" s="285"/>
      <c r="AM39" s="285"/>
      <c r="AN39" s="285"/>
      <c r="AO39" s="285"/>
      <c r="AP39" s="285"/>
      <c r="AQ39" s="285"/>
      <c r="AR39" s="285"/>
      <c r="AS39" s="285"/>
      <c r="AT39" s="285"/>
      <c r="AU39" s="285"/>
      <c r="AV39" s="285"/>
      <c r="AW39" s="285"/>
      <c r="AX39" s="285"/>
      <c r="AY39" s="285"/>
      <c r="AZ39" s="285"/>
      <c r="BA39" s="285"/>
      <c r="BB39" s="285"/>
      <c r="BC39" s="285"/>
      <c r="BD39" s="285"/>
      <c r="BE39" s="285"/>
      <c r="BF39" s="285"/>
      <c r="BG39" s="285"/>
      <c r="BH39" s="285"/>
      <c r="BI39" s="285"/>
      <c r="BJ39" s="285"/>
      <c r="BK39" s="285"/>
      <c r="BL39" s="285"/>
      <c r="BM39" s="285"/>
      <c r="BN39" s="285"/>
      <c r="BO39" s="285"/>
      <c r="BP39" s="285"/>
      <c r="BQ39" s="285"/>
      <c r="BR39" s="285"/>
      <c r="BS39" s="285"/>
      <c r="BT39" s="285"/>
      <c r="BU39" s="285"/>
    </row>
    <row r="40" spans="15:73">
      <c r="O40" s="285"/>
      <c r="P40" s="285"/>
      <c r="Q40" s="285"/>
      <c r="R40" s="285"/>
      <c r="S40" s="285"/>
      <c r="T40" s="285"/>
      <c r="U40" s="285"/>
      <c r="V40" s="285"/>
      <c r="W40" s="285"/>
      <c r="X40" s="285"/>
      <c r="Y40" s="285"/>
      <c r="Z40" s="285"/>
      <c r="AA40" s="285"/>
      <c r="AB40" s="285"/>
      <c r="AC40" s="285"/>
      <c r="AD40" s="285"/>
      <c r="AE40" s="285"/>
      <c r="AF40" s="285"/>
      <c r="AG40" s="285"/>
      <c r="AH40" s="285"/>
      <c r="AI40" s="285"/>
      <c r="AJ40" s="285"/>
      <c r="AK40" s="285"/>
      <c r="AL40" s="285"/>
      <c r="AM40" s="285"/>
      <c r="AN40" s="285"/>
      <c r="AO40" s="285"/>
      <c r="AP40" s="285"/>
      <c r="AQ40" s="285"/>
      <c r="AR40" s="285"/>
      <c r="AS40" s="285"/>
      <c r="AT40" s="285"/>
      <c r="AU40" s="285"/>
      <c r="AV40" s="285"/>
      <c r="AW40" s="285"/>
      <c r="AX40" s="285"/>
      <c r="AY40" s="285"/>
      <c r="AZ40" s="285"/>
      <c r="BA40" s="285"/>
      <c r="BB40" s="285"/>
      <c r="BC40" s="285"/>
      <c r="BD40" s="285"/>
      <c r="BE40" s="285"/>
      <c r="BF40" s="285"/>
      <c r="BG40" s="285"/>
      <c r="BH40" s="285"/>
      <c r="BI40" s="285"/>
      <c r="BJ40" s="285"/>
      <c r="BK40" s="285"/>
      <c r="BL40" s="285"/>
      <c r="BM40" s="285"/>
      <c r="BN40" s="285"/>
      <c r="BO40" s="285"/>
      <c r="BP40" s="285"/>
      <c r="BQ40" s="285"/>
      <c r="BR40" s="285"/>
      <c r="BS40" s="285"/>
      <c r="BT40" s="285"/>
      <c r="BU40" s="285"/>
    </row>
    <row r="41" spans="15:73">
      <c r="O41" s="285"/>
      <c r="P41" s="285"/>
      <c r="Q41" s="285"/>
      <c r="R41" s="285"/>
      <c r="S41" s="285"/>
      <c r="T41" s="285"/>
      <c r="U41" s="285"/>
      <c r="V41" s="285"/>
      <c r="W41" s="285"/>
      <c r="X41" s="285"/>
      <c r="Y41" s="285"/>
      <c r="Z41" s="285"/>
      <c r="AA41" s="285"/>
      <c r="AB41" s="285"/>
      <c r="AC41" s="285"/>
      <c r="AD41" s="285"/>
      <c r="AE41" s="285"/>
      <c r="AF41" s="285"/>
      <c r="AG41" s="285"/>
      <c r="AH41" s="285"/>
      <c r="AI41" s="285"/>
      <c r="AJ41" s="285"/>
      <c r="AK41" s="285"/>
      <c r="AL41" s="285"/>
      <c r="AM41" s="285"/>
      <c r="AN41" s="285"/>
      <c r="AO41" s="285"/>
      <c r="AP41" s="285"/>
      <c r="AQ41" s="285"/>
      <c r="AR41" s="285"/>
      <c r="AS41" s="285"/>
      <c r="AT41" s="285"/>
      <c r="AU41" s="285"/>
      <c r="AV41" s="285"/>
      <c r="AW41" s="285"/>
      <c r="AX41" s="285"/>
      <c r="AY41" s="285"/>
      <c r="AZ41" s="285"/>
      <c r="BA41" s="285"/>
      <c r="BB41" s="285"/>
      <c r="BC41" s="285"/>
      <c r="BD41" s="285"/>
      <c r="BE41" s="285"/>
      <c r="BF41" s="285"/>
      <c r="BG41" s="285"/>
      <c r="BH41" s="285"/>
      <c r="BI41" s="285"/>
      <c r="BJ41" s="285"/>
      <c r="BK41" s="285"/>
      <c r="BL41" s="285"/>
      <c r="BM41" s="285"/>
      <c r="BN41" s="285"/>
      <c r="BO41" s="285"/>
      <c r="BP41" s="285"/>
      <c r="BQ41" s="285"/>
      <c r="BR41" s="285"/>
      <c r="BS41" s="285"/>
      <c r="BT41" s="285"/>
      <c r="BU41" s="285"/>
    </row>
    <row r="42" spans="15:73">
      <c r="O42" s="285"/>
      <c r="P42" s="285"/>
      <c r="Q42" s="285"/>
      <c r="R42" s="285"/>
      <c r="S42" s="285"/>
      <c r="T42" s="285"/>
      <c r="U42" s="285"/>
      <c r="V42" s="285"/>
      <c r="W42" s="285"/>
      <c r="X42" s="285"/>
      <c r="Y42" s="285"/>
      <c r="Z42" s="285"/>
      <c r="AA42" s="285"/>
      <c r="AB42" s="285"/>
      <c r="AC42" s="285"/>
      <c r="AD42" s="285"/>
      <c r="AE42" s="285"/>
      <c r="AF42" s="285"/>
      <c r="AG42" s="285"/>
      <c r="AH42" s="285"/>
      <c r="AI42" s="285"/>
      <c r="AJ42" s="285"/>
      <c r="AK42" s="285"/>
      <c r="AL42" s="285"/>
      <c r="AM42" s="285"/>
      <c r="AN42" s="285"/>
      <c r="AO42" s="285"/>
      <c r="AP42" s="285"/>
      <c r="AQ42" s="285"/>
      <c r="AR42" s="285"/>
      <c r="AS42" s="285"/>
      <c r="AT42" s="285"/>
      <c r="AU42" s="285"/>
      <c r="AV42" s="285"/>
      <c r="AW42" s="285"/>
      <c r="AX42" s="285"/>
      <c r="AY42" s="285"/>
      <c r="AZ42" s="285"/>
      <c r="BA42" s="285"/>
      <c r="BB42" s="285"/>
      <c r="BC42" s="285"/>
      <c r="BD42" s="285"/>
      <c r="BE42" s="285"/>
      <c r="BF42" s="285"/>
      <c r="BG42" s="285"/>
      <c r="BH42" s="285"/>
      <c r="BI42" s="285"/>
      <c r="BJ42" s="285"/>
      <c r="BK42" s="285"/>
      <c r="BL42" s="285"/>
      <c r="BM42" s="285"/>
      <c r="BN42" s="285"/>
      <c r="BO42" s="285"/>
      <c r="BP42" s="285"/>
      <c r="BQ42" s="285"/>
      <c r="BR42" s="285"/>
      <c r="BS42" s="285"/>
      <c r="BT42" s="285"/>
      <c r="BU42" s="285"/>
    </row>
    <row r="43" spans="15:73" ht="14.5" customHeight="1">
      <c r="O43" s="285"/>
      <c r="P43" s="285"/>
      <c r="Q43" s="285"/>
      <c r="R43" s="285"/>
      <c r="S43" s="285"/>
      <c r="T43" s="285"/>
      <c r="U43" s="285"/>
      <c r="V43" s="285"/>
      <c r="W43" s="285"/>
      <c r="X43" s="285"/>
      <c r="Y43" s="285"/>
      <c r="Z43" s="285"/>
      <c r="AA43" s="285"/>
      <c r="AB43" s="285"/>
      <c r="AC43" s="285"/>
      <c r="AD43" s="285"/>
      <c r="AE43" s="285"/>
      <c r="AF43" s="285"/>
      <c r="AG43" s="285"/>
      <c r="AH43" s="285"/>
      <c r="AI43" s="285"/>
      <c r="AJ43" s="285"/>
      <c r="AK43" s="285"/>
      <c r="AL43" s="285"/>
      <c r="AM43" s="285"/>
      <c r="AN43" s="285"/>
      <c r="AO43" s="285"/>
      <c r="AP43" s="285"/>
      <c r="AQ43" s="285"/>
      <c r="AR43" s="285"/>
      <c r="AS43" s="285"/>
      <c r="AT43" s="285"/>
      <c r="AU43" s="285"/>
      <c r="AV43" s="285"/>
      <c r="AW43" s="285"/>
      <c r="AX43" s="285"/>
      <c r="AY43" s="285"/>
      <c r="AZ43" s="285"/>
      <c r="BA43" s="285"/>
      <c r="BB43" s="285"/>
      <c r="BC43" s="285"/>
      <c r="BD43" s="285"/>
      <c r="BE43" s="285"/>
      <c r="BF43" s="285"/>
      <c r="BG43" s="285"/>
      <c r="BH43" s="285"/>
      <c r="BI43" s="285"/>
      <c r="BJ43" s="285"/>
      <c r="BK43" s="285"/>
      <c r="BL43" s="285"/>
      <c r="BM43" s="285"/>
      <c r="BN43" s="285"/>
      <c r="BO43" s="285"/>
      <c r="BP43" s="285"/>
      <c r="BQ43" s="285"/>
      <c r="BR43" s="285"/>
      <c r="BS43" s="285"/>
      <c r="BT43" s="285"/>
      <c r="BU43" s="285"/>
    </row>
    <row r="44" spans="15:73">
      <c r="O44" s="285"/>
      <c r="P44" s="285"/>
      <c r="Q44" s="285"/>
      <c r="R44" s="285"/>
      <c r="S44" s="285"/>
      <c r="T44" s="285"/>
      <c r="U44" s="285"/>
      <c r="V44" s="285"/>
      <c r="W44" s="285"/>
      <c r="X44" s="285"/>
      <c r="Y44" s="285"/>
      <c r="Z44" s="285"/>
      <c r="AA44" s="285"/>
      <c r="AB44" s="285"/>
      <c r="AC44" s="285"/>
      <c r="AD44" s="285"/>
      <c r="AE44" s="285"/>
      <c r="AF44" s="285"/>
      <c r="AG44" s="285"/>
      <c r="AH44" s="285"/>
      <c r="AI44" s="285"/>
      <c r="AJ44" s="285"/>
      <c r="AK44" s="285"/>
      <c r="AL44" s="285"/>
      <c r="AM44" s="285"/>
      <c r="AN44" s="285"/>
      <c r="AO44" s="285"/>
      <c r="AP44" s="285"/>
      <c r="AQ44" s="285"/>
      <c r="AR44" s="285"/>
      <c r="AS44" s="285"/>
      <c r="AT44" s="285"/>
      <c r="AU44" s="285"/>
      <c r="AV44" s="285"/>
      <c r="AW44" s="285"/>
      <c r="AX44" s="285"/>
      <c r="AY44" s="285"/>
      <c r="AZ44" s="285"/>
      <c r="BA44" s="285"/>
      <c r="BB44" s="285"/>
      <c r="BC44" s="285"/>
      <c r="BD44" s="285"/>
      <c r="BE44" s="285"/>
      <c r="BF44" s="285"/>
      <c r="BG44" s="285"/>
      <c r="BH44" s="285"/>
      <c r="BI44" s="285"/>
      <c r="BJ44" s="285"/>
      <c r="BK44" s="285"/>
      <c r="BL44" s="285"/>
      <c r="BM44" s="285"/>
      <c r="BN44" s="285"/>
      <c r="BO44" s="285"/>
      <c r="BP44" s="285"/>
      <c r="BQ44" s="285"/>
      <c r="BR44" s="285"/>
      <c r="BS44" s="285"/>
      <c r="BT44" s="285"/>
      <c r="BU44" s="285"/>
    </row>
    <row r="45" spans="15:73">
      <c r="O45" s="285"/>
      <c r="P45" s="285"/>
      <c r="Q45" s="285"/>
      <c r="R45" s="285"/>
      <c r="S45" s="285"/>
      <c r="T45" s="285"/>
      <c r="U45" s="285"/>
      <c r="V45" s="285"/>
      <c r="W45" s="285"/>
      <c r="X45" s="285"/>
      <c r="Y45" s="285"/>
      <c r="Z45" s="285"/>
      <c r="AA45" s="285"/>
      <c r="AB45" s="285"/>
      <c r="AC45" s="285"/>
      <c r="AD45" s="285"/>
      <c r="AE45" s="285"/>
      <c r="AF45" s="285"/>
      <c r="AG45" s="285"/>
      <c r="AH45" s="285"/>
      <c r="AI45" s="285"/>
      <c r="AJ45" s="285"/>
      <c r="AK45" s="285"/>
      <c r="AL45" s="285"/>
      <c r="AM45" s="285"/>
      <c r="AN45" s="285"/>
      <c r="AO45" s="285"/>
      <c r="AP45" s="285"/>
      <c r="AQ45" s="285"/>
      <c r="AR45" s="285"/>
      <c r="AS45" s="285"/>
      <c r="AT45" s="285"/>
      <c r="AU45" s="285"/>
      <c r="AV45" s="285"/>
      <c r="AW45" s="285"/>
      <c r="AX45" s="285"/>
      <c r="AY45" s="285"/>
      <c r="AZ45" s="285"/>
      <c r="BA45" s="285"/>
      <c r="BB45" s="285"/>
      <c r="BC45" s="285"/>
      <c r="BD45" s="285"/>
      <c r="BE45" s="285"/>
      <c r="BF45" s="285"/>
      <c r="BG45" s="285"/>
      <c r="BH45" s="285"/>
      <c r="BI45" s="285"/>
      <c r="BJ45" s="285"/>
      <c r="BK45" s="285"/>
      <c r="BL45" s="285"/>
      <c r="BM45" s="285"/>
      <c r="BN45" s="285"/>
      <c r="BO45" s="285"/>
      <c r="BP45" s="285"/>
      <c r="BQ45" s="285"/>
      <c r="BR45" s="285"/>
      <c r="BS45" s="285"/>
      <c r="BT45" s="285"/>
      <c r="BU45" s="285"/>
    </row>
    <row r="46" spans="15:73">
      <c r="O46" s="285"/>
      <c r="P46" s="285"/>
      <c r="Q46" s="285"/>
      <c r="R46" s="285"/>
      <c r="S46" s="285"/>
      <c r="T46" s="285"/>
      <c r="U46" s="285"/>
      <c r="V46" s="285"/>
      <c r="W46" s="285"/>
      <c r="X46" s="285"/>
      <c r="Y46" s="285"/>
      <c r="Z46" s="285"/>
      <c r="AA46" s="285"/>
      <c r="AB46" s="285"/>
      <c r="AC46" s="285"/>
      <c r="AD46" s="285"/>
      <c r="AE46" s="285"/>
      <c r="AF46" s="285"/>
      <c r="AG46" s="285"/>
      <c r="AH46" s="285"/>
      <c r="AI46" s="285"/>
      <c r="AJ46" s="285"/>
      <c r="AK46" s="285"/>
      <c r="AL46" s="285"/>
      <c r="AM46" s="285"/>
      <c r="AN46" s="285"/>
      <c r="AO46" s="285"/>
      <c r="AP46" s="285"/>
      <c r="AQ46" s="285"/>
      <c r="AR46" s="285"/>
      <c r="AS46" s="285"/>
      <c r="AT46" s="285"/>
      <c r="AU46" s="285"/>
      <c r="AV46" s="285"/>
      <c r="AW46" s="285"/>
      <c r="AX46" s="285"/>
      <c r="AY46" s="285"/>
      <c r="AZ46" s="285"/>
      <c r="BA46" s="285"/>
      <c r="BB46" s="285"/>
      <c r="BC46" s="285"/>
      <c r="BD46" s="285"/>
      <c r="BE46" s="285"/>
      <c r="BF46" s="285"/>
      <c r="BG46" s="285"/>
      <c r="BH46" s="285"/>
      <c r="BI46" s="285"/>
      <c r="BJ46" s="285"/>
      <c r="BK46" s="285"/>
      <c r="BL46" s="285"/>
      <c r="BM46" s="285"/>
      <c r="BN46" s="285"/>
      <c r="BO46" s="285"/>
      <c r="BP46" s="285"/>
      <c r="BQ46" s="285"/>
      <c r="BR46" s="285"/>
      <c r="BS46" s="285"/>
      <c r="BT46" s="285"/>
      <c r="BU46" s="285"/>
    </row>
    <row r="47" spans="15:73">
      <c r="O47" s="285"/>
      <c r="P47" s="285"/>
      <c r="Q47" s="285"/>
      <c r="R47" s="285"/>
      <c r="S47" s="285"/>
      <c r="T47" s="285"/>
      <c r="U47" s="285"/>
      <c r="V47" s="285"/>
      <c r="W47" s="285"/>
      <c r="X47" s="285"/>
      <c r="Y47" s="285"/>
      <c r="Z47" s="285"/>
      <c r="AA47" s="285"/>
      <c r="AB47" s="285"/>
      <c r="AC47" s="285"/>
      <c r="AD47" s="285"/>
      <c r="AE47" s="285"/>
      <c r="AF47" s="285"/>
      <c r="AG47" s="285"/>
      <c r="AH47" s="285"/>
      <c r="AI47" s="285"/>
      <c r="AJ47" s="285"/>
      <c r="AK47" s="285"/>
      <c r="AL47" s="285"/>
      <c r="AM47" s="285"/>
      <c r="AN47" s="285"/>
      <c r="AO47" s="285"/>
      <c r="AP47" s="285"/>
      <c r="AQ47" s="285"/>
      <c r="AR47" s="285"/>
      <c r="AS47" s="285"/>
      <c r="AT47" s="285"/>
      <c r="AU47" s="285"/>
      <c r="AV47" s="285"/>
      <c r="AW47" s="285"/>
      <c r="AX47" s="285"/>
      <c r="AY47" s="285"/>
      <c r="AZ47" s="285"/>
      <c r="BA47" s="285"/>
      <c r="BB47" s="285"/>
      <c r="BC47" s="285"/>
      <c r="BD47" s="285"/>
      <c r="BE47" s="285"/>
      <c r="BF47" s="285"/>
      <c r="BG47" s="285"/>
      <c r="BH47" s="285"/>
      <c r="BI47" s="285"/>
      <c r="BJ47" s="285"/>
      <c r="BK47" s="285"/>
      <c r="BL47" s="285"/>
      <c r="BM47" s="285"/>
      <c r="BN47" s="285"/>
      <c r="BO47" s="285"/>
      <c r="BP47" s="285"/>
      <c r="BQ47" s="285"/>
      <c r="BR47" s="285"/>
      <c r="BS47" s="285"/>
      <c r="BT47" s="285"/>
      <c r="BU47" s="285"/>
    </row>
    <row r="48" spans="15:73">
      <c r="O48" s="285"/>
      <c r="P48" s="285"/>
      <c r="Q48" s="285"/>
      <c r="R48" s="285"/>
      <c r="S48" s="285"/>
      <c r="T48" s="285"/>
      <c r="U48" s="285"/>
      <c r="V48" s="285"/>
      <c r="W48" s="285"/>
      <c r="X48" s="285"/>
      <c r="Y48" s="285"/>
      <c r="Z48" s="285"/>
      <c r="AA48" s="285"/>
      <c r="AB48" s="285"/>
      <c r="AC48" s="285"/>
      <c r="AD48" s="285"/>
      <c r="AE48" s="285"/>
      <c r="AF48" s="285"/>
      <c r="AG48" s="285"/>
      <c r="AH48" s="285"/>
      <c r="AI48" s="285"/>
      <c r="AJ48" s="285"/>
      <c r="AK48" s="285"/>
      <c r="AL48" s="285"/>
      <c r="AM48" s="285"/>
      <c r="AN48" s="285"/>
      <c r="AO48" s="285"/>
      <c r="AP48" s="285"/>
      <c r="AQ48" s="285"/>
      <c r="AR48" s="285"/>
      <c r="AS48" s="285"/>
      <c r="AT48" s="285"/>
      <c r="AU48" s="285"/>
      <c r="AV48" s="285"/>
      <c r="AW48" s="285"/>
      <c r="AX48" s="285"/>
      <c r="AY48" s="285"/>
      <c r="AZ48" s="285"/>
      <c r="BA48" s="285"/>
      <c r="BB48" s="285"/>
      <c r="BC48" s="285"/>
      <c r="BD48" s="285"/>
      <c r="BE48" s="285"/>
      <c r="BF48" s="285"/>
      <c r="BG48" s="285"/>
      <c r="BH48" s="285"/>
      <c r="BI48" s="285"/>
      <c r="BJ48" s="285"/>
      <c r="BK48" s="285"/>
      <c r="BL48" s="285"/>
      <c r="BM48" s="285"/>
      <c r="BN48" s="285"/>
      <c r="BO48" s="285"/>
      <c r="BP48" s="285"/>
      <c r="BQ48" s="285"/>
      <c r="BR48" s="285"/>
      <c r="BS48" s="285"/>
      <c r="BT48" s="285"/>
      <c r="BU48" s="285"/>
    </row>
    <row r="49" spans="15:73">
      <c r="O49" s="285"/>
      <c r="P49" s="285"/>
      <c r="Q49" s="285"/>
      <c r="R49" s="285"/>
      <c r="S49" s="285"/>
      <c r="T49" s="285"/>
      <c r="U49" s="285"/>
      <c r="V49" s="285"/>
      <c r="W49" s="285"/>
      <c r="X49" s="285"/>
      <c r="Y49" s="285"/>
      <c r="Z49" s="285"/>
      <c r="AA49" s="285"/>
      <c r="AB49" s="285"/>
      <c r="AC49" s="285"/>
      <c r="AD49" s="285"/>
      <c r="AE49" s="285"/>
      <c r="AF49" s="285"/>
      <c r="AG49" s="285"/>
      <c r="AH49" s="285"/>
      <c r="AI49" s="285"/>
      <c r="AJ49" s="285"/>
      <c r="AK49" s="285"/>
      <c r="AL49" s="285"/>
      <c r="AM49" s="285"/>
      <c r="AN49" s="285"/>
      <c r="AO49" s="285"/>
      <c r="AP49" s="285"/>
      <c r="AQ49" s="285"/>
      <c r="AR49" s="285"/>
      <c r="AS49" s="285"/>
      <c r="AT49" s="285"/>
      <c r="AU49" s="285"/>
      <c r="AV49" s="285"/>
      <c r="AW49" s="285"/>
      <c r="AX49" s="285"/>
      <c r="AY49" s="285"/>
      <c r="AZ49" s="285"/>
      <c r="BA49" s="285"/>
      <c r="BB49" s="285"/>
      <c r="BC49" s="285"/>
      <c r="BD49" s="285"/>
      <c r="BE49" s="285"/>
      <c r="BF49" s="285"/>
      <c r="BG49" s="285"/>
      <c r="BH49" s="285"/>
      <c r="BI49" s="285"/>
      <c r="BJ49" s="285"/>
      <c r="BK49" s="285"/>
      <c r="BL49" s="285"/>
      <c r="BM49" s="285"/>
      <c r="BN49" s="285"/>
      <c r="BO49" s="285"/>
      <c r="BP49" s="285"/>
      <c r="BQ49" s="285"/>
      <c r="BR49" s="285"/>
      <c r="BS49" s="285"/>
      <c r="BT49" s="285"/>
      <c r="BU49" s="285"/>
    </row>
    <row r="50" spans="15:73">
      <c r="O50" s="285"/>
      <c r="P50" s="285"/>
      <c r="Q50" s="285"/>
      <c r="R50" s="285"/>
      <c r="S50" s="285"/>
      <c r="T50" s="285"/>
      <c r="U50" s="285"/>
      <c r="V50" s="285"/>
      <c r="W50" s="285"/>
      <c r="X50" s="285"/>
      <c r="Y50" s="285"/>
      <c r="Z50" s="285"/>
      <c r="AA50" s="285"/>
      <c r="AB50" s="285"/>
      <c r="AC50" s="285"/>
      <c r="AD50" s="285"/>
      <c r="AE50" s="285"/>
      <c r="AF50" s="285"/>
      <c r="AG50" s="285"/>
      <c r="AH50" s="285"/>
      <c r="AI50" s="285"/>
      <c r="AJ50" s="285"/>
      <c r="AK50" s="285"/>
      <c r="AL50" s="285"/>
      <c r="AM50" s="285"/>
      <c r="AN50" s="285"/>
      <c r="AO50" s="285"/>
      <c r="AP50" s="285"/>
      <c r="AQ50" s="285"/>
      <c r="AR50" s="285"/>
      <c r="AS50" s="285"/>
      <c r="AT50" s="285"/>
      <c r="AU50" s="285"/>
      <c r="AV50" s="285"/>
      <c r="AW50" s="285"/>
      <c r="AX50" s="285"/>
      <c r="AY50" s="285"/>
      <c r="AZ50" s="285"/>
      <c r="BA50" s="285"/>
      <c r="BB50" s="285"/>
      <c r="BC50" s="285"/>
      <c r="BD50" s="285"/>
      <c r="BE50" s="285"/>
      <c r="BF50" s="285"/>
      <c r="BG50" s="285"/>
      <c r="BH50" s="285"/>
      <c r="BI50" s="285"/>
      <c r="BJ50" s="285"/>
      <c r="BK50" s="285"/>
      <c r="BL50" s="285"/>
      <c r="BM50" s="285"/>
      <c r="BN50" s="285"/>
      <c r="BO50" s="285"/>
      <c r="BP50" s="285"/>
      <c r="BQ50" s="285"/>
      <c r="BR50" s="285"/>
      <c r="BS50" s="285"/>
      <c r="BT50" s="285"/>
      <c r="BU50" s="285"/>
    </row>
    <row r="51" spans="15:73">
      <c r="O51" s="285"/>
      <c r="P51" s="285"/>
      <c r="Q51" s="285"/>
      <c r="R51" s="285"/>
      <c r="S51" s="285"/>
      <c r="T51" s="285"/>
      <c r="U51" s="285"/>
      <c r="V51" s="285"/>
      <c r="W51" s="285"/>
      <c r="X51" s="285"/>
      <c r="Y51" s="285"/>
      <c r="Z51" s="285"/>
      <c r="AA51" s="285"/>
      <c r="AB51" s="285"/>
      <c r="AC51" s="285"/>
      <c r="AD51" s="285"/>
      <c r="AE51" s="285"/>
      <c r="AF51" s="285"/>
      <c r="AG51" s="285"/>
      <c r="AH51" s="285"/>
      <c r="AI51" s="285"/>
      <c r="AJ51" s="285"/>
      <c r="AK51" s="285"/>
      <c r="AL51" s="285"/>
      <c r="AM51" s="285"/>
      <c r="AN51" s="285"/>
      <c r="AO51" s="285"/>
      <c r="AP51" s="285"/>
      <c r="AQ51" s="285"/>
      <c r="AR51" s="285"/>
      <c r="AS51" s="285"/>
      <c r="AT51" s="285"/>
      <c r="AU51" s="285"/>
      <c r="AV51" s="285"/>
      <c r="AW51" s="285"/>
      <c r="AX51" s="285"/>
      <c r="AY51" s="285"/>
      <c r="AZ51" s="285"/>
      <c r="BA51" s="285"/>
      <c r="BB51" s="285"/>
      <c r="BC51" s="285"/>
      <c r="BD51" s="285"/>
      <c r="BE51" s="285"/>
      <c r="BF51" s="285"/>
      <c r="BG51" s="285"/>
      <c r="BH51" s="285"/>
      <c r="BI51" s="285"/>
      <c r="BJ51" s="285"/>
      <c r="BK51" s="285"/>
      <c r="BL51" s="285"/>
      <c r="BM51" s="285"/>
      <c r="BN51" s="285"/>
      <c r="BO51" s="285"/>
      <c r="BP51" s="285"/>
      <c r="BQ51" s="285"/>
      <c r="BR51" s="285"/>
      <c r="BS51" s="285"/>
      <c r="BT51" s="285"/>
      <c r="BU51" s="285"/>
    </row>
    <row r="52" spans="15:73">
      <c r="O52" s="285"/>
      <c r="P52" s="285"/>
      <c r="Q52" s="285"/>
      <c r="R52" s="285"/>
      <c r="S52" s="285"/>
      <c r="T52" s="285"/>
      <c r="U52" s="285"/>
      <c r="V52" s="285"/>
      <c r="W52" s="285"/>
      <c r="X52" s="285"/>
      <c r="Y52" s="285"/>
      <c r="Z52" s="285"/>
      <c r="AA52" s="285"/>
      <c r="AB52" s="285"/>
      <c r="AC52" s="285"/>
      <c r="AD52" s="285"/>
      <c r="AE52" s="285"/>
      <c r="AF52" s="285"/>
      <c r="AG52" s="285"/>
      <c r="AH52" s="285"/>
      <c r="AI52" s="285"/>
      <c r="AJ52" s="285"/>
      <c r="AK52" s="285"/>
      <c r="AL52" s="285"/>
      <c r="AM52" s="285"/>
      <c r="AN52" s="285"/>
      <c r="AO52" s="285"/>
      <c r="AP52" s="285"/>
      <c r="AQ52" s="285"/>
      <c r="AR52" s="285"/>
      <c r="AS52" s="285"/>
      <c r="AT52" s="285"/>
      <c r="AU52" s="285"/>
      <c r="AV52" s="285"/>
      <c r="AW52" s="285"/>
      <c r="AX52" s="285"/>
      <c r="AY52" s="285"/>
      <c r="AZ52" s="285"/>
      <c r="BA52" s="285"/>
      <c r="BB52" s="285"/>
      <c r="BC52" s="285"/>
      <c r="BD52" s="285"/>
      <c r="BE52" s="285"/>
      <c r="BF52" s="285"/>
      <c r="BG52" s="285"/>
      <c r="BH52" s="285"/>
      <c r="BI52" s="285"/>
      <c r="BJ52" s="285"/>
      <c r="BK52" s="285"/>
      <c r="BL52" s="285"/>
      <c r="BM52" s="285"/>
      <c r="BN52" s="285"/>
      <c r="BO52" s="285"/>
      <c r="BP52" s="285"/>
      <c r="BQ52" s="285"/>
      <c r="BR52" s="285"/>
      <c r="BS52" s="285"/>
      <c r="BT52" s="285"/>
      <c r="BU52" s="285"/>
    </row>
    <row r="53" spans="15:73">
      <c r="O53" s="285"/>
      <c r="P53" s="285"/>
      <c r="Q53" s="285"/>
      <c r="R53" s="285"/>
      <c r="S53" s="285"/>
      <c r="T53" s="285"/>
      <c r="U53" s="285"/>
      <c r="V53" s="285"/>
      <c r="W53" s="285"/>
      <c r="X53" s="285"/>
      <c r="Y53" s="285"/>
      <c r="Z53" s="285"/>
      <c r="AA53" s="285"/>
      <c r="AB53" s="285"/>
      <c r="AC53" s="285"/>
      <c r="AD53" s="285"/>
      <c r="AE53" s="285"/>
      <c r="AF53" s="285"/>
      <c r="AG53" s="285"/>
      <c r="AH53" s="285"/>
      <c r="AI53" s="285"/>
      <c r="AJ53" s="285"/>
      <c r="AK53" s="285"/>
      <c r="AL53" s="285"/>
      <c r="AM53" s="285"/>
      <c r="AN53" s="285"/>
      <c r="AO53" s="285"/>
      <c r="AP53" s="285"/>
      <c r="AQ53" s="285"/>
      <c r="AR53" s="285"/>
      <c r="AS53" s="285"/>
      <c r="AT53" s="285"/>
      <c r="AU53" s="285"/>
      <c r="AV53" s="285"/>
      <c r="AW53" s="285"/>
      <c r="AX53" s="285"/>
      <c r="AY53" s="285"/>
      <c r="AZ53" s="285"/>
      <c r="BA53" s="285"/>
      <c r="BB53" s="285"/>
      <c r="BC53" s="285"/>
      <c r="BD53" s="285"/>
      <c r="BE53" s="285"/>
      <c r="BF53" s="285"/>
      <c r="BG53" s="285"/>
      <c r="BH53" s="285"/>
      <c r="BI53" s="285"/>
      <c r="BJ53" s="285"/>
      <c r="BK53" s="285"/>
      <c r="BL53" s="285"/>
      <c r="BM53" s="285"/>
      <c r="BN53" s="285"/>
      <c r="BO53" s="285"/>
      <c r="BP53" s="285"/>
      <c r="BQ53" s="285"/>
      <c r="BR53" s="285"/>
      <c r="BS53" s="285"/>
      <c r="BT53" s="285"/>
      <c r="BU53" s="285"/>
    </row>
  </sheetData>
  <mergeCells count="10">
    <mergeCell ref="BB7:BC7"/>
    <mergeCell ref="BF7:BG7"/>
    <mergeCell ref="BJ7:BK7"/>
    <mergeCell ref="BN7:BO7"/>
    <mergeCell ref="E5:J5"/>
    <mergeCell ref="BR5:BT5"/>
    <mergeCell ref="BB5:BD5"/>
    <mergeCell ref="BF5:BH5"/>
    <mergeCell ref="BJ5:BL5"/>
    <mergeCell ref="BN5:BP5"/>
  </mergeCells>
  <pageMargins left="0.25" right="0.25" top="0.25" bottom="0.25" header="0.3" footer="0.3"/>
  <pageSetup scale="73" orientation="landscape" r:id="rId1"/>
  <headerFooter>
    <oddHeader>&amp;L&amp;"Aptos"&amp;10&amp;K000000 Internal Use Only&amp;1#_x000D_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5434C-9D8A-4D88-A920-3E90DC4493C2}">
  <sheetPr codeName="Sheet5">
    <tabColor rgb="FF7030A0"/>
    <pageSetUpPr fitToPage="1"/>
  </sheetPr>
  <dimension ref="B1:BX54"/>
  <sheetViews>
    <sheetView showGridLines="0" zoomScaleNormal="100" workbookViewId="0">
      <pane xSplit="28" ySplit="6" topLeftCell="AO7" activePane="bottomRight" state="frozen"/>
      <selection pane="topRight" activeCell="AC1" sqref="AC1"/>
      <selection pane="bottomLeft" activeCell="A7" sqref="A7"/>
      <selection pane="bottomRight" activeCell="AC6" sqref="AC6:AN6"/>
    </sheetView>
  </sheetViews>
  <sheetFormatPr defaultColWidth="9.1796875" defaultRowHeight="12.5" outlineLevelRow="1" outlineLevelCol="1"/>
  <cols>
    <col min="1" max="1" width="1.453125" style="26" customWidth="1"/>
    <col min="2" max="2" width="32.81640625" style="26" customWidth="1"/>
    <col min="3" max="4" width="6.81640625" style="135" customWidth="1"/>
    <col min="5" max="7" width="10.26953125" style="26" hidden="1" customWidth="1" outlineLevel="1"/>
    <col min="8" max="8" width="11.1796875" style="26" hidden="1" customWidth="1" outlineLevel="1" collapsed="1"/>
    <col min="9" max="10" width="11.1796875" style="26" hidden="1" customWidth="1" outlineLevel="1"/>
    <col min="11" max="14" width="10.81640625" style="26" hidden="1" customWidth="1" outlineLevel="1"/>
    <col min="15" max="15" width="14.453125" style="26" hidden="1" customWidth="1" outlineLevel="1"/>
    <col min="16" max="16" width="12.7265625" style="26" hidden="1" customWidth="1" outlineLevel="1"/>
    <col min="17" max="17" width="14" style="26" hidden="1" customWidth="1" outlineLevel="1" collapsed="1"/>
    <col min="18" max="28" width="14" style="26" hidden="1" customWidth="1" outlineLevel="1"/>
    <col min="29" max="29" width="14" style="26" hidden="1" customWidth="1" outlineLevel="1" collapsed="1"/>
    <col min="30" max="40" width="14" style="26" hidden="1" customWidth="1" outlineLevel="1"/>
    <col min="41" max="41" width="14" style="26" customWidth="1" collapsed="1"/>
    <col min="42" max="52" width="14" style="26" customWidth="1"/>
    <col min="53" max="53" width="1.81640625" style="26" customWidth="1"/>
    <col min="54" max="54" width="12.453125" style="26" customWidth="1"/>
    <col min="55" max="55" width="11.453125" style="26" customWidth="1"/>
    <col min="56" max="56" width="11.453125" style="26" hidden="1" customWidth="1"/>
    <col min="57" max="57" width="0.81640625" style="26" customWidth="1"/>
    <col min="58" max="58" width="12.453125" style="26" customWidth="1"/>
    <col min="59" max="59" width="11.453125" style="26" customWidth="1"/>
    <col min="60" max="60" width="11.453125" style="26" hidden="1" customWidth="1"/>
    <col min="61" max="61" width="0.81640625" style="26" customWidth="1"/>
    <col min="62" max="62" width="10.453125" style="26" bestFit="1" customWidth="1"/>
    <col min="63" max="63" width="11.1796875" style="26" bestFit="1" customWidth="1"/>
    <col min="64" max="64" width="11.453125" style="26" hidden="1" customWidth="1"/>
    <col min="65" max="65" width="0.81640625" style="26" customWidth="1"/>
    <col min="66" max="66" width="10.81640625" style="26" customWidth="1"/>
    <col min="67" max="67" width="11.81640625" style="26" customWidth="1"/>
    <col min="68" max="68" width="7.453125" style="26" hidden="1" customWidth="1"/>
    <col min="69" max="69" width="0.81640625" style="26" customWidth="1"/>
    <col min="70" max="71" width="14.453125" style="26" customWidth="1"/>
    <col min="72" max="72" width="11.81640625" style="26" customWidth="1"/>
    <col min="73" max="73" width="0.81640625" style="26" customWidth="1"/>
    <col min="74" max="74" width="10.81640625" style="285" bestFit="1" customWidth="1"/>
    <col min="75" max="16384" width="9.1796875" style="26"/>
  </cols>
  <sheetData>
    <row r="1" spans="2:74" ht="6.75" customHeight="1">
      <c r="J1" s="26" t="s">
        <v>31</v>
      </c>
      <c r="M1" s="26" t="s">
        <v>31</v>
      </c>
      <c r="N1" s="26" t="s">
        <v>31</v>
      </c>
      <c r="O1" s="26" t="s">
        <v>31</v>
      </c>
      <c r="P1" s="26" t="s">
        <v>31</v>
      </c>
      <c r="Q1" s="26" t="s">
        <v>31</v>
      </c>
      <c r="R1" s="26" t="s">
        <v>31</v>
      </c>
      <c r="S1" s="26" t="s">
        <v>31</v>
      </c>
      <c r="T1" s="26" t="s">
        <v>31</v>
      </c>
      <c r="U1" s="26" t="s">
        <v>31</v>
      </c>
      <c r="V1" s="26" t="s">
        <v>31</v>
      </c>
    </row>
    <row r="2" spans="2:74">
      <c r="B2" s="26" t="str">
        <f>'2023 Control'!$C$3</f>
        <v>Concertiv</v>
      </c>
    </row>
    <row r="3" spans="2:74">
      <c r="B3" s="30" t="str">
        <f>('2024 Control'!$C$4)&amp;" Reporting Package"</f>
        <v>December 2025 Reporting Package</v>
      </c>
      <c r="C3" s="136"/>
      <c r="D3" s="136"/>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152"/>
    </row>
    <row r="4" spans="2:74" ht="20">
      <c r="B4" s="130" t="s">
        <v>65</v>
      </c>
      <c r="C4" s="137"/>
      <c r="D4" s="137"/>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0"/>
      <c r="AX4" s="130"/>
      <c r="AY4" s="130"/>
      <c r="AZ4" s="130"/>
      <c r="BA4" s="130"/>
      <c r="BB4" s="130"/>
      <c r="BC4" s="130"/>
      <c r="BD4" s="130"/>
      <c r="BE4" s="130"/>
      <c r="BF4" s="130"/>
      <c r="BG4" s="130"/>
      <c r="BH4" s="130"/>
      <c r="BI4" s="130"/>
      <c r="BJ4" s="130"/>
      <c r="BK4" s="130"/>
      <c r="BL4" s="130"/>
      <c r="BM4" s="130"/>
      <c r="BN4" s="130"/>
      <c r="BO4" s="130"/>
      <c r="BP4" s="130"/>
      <c r="BQ4" s="130"/>
      <c r="BR4" s="130"/>
      <c r="BS4" s="130"/>
      <c r="BT4" s="130"/>
      <c r="BU4" s="130"/>
      <c r="BV4" s="318"/>
    </row>
    <row r="5" spans="2:74" ht="15.75" customHeight="1" thickBot="1">
      <c r="E5" s="388" t="s">
        <v>33</v>
      </c>
      <c r="F5" s="388"/>
      <c r="G5" s="388"/>
      <c r="H5" s="388"/>
      <c r="I5" s="388"/>
      <c r="J5" s="388"/>
      <c r="K5" s="312"/>
      <c r="L5" s="312"/>
      <c r="M5" s="312"/>
      <c r="N5" s="312"/>
      <c r="O5" s="312"/>
      <c r="P5" s="312"/>
      <c r="Q5" s="312"/>
      <c r="R5" s="312"/>
      <c r="S5" s="312"/>
      <c r="T5" s="312"/>
      <c r="U5" s="312"/>
      <c r="V5" s="312"/>
      <c r="W5" s="312"/>
      <c r="X5" s="312"/>
      <c r="Y5" s="312"/>
      <c r="Z5" s="312"/>
      <c r="AA5" s="312"/>
      <c r="AB5" s="312"/>
      <c r="AC5" s="312"/>
      <c r="AD5" s="312"/>
      <c r="AE5" s="312"/>
      <c r="AF5" s="312"/>
      <c r="AG5" s="312"/>
      <c r="AH5" s="312"/>
      <c r="AI5" s="312"/>
      <c r="AJ5" s="312"/>
      <c r="AK5" s="312"/>
      <c r="AL5" s="312"/>
      <c r="AM5" s="312"/>
      <c r="AN5" s="312"/>
      <c r="AO5" s="312"/>
      <c r="AP5" s="312"/>
      <c r="AQ5" s="312"/>
      <c r="AR5" s="312"/>
      <c r="AS5" s="312"/>
      <c r="AT5" s="312"/>
      <c r="AU5" s="312"/>
      <c r="AV5" s="312"/>
      <c r="AW5" s="312"/>
      <c r="AX5" s="312"/>
      <c r="AY5" s="312"/>
      <c r="AZ5" s="312"/>
      <c r="BA5" s="146"/>
      <c r="BB5" s="389">
        <v>1</v>
      </c>
      <c r="BC5" s="389"/>
      <c r="BD5" s="389"/>
      <c r="BE5" s="146"/>
      <c r="BF5" s="389">
        <v>2</v>
      </c>
      <c r="BG5" s="389"/>
      <c r="BH5" s="389"/>
      <c r="BI5" s="146"/>
      <c r="BJ5" s="389">
        <v>3</v>
      </c>
      <c r="BK5" s="389"/>
      <c r="BL5" s="389"/>
      <c r="BM5" s="146"/>
      <c r="BN5" s="389">
        <v>4</v>
      </c>
      <c r="BO5" s="389"/>
      <c r="BP5" s="389"/>
      <c r="BQ5" s="146"/>
      <c r="BR5" s="388" t="s">
        <v>34</v>
      </c>
      <c r="BS5" s="388"/>
      <c r="BT5" s="388"/>
      <c r="BU5" s="146"/>
      <c r="BV5" s="319"/>
    </row>
    <row r="6" spans="2:74" ht="13.5" thickBot="1">
      <c r="D6" s="167" t="s">
        <v>35</v>
      </c>
      <c r="E6" s="203">
        <v>44957</v>
      </c>
      <c r="F6" s="203">
        <v>44985</v>
      </c>
      <c r="G6" s="203">
        <v>45016</v>
      </c>
      <c r="H6" s="203">
        <f>EOMONTH(G6,1)</f>
        <v>45046</v>
      </c>
      <c r="I6" s="203">
        <f t="shared" ref="I6:J6" si="0">EOMONTH(H6,1)</f>
        <v>45077</v>
      </c>
      <c r="J6" s="203">
        <f t="shared" si="0"/>
        <v>45107</v>
      </c>
      <c r="K6" s="203">
        <f>EOMONTH(J6,1)</f>
        <v>45138</v>
      </c>
      <c r="L6" s="203">
        <f t="shared" ref="L6" si="1">EOMONTH(K6,1)</f>
        <v>45169</v>
      </c>
      <c r="M6" s="203">
        <f t="shared" ref="M6:V6" si="2">EOMONTH(L6,1)</f>
        <v>45199</v>
      </c>
      <c r="N6" s="203">
        <f t="shared" si="2"/>
        <v>45230</v>
      </c>
      <c r="O6" s="203">
        <f t="shared" si="2"/>
        <v>45260</v>
      </c>
      <c r="P6" s="203">
        <f t="shared" si="2"/>
        <v>45291</v>
      </c>
      <c r="Q6" s="203">
        <f t="shared" si="2"/>
        <v>45322</v>
      </c>
      <c r="R6" s="203">
        <f t="shared" si="2"/>
        <v>45351</v>
      </c>
      <c r="S6" s="203">
        <f t="shared" si="2"/>
        <v>45382</v>
      </c>
      <c r="T6" s="203">
        <f t="shared" si="2"/>
        <v>45412</v>
      </c>
      <c r="U6" s="203">
        <f t="shared" si="2"/>
        <v>45443</v>
      </c>
      <c r="V6" s="203">
        <f t="shared" si="2"/>
        <v>45473</v>
      </c>
      <c r="W6" s="203">
        <f t="shared" ref="W6" si="3">EOMONTH(V6,1)</f>
        <v>45504</v>
      </c>
      <c r="X6" s="203">
        <f t="shared" ref="X6" si="4">EOMONTH(W6,1)</f>
        <v>45535</v>
      </c>
      <c r="Y6" s="203">
        <f t="shared" ref="Y6" si="5">EOMONTH(X6,1)</f>
        <v>45565</v>
      </c>
      <c r="Z6" s="203">
        <f t="shared" ref="Z6" si="6">EOMONTH(Y6,1)</f>
        <v>45596</v>
      </c>
      <c r="AA6" s="203">
        <f t="shared" ref="AA6" si="7">EOMONTH(Z6,1)</f>
        <v>45626</v>
      </c>
      <c r="AB6" s="203">
        <f t="shared" ref="AB6" si="8">EOMONTH(AA6,1)</f>
        <v>45657</v>
      </c>
      <c r="AC6" s="203">
        <f t="shared" ref="AC6" si="9">EOMONTH(AB6,1)</f>
        <v>45688</v>
      </c>
      <c r="AD6" s="203">
        <f t="shared" ref="AD6" si="10">EOMONTH(AC6,1)</f>
        <v>45716</v>
      </c>
      <c r="AE6" s="203">
        <f t="shared" ref="AE6" si="11">EOMONTH(AD6,1)</f>
        <v>45747</v>
      </c>
      <c r="AF6" s="203">
        <f t="shared" ref="AF6" si="12">EOMONTH(AE6,1)</f>
        <v>45777</v>
      </c>
      <c r="AG6" s="203">
        <f t="shared" ref="AG6" si="13">EOMONTH(AF6,1)</f>
        <v>45808</v>
      </c>
      <c r="AH6" s="203">
        <f t="shared" ref="AH6" si="14">EOMONTH(AG6,1)</f>
        <v>45838</v>
      </c>
      <c r="AI6" s="203">
        <f t="shared" ref="AI6" si="15">EOMONTH(AH6,1)</f>
        <v>45869</v>
      </c>
      <c r="AJ6" s="203">
        <f t="shared" ref="AJ6" si="16">EOMONTH(AI6,1)</f>
        <v>45900</v>
      </c>
      <c r="AK6" s="203">
        <f t="shared" ref="AK6" si="17">EOMONTH(AJ6,1)</f>
        <v>45930</v>
      </c>
      <c r="AL6" s="203">
        <f t="shared" ref="AL6" si="18">EOMONTH(AK6,1)</f>
        <v>45961</v>
      </c>
      <c r="AM6" s="203">
        <f t="shared" ref="AM6" si="19">EOMONTH(AL6,1)</f>
        <v>45991</v>
      </c>
      <c r="AN6" s="203">
        <f t="shared" ref="AN6" si="20">EOMONTH(AM6,1)</f>
        <v>46022</v>
      </c>
      <c r="AO6" s="203">
        <f t="shared" ref="AO6" si="21">EOMONTH(AN6,1)</f>
        <v>46053</v>
      </c>
      <c r="AP6" s="203">
        <f t="shared" ref="AP6" si="22">EOMONTH(AO6,1)</f>
        <v>46081</v>
      </c>
      <c r="AQ6" s="203">
        <f t="shared" ref="AQ6" si="23">EOMONTH(AP6,1)</f>
        <v>46112</v>
      </c>
      <c r="AR6" s="203">
        <f t="shared" ref="AR6" si="24">EOMONTH(AQ6,1)</f>
        <v>46142</v>
      </c>
      <c r="AS6" s="203">
        <f t="shared" ref="AS6" si="25">EOMONTH(AR6,1)</f>
        <v>46173</v>
      </c>
      <c r="AT6" s="203">
        <f t="shared" ref="AT6" si="26">EOMONTH(AS6,1)</f>
        <v>46203</v>
      </c>
      <c r="AU6" s="203">
        <f t="shared" ref="AU6" si="27">EOMONTH(AT6,1)</f>
        <v>46234</v>
      </c>
      <c r="AV6" s="203">
        <f t="shared" ref="AV6" si="28">EOMONTH(AU6,1)</f>
        <v>46265</v>
      </c>
      <c r="AW6" s="203">
        <f t="shared" ref="AW6" si="29">EOMONTH(AV6,1)</f>
        <v>46295</v>
      </c>
      <c r="AX6" s="203">
        <f t="shared" ref="AX6" si="30">EOMONTH(AW6,1)</f>
        <v>46326</v>
      </c>
      <c r="AY6" s="203">
        <f t="shared" ref="AY6:AZ6" si="31">EOMONTH(AX6,1)</f>
        <v>46356</v>
      </c>
      <c r="AZ6" s="203">
        <f t="shared" si="31"/>
        <v>46387</v>
      </c>
      <c r="BB6" s="118" t="s">
        <v>36</v>
      </c>
      <c r="BC6" s="117" t="s">
        <v>37</v>
      </c>
      <c r="BD6" s="117" t="s">
        <v>38</v>
      </c>
      <c r="BF6" s="118" t="s">
        <v>36</v>
      </c>
      <c r="BG6" s="117" t="s">
        <v>37</v>
      </c>
      <c r="BH6" s="117" t="s">
        <v>38</v>
      </c>
      <c r="BJ6" s="118" t="s">
        <v>36</v>
      </c>
      <c r="BK6" s="117" t="s">
        <v>37</v>
      </c>
      <c r="BL6" s="117" t="s">
        <v>38</v>
      </c>
      <c r="BN6" s="118" t="s">
        <v>36</v>
      </c>
      <c r="BO6" s="117" t="s">
        <v>37</v>
      </c>
      <c r="BP6" s="117" t="s">
        <v>38</v>
      </c>
      <c r="BR6" s="118" t="s">
        <v>39</v>
      </c>
      <c r="BS6" s="117" t="s">
        <v>37</v>
      </c>
      <c r="BT6" s="117" t="s">
        <v>38</v>
      </c>
      <c r="BV6" s="118" t="s">
        <v>40</v>
      </c>
    </row>
    <row r="7" spans="2:74">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B7" s="390" t="s">
        <v>41</v>
      </c>
      <c r="BC7" s="390"/>
      <c r="BD7" s="120"/>
      <c r="BF7" s="390" t="s">
        <v>42</v>
      </c>
      <c r="BG7" s="390"/>
      <c r="BH7" s="120"/>
      <c r="BJ7" s="390" t="s">
        <v>43</v>
      </c>
      <c r="BK7" s="390"/>
      <c r="BL7" s="120"/>
      <c r="BN7" s="390" t="s">
        <v>44</v>
      </c>
      <c r="BO7" s="390"/>
      <c r="BP7" s="120"/>
      <c r="BR7" s="121"/>
      <c r="BS7" s="121"/>
      <c r="BT7" s="120"/>
      <c r="BV7" s="320"/>
    </row>
    <row r="8" spans="2:74" ht="13">
      <c r="B8" s="126" t="s">
        <v>66</v>
      </c>
      <c r="C8" s="138"/>
      <c r="D8" s="138"/>
      <c r="E8" s="127"/>
      <c r="F8" s="127"/>
      <c r="G8" s="127"/>
      <c r="H8" s="127"/>
      <c r="I8" s="127"/>
      <c r="J8" s="127"/>
      <c r="K8" s="127"/>
      <c r="L8" s="127"/>
      <c r="M8" s="127"/>
      <c r="N8" s="127"/>
      <c r="O8" s="127"/>
      <c r="P8" s="127"/>
      <c r="Q8" s="127"/>
      <c r="R8" s="127"/>
      <c r="S8" s="127"/>
      <c r="T8" s="127"/>
      <c r="U8" s="127"/>
      <c r="V8" s="127"/>
      <c r="W8" s="127"/>
      <c r="X8" s="127"/>
      <c r="Y8" s="127"/>
      <c r="Z8" s="127"/>
      <c r="AA8" s="127"/>
      <c r="AB8" s="127"/>
      <c r="AC8" s="127"/>
      <c r="AD8" s="127"/>
      <c r="AE8" s="127"/>
      <c r="AF8" s="127"/>
      <c r="AG8" s="127"/>
      <c r="AH8" s="127"/>
      <c r="AI8" s="127"/>
      <c r="AJ8" s="127"/>
      <c r="AK8" s="127"/>
      <c r="AL8" s="127"/>
      <c r="AM8" s="127"/>
      <c r="AN8" s="127"/>
      <c r="AO8" s="127"/>
      <c r="AP8" s="127"/>
      <c r="AQ8" s="127"/>
      <c r="AR8" s="127"/>
      <c r="AS8" s="127"/>
      <c r="AT8" s="127"/>
      <c r="AU8" s="127"/>
      <c r="AV8" s="127"/>
      <c r="AW8" s="127"/>
      <c r="AX8" s="127"/>
      <c r="AY8" s="127"/>
      <c r="AZ8" s="127"/>
      <c r="BA8" s="127"/>
      <c r="BB8" s="127"/>
      <c r="BC8" s="127"/>
      <c r="BD8" s="127"/>
      <c r="BE8" s="127"/>
      <c r="BF8" s="127"/>
      <c r="BG8" s="127"/>
      <c r="BH8" s="127"/>
      <c r="BI8" s="127"/>
      <c r="BJ8" s="127"/>
      <c r="BK8" s="127"/>
      <c r="BL8" s="127"/>
      <c r="BM8" s="127"/>
      <c r="BN8" s="127"/>
      <c r="BO8" s="127"/>
      <c r="BP8" s="127"/>
      <c r="BQ8" s="127"/>
      <c r="BR8" s="127"/>
      <c r="BS8" s="127"/>
      <c r="BT8" s="127"/>
      <c r="BU8" s="127"/>
      <c r="BV8" s="321"/>
    </row>
    <row r="9" spans="2:74">
      <c r="B9" s="26" t="s">
        <v>67</v>
      </c>
      <c r="C9" s="139" t="s">
        <v>49</v>
      </c>
      <c r="D9" s="171" t="str">
        <f>VLOOKUP($B$4&amp;" "&amp;$B9,Actuals!$D$4:$AG$131,3,FALSE)</f>
        <v>$</v>
      </c>
      <c r="E9" s="268" cm="1">
        <f t="array" ref="E9">_xlfn.XLOOKUP(
   $B$4&amp;" "&amp;$B9,
   Actuals!$D:$D,
   _xlfn.XLOOKUP(
      E$6,
      Actuals!$H$3:$BD$3,
      Actuals!$H:$BD
   )
)</f>
        <v>49000</v>
      </c>
      <c r="F9" s="268" cm="1">
        <f t="array" ref="F9">_xlfn.XLOOKUP(
   $B$4&amp;" "&amp;$B9,
   Actuals!$D:$D,
   _xlfn.XLOOKUP(
      F$6,
      Actuals!$H$3:$BD$3,
      Actuals!$H:$BD
   )
)</f>
        <v>0</v>
      </c>
      <c r="G9" s="268" cm="1">
        <f t="array" ref="G9">_xlfn.XLOOKUP(
   $B$4&amp;" "&amp;$B9,
   Actuals!$D:$D,
   _xlfn.XLOOKUP(
      G$6,
      Actuals!$H$3:$BD$3,
      Actuals!$H:$BD
   )
)</f>
        <v>67000</v>
      </c>
      <c r="H9" s="268" cm="1">
        <f t="array" ref="H9">_xlfn.XLOOKUP(
   $B$4&amp;" "&amp;$B9,
   Actuals!$D:$D,
   _xlfn.XLOOKUP(
      H$6,
      Actuals!$H$3:$BD$3,
      Actuals!$H:$BD
   )
)</f>
        <v>6250</v>
      </c>
      <c r="I9" s="268" cm="1">
        <f t="array" ref="I9">_xlfn.XLOOKUP(
   $B$4&amp;" "&amp;$B9,
   Actuals!$D:$D,
   _xlfn.XLOOKUP(
      I$6,
      Actuals!$H$3:$BD$3,
      Actuals!$H:$BD
   )
)</f>
        <v>0</v>
      </c>
      <c r="J9" s="268" cm="1">
        <f t="array" ref="J9">_xlfn.XLOOKUP(
   $B$4&amp;" "&amp;$B9,
   Actuals!$D:$D,
   _xlfn.XLOOKUP(
      J$6,
      Actuals!$H$3:$BD$3,
      Actuals!$H:$BD
   )
)</f>
        <v>215055</v>
      </c>
      <c r="K9" s="268" cm="1">
        <f t="array" ref="K9">_xlfn.XLOOKUP(
   $B$4&amp;" "&amp;$B9,
   Actuals!$D:$D,
   _xlfn.XLOOKUP(
      K$6,
      Actuals!$H$3:$BD$3,
      Actuals!$H:$BD
   )
)</f>
        <v>0</v>
      </c>
      <c r="L9" s="268" cm="1">
        <f t="array" ref="L9">_xlfn.XLOOKUP(
   $B$4&amp;" "&amp;$B9,
   Actuals!$D:$D,
   _xlfn.XLOOKUP(
      L$6,
      Actuals!$H$3:$BD$3,
      Actuals!$H:$BD
   )
)</f>
        <v>362940</v>
      </c>
      <c r="M9" s="268" cm="1">
        <f t="array" ref="M9">_xlfn.XLOOKUP(
   $B$4&amp;" "&amp;$B9,
   Actuals!$D:$D,
   _xlfn.XLOOKUP(
      M$6,
      Actuals!$H$3:$BD$3,
      Actuals!$H:$BD
   )
)</f>
        <v>10000</v>
      </c>
      <c r="N9" s="268" cm="1">
        <f t="array" ref="N9">_xlfn.XLOOKUP(
   $B$4&amp;" "&amp;$B9,
   Actuals!$D:$D,
   _xlfn.XLOOKUP(
      N$6,
      Actuals!$H$3:$BD$3,
      Actuals!$H:$BD
   )
)</f>
        <v>0</v>
      </c>
      <c r="O9" s="334" cm="1">
        <f t="array" ref="O9">_xlfn.XLOOKUP(
   $B$4&amp;" "&amp;$B9,
   Actuals!$D:$D,
   _xlfn.XLOOKUP(
      O$6,
      Actuals!$H$3:$BD$3,
      Actuals!$H:$BD
   )
)</f>
        <v>0</v>
      </c>
      <c r="P9" s="334" cm="1">
        <f t="array" ref="P9">_xlfn.XLOOKUP(
   $B$4&amp;" "&amp;$B9,
   Actuals!$D:$D,
   _xlfn.XLOOKUP(
      P$6,
      Actuals!$H$3:$BD$3,
      Actuals!$H:$BD
   )
)</f>
        <v>0</v>
      </c>
      <c r="Q9" s="334" cm="1">
        <f t="array" ref="Q9">_xlfn.XLOOKUP(
   $B$4&amp;" "&amp;$B9,
   Actuals!$D:$D,
   _xlfn.XLOOKUP(
      Q$6,
      Actuals!$H$3:$BD$3,
      Actuals!$H:$BD
   )
)</f>
        <v>0</v>
      </c>
      <c r="R9" s="334" cm="1">
        <f t="array" ref="R9">_xlfn.XLOOKUP(
   $B$4&amp;" "&amp;$B9,
   Actuals!$D:$D,
   _xlfn.XLOOKUP(
      R$6,
      Actuals!$H$3:$BD$3,
      Actuals!$H:$BD
   )
)</f>
        <v>0</v>
      </c>
      <c r="S9" s="334" cm="1">
        <f t="array" ref="S9">_xlfn.XLOOKUP(
   $B$4&amp;" "&amp;$B9,
   Actuals!$D:$D,
   _xlfn.XLOOKUP(
      S$6,
      Actuals!$H$3:$BD$3,
      Actuals!$H:$BD
   )
)</f>
        <v>0</v>
      </c>
      <c r="T9" s="334" cm="1">
        <f t="array" ref="T9">_xlfn.XLOOKUP(
   $B$4&amp;" "&amp;$B9,
   Actuals!$D:$D,
   _xlfn.XLOOKUP(
      T$6,
      Actuals!$H$3:$BD$3,
      Actuals!$H:$BD
   )
)</f>
        <v>0</v>
      </c>
      <c r="U9" s="334" cm="1">
        <f t="array" ref="U9">_xlfn.XLOOKUP(
   $B$4&amp;" "&amp;$B9,
   Actuals!$D:$D,
   _xlfn.XLOOKUP(
      U$6,
      Actuals!$H$3:$BD$3,
      Actuals!$H:$BD
   )
)</f>
        <v>0</v>
      </c>
      <c r="V9" s="334" cm="1">
        <f t="array" ref="V9">_xlfn.XLOOKUP(
   $B$4&amp;" "&amp;$B9,
   Actuals!$D:$D,
   _xlfn.XLOOKUP(
      V$6,
      Actuals!$H$3:$BD$3,
      Actuals!$H:$BD
   )
)</f>
        <v>0</v>
      </c>
      <c r="W9" s="334" cm="1">
        <f t="array" ref="W9">_xlfn.XLOOKUP(
   $B$4&amp;" "&amp;$B9,
   Actuals!$D:$D,
   _xlfn.XLOOKUP(
      W$6,
      Actuals!$H$3:$BD$3,
      Actuals!$H:$BD
   )
)</f>
        <v>0</v>
      </c>
      <c r="X9" s="334" cm="1">
        <f t="array" ref="X9">_xlfn.XLOOKUP(
   $B$4&amp;" "&amp;$B9,
   Actuals!$D:$D,
   _xlfn.XLOOKUP(
      X$6,
      Actuals!$H$3:$BD$3,
      Actuals!$H:$BD
   )
)</f>
        <v>0</v>
      </c>
      <c r="Y9" s="334" cm="1">
        <f t="array" ref="Y9">_xlfn.XLOOKUP(
   $B$4&amp;" "&amp;$B9,
   Actuals!$D:$D,
   _xlfn.XLOOKUP(
      Y$6,
      Actuals!$H$3:$BD$3,
      Actuals!$H:$BD
   )
)</f>
        <v>0</v>
      </c>
      <c r="Z9" s="334" cm="1">
        <f t="array" ref="Z9">_xlfn.XLOOKUP(
   $B$4&amp;" "&amp;$B9,
   Actuals!$D:$D,
   _xlfn.XLOOKUP(
      Z$6,
      Actuals!$H$3:$BD$3,
      Actuals!$H:$BD
   )
)</f>
        <v>0</v>
      </c>
      <c r="AA9" s="334" cm="1">
        <f t="array" ref="AA9">_xlfn.XLOOKUP(
   $B$4&amp;" "&amp;$B9,
   Actuals!$D:$D,
   _xlfn.XLOOKUP(
      AA$6,
      Actuals!$H$3:$BD$3,
      Actuals!$H:$BD
   )
)</f>
        <v>0</v>
      </c>
      <c r="AB9" s="334" cm="1">
        <f t="array" ref="AB9">_xlfn.XLOOKUP(
   $B$4&amp;" "&amp;$B9,
   Actuals!$D:$D,
   _xlfn.XLOOKUP(
      AB$6,
      Actuals!$H$3:$BD$3,
      Actuals!$H:$BD
   )
)</f>
        <v>0</v>
      </c>
      <c r="AC9" s="334" cm="1">
        <f t="array" ref="AC9">_xlfn.XLOOKUP(
   $B$4&amp;" "&amp;$B9,
   Actuals!$D:$D,
   _xlfn.XLOOKUP(
      AC$6,
      Actuals!$H$3:$BD$3,
      Actuals!$H:$BD
   )
)</f>
        <v>0</v>
      </c>
      <c r="AD9" s="334" cm="1">
        <f t="array" ref="AD9">_xlfn.XLOOKUP(
   $B$4&amp;" "&amp;$B9,
   Actuals!$D:$D,
   _xlfn.XLOOKUP(
      AD$6,
      Actuals!$H$3:$BD$3,
      Actuals!$H:$BD
   )
)</f>
        <v>0</v>
      </c>
      <c r="AE9" s="334" cm="1">
        <f t="array" ref="AE9">_xlfn.XLOOKUP(
   $B$4&amp;" "&amp;$B9,
   Actuals!$D:$D,
   _xlfn.XLOOKUP(
      AE$6,
      Actuals!$H$3:$BD$3,
      Actuals!$H:$BD
   )
)</f>
        <v>0</v>
      </c>
      <c r="AF9" s="334" cm="1">
        <f t="array" ref="AF9">_xlfn.XLOOKUP(
   $B$4&amp;" "&amp;$B9,
   Actuals!$D:$D,
   _xlfn.XLOOKUP(
      AF$6,
      Actuals!$H$3:$BD$3,
      Actuals!$H:$BD
   )
)</f>
        <v>0</v>
      </c>
      <c r="AG9" s="334" cm="1">
        <f t="array" ref="AG9">_xlfn.XLOOKUP(
   $B$4&amp;" "&amp;$B9,
   Actuals!$D:$D,
   _xlfn.XLOOKUP(
      AG$6,
      Actuals!$H$3:$BD$3,
      Actuals!$H:$BD
   )
)</f>
        <v>0</v>
      </c>
      <c r="AH9" s="334" cm="1">
        <f t="array" ref="AH9">_xlfn.XLOOKUP(
   $B$4&amp;" "&amp;$B9,
   Actuals!$D:$D,
   _xlfn.XLOOKUP(
      AH$6,
      Actuals!$H$3:$BD$3,
      Actuals!$H:$BD
   )
)</f>
        <v>92500</v>
      </c>
      <c r="AI9" s="334" cm="1">
        <f t="array" ref="AI9">_xlfn.XLOOKUP(
   $B$4&amp;" "&amp;$B9,
   Actuals!$D:$D,
   _xlfn.XLOOKUP(
      AI$6,
      Actuals!$H$3:$BD$3,
      Actuals!$H:$BD
   )
)</f>
        <v>20000</v>
      </c>
      <c r="AJ9" s="334" cm="1">
        <f t="array" ref="AJ9">_xlfn.XLOOKUP(
   $B$4&amp;" "&amp;$B9,
   Actuals!$D:$D,
   _xlfn.XLOOKUP(
      AJ$6,
      Actuals!$H$3:$BD$3,
      Actuals!$H:$BD
   )
)</f>
        <v>80000</v>
      </c>
      <c r="AK9" s="334" cm="1">
        <f t="array" ref="AK9">_xlfn.XLOOKUP(
   $B$4&amp;" "&amp;$B9,
   Actuals!$D:$D,
   _xlfn.XLOOKUP(
      AK$6,
      Actuals!$H$3:$BD$3,
      Actuals!$H:$BD
   )
)</f>
        <v>15000</v>
      </c>
      <c r="AL9" s="334" cm="1">
        <f t="array" ref="AL9">_xlfn.XLOOKUP(
   $B$4&amp;" "&amp;$B9,
   Actuals!$D:$D,
   _xlfn.XLOOKUP(
      AL$6,
      Actuals!$H$3:$BD$3,
      Actuals!$H:$BD
   )
)</f>
        <v>5000</v>
      </c>
      <c r="AM9" s="334" cm="1">
        <f t="array" ref="AM9">_xlfn.XLOOKUP(
   $B$4&amp;" "&amp;$B9,
   Actuals!$D:$D,
   _xlfn.XLOOKUP(
      AM$6,
      Actuals!$H$3:$BD$3,
      Actuals!$H:$BD
   )
)</f>
        <v>7500</v>
      </c>
      <c r="AN9" s="334" cm="1">
        <f t="array" ref="AN9">_xlfn.XLOOKUP(
   $B$4&amp;" "&amp;$B9,
   Actuals!$D:$D,
   _xlfn.XLOOKUP(
      AN$6,
      Actuals!$H$3:$BD$3,
      Actuals!$H:$BD
   )
)</f>
        <v>167500</v>
      </c>
      <c r="AO9" s="334" cm="1">
        <f t="array" ref="AO9">_xlfn.XLOOKUP(
   $B$4&amp;" "&amp;$B9,
   Actuals!$D:$D,
   _xlfn.XLOOKUP(
      AO$6,
      Actuals!$H$3:$BD$3,
      Actuals!$H:$BD
   )
)</f>
        <v>0</v>
      </c>
      <c r="AP9" s="334" cm="1">
        <f t="array" ref="AP9">_xlfn.XLOOKUP(
   $B$4&amp;" "&amp;$B9,
   Actuals!$D:$D,
   _xlfn.XLOOKUP(
      AP$6,
      Actuals!$H$3:$BD$3,
      Actuals!$H:$BD
   )
)</f>
        <v>0</v>
      </c>
      <c r="AQ9" s="334" cm="1">
        <f t="array" ref="AQ9">_xlfn.XLOOKUP(
   $B$4&amp;" "&amp;$B9,
   Actuals!$D:$D,
   _xlfn.XLOOKUP(
      AQ$6,
      Actuals!$H$3:$BD$3,
      Actuals!$H:$BD
   )
)</f>
        <v>0</v>
      </c>
      <c r="AR9" s="334" cm="1">
        <f t="array" ref="AR9">_xlfn.XLOOKUP(
   $B$4&amp;" "&amp;$B9,
   Actuals!$D:$D,
   _xlfn.XLOOKUP(
      AR$6,
      Actuals!$H$3:$BD$3,
      Actuals!$H:$BD
   )
)</f>
        <v>0</v>
      </c>
      <c r="AS9" s="334" cm="1">
        <f t="array" ref="AS9">_xlfn.XLOOKUP(
   $B$4&amp;" "&amp;$B9,
   Actuals!$D:$D,
   _xlfn.XLOOKUP(
      AS$6,
      Actuals!$H$3:$BD$3,
      Actuals!$H:$BD
   )
)</f>
        <v>0</v>
      </c>
      <c r="AT9" s="334" cm="1">
        <f t="array" ref="AT9">_xlfn.XLOOKUP(
   $B$4&amp;" "&amp;$B9,
   Actuals!$D:$D,
   _xlfn.XLOOKUP(
      AT$6,
      Actuals!$H$3:$BD$3,
      Actuals!$H:$BD
   )
)</f>
        <v>0</v>
      </c>
      <c r="AU9" s="334" cm="1">
        <f t="array" ref="AU9">_xlfn.XLOOKUP(
   $B$4&amp;" "&amp;$B9,
   Actuals!$D:$D,
   _xlfn.XLOOKUP(
      AU$6,
      Actuals!$H$3:$BD$3,
      Actuals!$H:$BD
   )
)</f>
        <v>0</v>
      </c>
      <c r="AV9" s="334" cm="1">
        <f t="array" ref="AV9">_xlfn.XLOOKUP(
   $B$4&amp;" "&amp;$B9,
   Actuals!$D:$D,
   _xlfn.XLOOKUP(
      AV$6,
      Actuals!$H$3:$BD$3,
      Actuals!$H:$BD
   )
)</f>
        <v>0</v>
      </c>
      <c r="AW9" s="334" cm="1">
        <f t="array" ref="AW9">_xlfn.XLOOKUP(
   $B$4&amp;" "&amp;$B9,
   Actuals!$D:$D,
   _xlfn.XLOOKUP(
      AW$6,
      Actuals!$H$3:$BD$3,
      Actuals!$H:$BD
   )
)</f>
        <v>0</v>
      </c>
      <c r="AX9" s="334" cm="1">
        <f t="array" ref="AX9">_xlfn.XLOOKUP(
   $B$4&amp;" "&amp;$B9,
   Actuals!$D:$D,
   _xlfn.XLOOKUP(
      AX$6,
      Actuals!$H$3:$BD$3,
      Actuals!$H:$BD
   )
)</f>
        <v>0</v>
      </c>
      <c r="AY9" s="334" cm="1">
        <f t="array" ref="AY9">_xlfn.XLOOKUP(
   $B$4&amp;" "&amp;$B9,
   Actuals!$D:$D,
   _xlfn.XLOOKUP(
      AY$6,
      Actuals!$H$3:$BD$3,
      Actuals!$H:$BD
   )
)</f>
        <v>0</v>
      </c>
      <c r="AZ9" s="334" cm="1">
        <f t="array" ref="AZ9">_xlfn.XLOOKUP(
   $B$4&amp;" "&amp;$B9,
   Actuals!$D:$D,
   _xlfn.XLOOKUP(
      AZ$6,
      Actuals!$H$3:$BD$3,
      Actuals!$H:$BD
   )
)</f>
        <v>0</v>
      </c>
      <c r="BA9" s="211"/>
      <c r="BB9" s="334" cm="1">
        <f t="array" ref="BB9">_xlfn.XLOOKUP(
   $B$4&amp;" "&amp;$B9,
   Actuals!$D:$D,
   _xlfn.XLOOKUP(
      BB$7,
      Actuals!$H$3:$BM$3,
      Actuals!$H:$BM
   )
)</f>
        <v>0</v>
      </c>
      <c r="BC9" s="334">
        <f>VLOOKUP($B$4&amp;" "&amp;$B9,Budget!$AG$4:$AL$132,$BB$5+1,FALSE)</f>
        <v>320000</v>
      </c>
      <c r="BD9" s="334">
        <f>BB9-BC9</f>
        <v>-320000</v>
      </c>
      <c r="BE9" s="211"/>
      <c r="BF9" s="334" cm="1">
        <f t="array" ref="BF9">_xlfn.XLOOKUP(
   $B$4&amp;" "&amp;$B9,
   Actuals!$D:$D,
   _xlfn.XLOOKUP(
      BF$7,
      Actuals!$H$3:$BM$3,
      Actuals!$H:$BM
   )
)</f>
        <v>0</v>
      </c>
      <c r="BG9" s="334">
        <f>VLOOKUP($B$4&amp;" "&amp;$B9,Budget!$AG$4:$AL$132,BF$5+1,FALSE)</f>
        <v>450000</v>
      </c>
      <c r="BH9" s="334">
        <f>BF9-BG9</f>
        <v>-450000</v>
      </c>
      <c r="BI9" s="211"/>
      <c r="BJ9" s="334" cm="1">
        <f t="array" ref="BJ9">_xlfn.XLOOKUP(
   $B$4&amp;" "&amp;$B9,
   Actuals!$D:$D,
   _xlfn.XLOOKUP(
      BJ$7,
      Actuals!$H$3:$BM$3,
      Actuals!$H:$BM
   )
)</f>
        <v>0</v>
      </c>
      <c r="BK9" s="211">
        <f>VLOOKUP($B$4&amp;" "&amp;$B9,Budget!$AG$4:$AL$132,BJ$5+1,FALSE)</f>
        <v>450000</v>
      </c>
      <c r="BL9" s="334">
        <f>BJ9-BK9</f>
        <v>-450000</v>
      </c>
      <c r="BM9" s="211"/>
      <c r="BN9" s="211" cm="1">
        <f t="array" ref="BN9">_xlfn.XLOOKUP(
   $B$4&amp;" "&amp;$B9,
   Actuals!$D:$D,
   _xlfn.XLOOKUP(
      BN$7,
      Actuals!$H$3:$BM$3,
      Actuals!$H:$BM
   )
)</f>
        <v>0</v>
      </c>
      <c r="BO9" s="211">
        <f>VLOOKUP($B$4&amp;" "&amp;$B9,Budget!$AG$4:$AL$132,BN$5+1,FALSE)</f>
        <v>580000</v>
      </c>
      <c r="BP9" s="211"/>
      <c r="BQ9" s="211"/>
      <c r="BR9" s="211" cm="1">
        <f t="array" aca="1" ref="BR9" ca="1">_xlfn.XLOOKUP(
   $B$4&amp;" "&amp;$B9,
   Actuals!$D:$D,
   _xlfn.XLOOKUP(
      BR$6,
      Actuals!$H$3:$BM$3,
      Actuals!$H:$BM
   )
)</f>
        <v>0</v>
      </c>
      <c r="BS9" s="211">
        <f ca="1">VLOOKUP($B$4&amp;" "&amp;$B9,Budget!$AG$4:$AL$132,6,FALSE)</f>
        <v>1800000</v>
      </c>
      <c r="BT9" s="211">
        <f ca="1">BR9-BS9</f>
        <v>-1800000</v>
      </c>
      <c r="BU9" s="211"/>
      <c r="BV9" s="211" cm="1">
        <f t="array" ref="BV9">_xlfn.XLOOKUP(
   $B$4&amp;" "&amp;$B9,
   Actuals!$D:$D,
   _xlfn.XLOOKUP(
      BV$6,
      Actuals!$H$3:$BM$3,
      Actuals!$H:$BM
   )
)</f>
        <v>387500</v>
      </c>
    </row>
    <row r="10" spans="2:74">
      <c r="C10" s="139"/>
      <c r="D10" s="171"/>
      <c r="E10" s="168"/>
      <c r="F10" s="168"/>
      <c r="G10" s="168"/>
      <c r="H10" s="168"/>
      <c r="I10" s="168"/>
      <c r="J10" s="168"/>
      <c r="K10" s="168"/>
      <c r="L10" s="168"/>
      <c r="M10" s="168"/>
      <c r="N10" s="168"/>
      <c r="O10" s="292"/>
      <c r="P10" s="292"/>
      <c r="Q10" s="292"/>
      <c r="R10" s="292"/>
      <c r="S10" s="292"/>
      <c r="T10" s="292"/>
      <c r="U10" s="292"/>
      <c r="V10" s="292"/>
      <c r="W10" s="292"/>
      <c r="X10" s="292"/>
      <c r="Y10" s="292"/>
      <c r="Z10" s="292"/>
      <c r="AA10" s="292"/>
      <c r="AB10" s="292"/>
      <c r="AC10" s="292"/>
      <c r="AD10" s="292"/>
      <c r="AE10" s="292"/>
      <c r="AF10" s="292"/>
      <c r="AG10" s="292"/>
      <c r="AH10" s="292"/>
      <c r="AI10" s="292"/>
      <c r="AJ10" s="292"/>
      <c r="AK10" s="292"/>
      <c r="AL10" s="292"/>
      <c r="AM10" s="292"/>
      <c r="AN10" s="292"/>
      <c r="AO10" s="292"/>
      <c r="AP10" s="292"/>
      <c r="AQ10" s="292"/>
      <c r="AR10" s="292"/>
      <c r="AS10" s="292"/>
      <c r="AT10" s="292"/>
      <c r="AU10" s="292"/>
      <c r="AV10" s="292"/>
      <c r="AW10" s="292"/>
      <c r="AX10" s="292"/>
      <c r="AY10" s="292"/>
      <c r="AZ10" s="292"/>
      <c r="BA10" s="292"/>
      <c r="BB10" s="292"/>
      <c r="BC10" s="292"/>
      <c r="BD10" s="292"/>
      <c r="BE10" s="292"/>
      <c r="BF10" s="292"/>
      <c r="BG10" s="292"/>
      <c r="BH10" s="292"/>
      <c r="BI10" s="292"/>
      <c r="BJ10" s="292"/>
      <c r="BK10" s="292"/>
      <c r="BL10" s="292"/>
      <c r="BM10" s="292"/>
      <c r="BN10" s="292"/>
      <c r="BO10" s="292"/>
      <c r="BP10" s="292"/>
      <c r="BQ10" s="292"/>
      <c r="BR10" s="292"/>
      <c r="BS10" s="292"/>
      <c r="BT10" s="292"/>
      <c r="BU10" s="292"/>
      <c r="BV10" s="292"/>
    </row>
    <row r="11" spans="2:74" ht="13">
      <c r="B11" s="126" t="s">
        <v>68</v>
      </c>
      <c r="C11" s="138"/>
      <c r="D11" s="138"/>
      <c r="E11" s="127"/>
      <c r="F11" s="127"/>
      <c r="G11" s="127"/>
      <c r="H11" s="127"/>
      <c r="I11" s="127"/>
      <c r="J11" s="127"/>
      <c r="K11" s="127"/>
      <c r="L11" s="127"/>
      <c r="M11" s="127"/>
      <c r="N11" s="127"/>
      <c r="O11" s="321"/>
      <c r="P11" s="321"/>
      <c r="Q11" s="321"/>
      <c r="R11" s="321"/>
      <c r="S11" s="321"/>
      <c r="T11" s="321"/>
      <c r="U11" s="321"/>
      <c r="V11" s="321"/>
      <c r="W11" s="321"/>
      <c r="X11" s="321"/>
      <c r="Y11" s="321"/>
      <c r="Z11" s="321"/>
      <c r="AA11" s="321"/>
      <c r="AB11" s="321"/>
      <c r="AC11" s="321"/>
      <c r="AD11" s="321"/>
      <c r="AE11" s="321"/>
      <c r="AF11" s="321"/>
      <c r="AG11" s="321"/>
      <c r="AH11" s="321"/>
      <c r="AI11" s="321"/>
      <c r="AJ11" s="321"/>
      <c r="AK11" s="321"/>
      <c r="AL11" s="321"/>
      <c r="AM11" s="321"/>
      <c r="AN11" s="321"/>
      <c r="AO11" s="321"/>
      <c r="AP11" s="321"/>
      <c r="AQ11" s="321"/>
      <c r="AR11" s="321"/>
      <c r="AS11" s="321"/>
      <c r="AT11" s="321"/>
      <c r="AU11" s="321"/>
      <c r="AV11" s="321"/>
      <c r="AW11" s="321"/>
      <c r="AX11" s="321"/>
      <c r="AY11" s="321"/>
      <c r="AZ11" s="321"/>
      <c r="BA11" s="321"/>
      <c r="BB11" s="321"/>
      <c r="BC11" s="321"/>
      <c r="BD11" s="321"/>
      <c r="BE11" s="321"/>
      <c r="BF11" s="321"/>
      <c r="BG11" s="321"/>
      <c r="BH11" s="321"/>
      <c r="BI11" s="321"/>
      <c r="BJ11" s="321"/>
      <c r="BK11" s="321"/>
      <c r="BL11" s="321"/>
      <c r="BM11" s="321"/>
      <c r="BN11" s="321"/>
      <c r="BO11" s="321"/>
      <c r="BP11" s="321"/>
      <c r="BQ11" s="321"/>
      <c r="BR11" s="321"/>
      <c r="BS11" s="321"/>
      <c r="BT11" s="321"/>
      <c r="BU11" s="321"/>
      <c r="BV11" s="321"/>
    </row>
    <row r="12" spans="2:74">
      <c r="B12" s="26" t="s">
        <v>69</v>
      </c>
      <c r="C12" s="139" t="s">
        <v>49</v>
      </c>
      <c r="D12" s="171" t="str">
        <f>VLOOKUP($B$4&amp;" "&amp;$B12,Actuals!$D$4:$AG$131,3,FALSE)</f>
        <v>#</v>
      </c>
      <c r="E12" s="168" cm="1">
        <f t="array" ref="E12">_xlfn.XLOOKUP(
   $B$4&amp;" "&amp;$B12,
   Actuals!$D:$D,
   _xlfn.XLOOKUP(
      E$6,
      Actuals!$H$3:$BD$3,
      Actuals!$H:$BD
   )
)</f>
        <v>3</v>
      </c>
      <c r="F12" s="168" cm="1">
        <f t="array" ref="F12">_xlfn.XLOOKUP(
   $B$4&amp;" "&amp;$B12,
   Actuals!$D:$D,
   _xlfn.XLOOKUP(
      F$6,
      Actuals!$H$3:$BD$3,
      Actuals!$H:$BD
   )
)</f>
        <v>1</v>
      </c>
      <c r="G12" s="168" cm="1">
        <f t="array" ref="G12">_xlfn.XLOOKUP(
   $B$4&amp;" "&amp;$B12,
   Actuals!$D:$D,
   _xlfn.XLOOKUP(
      G$6,
      Actuals!$H$3:$BD$3,
      Actuals!$H:$BD
   )
)</f>
        <v>2</v>
      </c>
      <c r="H12" s="168" cm="1">
        <f t="array" ref="H12">_xlfn.XLOOKUP(
   $B$4&amp;" "&amp;$B12,
   Actuals!$D:$D,
   _xlfn.XLOOKUP(
      H$6,
      Actuals!$H$3:$BD$3,
      Actuals!$H:$BD
   )
)</f>
        <v>7</v>
      </c>
      <c r="I12" s="168" cm="1">
        <f t="array" ref="I12">_xlfn.XLOOKUP(
   $B$4&amp;" "&amp;$B12,
   Actuals!$D:$D,
   _xlfn.XLOOKUP(
      I$6,
      Actuals!$H$3:$BD$3,
      Actuals!$H:$BD
   )
)</f>
        <v>12</v>
      </c>
      <c r="J12" s="168" cm="1">
        <f t="array" ref="J12">_xlfn.XLOOKUP(
   $B$4&amp;" "&amp;$B12,
   Actuals!$D:$D,
   _xlfn.XLOOKUP(
      J$6,
      Actuals!$H$3:$BD$3,
      Actuals!$H:$BD
   )
)</f>
        <v>3</v>
      </c>
      <c r="K12" s="168" cm="1">
        <f t="array" ref="K12">_xlfn.XLOOKUP(
   $B$4&amp;" "&amp;$B12,
   Actuals!$D:$D,
   _xlfn.XLOOKUP(
      K$6,
      Actuals!$H$3:$BD$3,
      Actuals!$H:$BD
   )
)</f>
        <v>5</v>
      </c>
      <c r="L12" s="168" cm="1">
        <f t="array" ref="L12">_xlfn.XLOOKUP(
   $B$4&amp;" "&amp;$B12,
   Actuals!$D:$D,
   _xlfn.XLOOKUP(
      L$6,
      Actuals!$H$3:$BD$3,
      Actuals!$H:$BD
   )
)</f>
        <v>4</v>
      </c>
      <c r="M12" s="168" cm="1">
        <f t="array" ref="M12">_xlfn.XLOOKUP(
   $B$4&amp;" "&amp;$B12,
   Actuals!$D:$D,
   _xlfn.XLOOKUP(
      M$6,
      Actuals!$H$3:$BD$3,
      Actuals!$H:$BD
   )
)</f>
        <v>1</v>
      </c>
      <c r="N12" s="168" cm="1">
        <f t="array" ref="N12">_xlfn.XLOOKUP(
   $B$4&amp;" "&amp;$B12,
   Actuals!$D:$D,
   _xlfn.XLOOKUP(
      N$6,
      Actuals!$H$3:$BD$3,
      Actuals!$H:$BD
   )
)</f>
        <v>0</v>
      </c>
      <c r="O12" s="292" cm="1">
        <f t="array" ref="O12">_xlfn.XLOOKUP(
   $B$4&amp;" "&amp;$B12,
   Actuals!$D:$D,
   _xlfn.XLOOKUP(
      O$6,
      Actuals!$H$3:$BD$3,
      Actuals!$H:$BD
   )
)</f>
        <v>0</v>
      </c>
      <c r="P12" s="292" cm="1">
        <f t="array" ref="P12">_xlfn.XLOOKUP(
   $B$4&amp;" "&amp;$B12,
   Actuals!$D:$D,
   _xlfn.XLOOKUP(
      P$6,
      Actuals!$H$3:$BD$3,
      Actuals!$H:$BD
   )
)</f>
        <v>0</v>
      </c>
      <c r="Q12" s="292" cm="1">
        <f t="array" ref="Q12">_xlfn.XLOOKUP(
   $B$4&amp;" "&amp;$B12,
   Actuals!$D:$D,
   _xlfn.XLOOKUP(
      Q$6,
      Actuals!$H$3:$BD$3,
      Actuals!$H:$BD
   )
)</f>
        <v>0</v>
      </c>
      <c r="R12" s="292" cm="1">
        <f t="array" ref="R12">_xlfn.XLOOKUP(
   $B$4&amp;" "&amp;$B12,
   Actuals!$D:$D,
   _xlfn.XLOOKUP(
      R$6,
      Actuals!$H$3:$BD$3,
      Actuals!$H:$BD
   )
)</f>
        <v>0</v>
      </c>
      <c r="S12" s="292" cm="1">
        <f t="array" ref="S12">_xlfn.XLOOKUP(
   $B$4&amp;" "&amp;$B12,
   Actuals!$D:$D,
   _xlfn.XLOOKUP(
      S$6,
      Actuals!$H$3:$BD$3,
      Actuals!$H:$BD
   )
)</f>
        <v>0</v>
      </c>
      <c r="T12" s="292" cm="1">
        <f t="array" ref="T12">_xlfn.XLOOKUP(
   $B$4&amp;" "&amp;$B12,
   Actuals!$D:$D,
   _xlfn.XLOOKUP(
      T$6,
      Actuals!$H$3:$BD$3,
      Actuals!$H:$BD
   )
)</f>
        <v>0</v>
      </c>
      <c r="U12" s="292" cm="1">
        <f t="array" ref="U12">_xlfn.XLOOKUP(
   $B$4&amp;" "&amp;$B12,
   Actuals!$D:$D,
   _xlfn.XLOOKUP(
      U$6,
      Actuals!$H$3:$BD$3,
      Actuals!$H:$BD
   )
)</f>
        <v>0</v>
      </c>
      <c r="V12" s="292" cm="1">
        <f t="array" ref="V12">_xlfn.XLOOKUP(
   $B$4&amp;" "&amp;$B12,
   Actuals!$D:$D,
   _xlfn.XLOOKUP(
      V$6,
      Actuals!$H$3:$BD$3,
      Actuals!$H:$BD
   )
)</f>
        <v>0</v>
      </c>
      <c r="W12" s="292" cm="1">
        <f t="array" ref="W12">_xlfn.XLOOKUP(
   $B$4&amp;" "&amp;$B12,
   Actuals!$D:$D,
   _xlfn.XLOOKUP(
      W$6,
      Actuals!$H$3:$BD$3,
      Actuals!$H:$BD
   )
)</f>
        <v>0</v>
      </c>
      <c r="X12" s="292" cm="1">
        <f t="array" ref="X12">_xlfn.XLOOKUP(
   $B$4&amp;" "&amp;$B12,
   Actuals!$D:$D,
   _xlfn.XLOOKUP(
      X$6,
      Actuals!$H$3:$BD$3,
      Actuals!$H:$BD
   )
)</f>
        <v>0</v>
      </c>
      <c r="Y12" s="292" cm="1">
        <f t="array" ref="Y12">_xlfn.XLOOKUP(
   $B$4&amp;" "&amp;$B12,
   Actuals!$D:$D,
   _xlfn.XLOOKUP(
      Y$6,
      Actuals!$H$3:$BD$3,
      Actuals!$H:$BD
   )
)</f>
        <v>0</v>
      </c>
      <c r="Z12" s="292" cm="1">
        <f t="array" ref="Z12">_xlfn.XLOOKUP(
   $B$4&amp;" "&amp;$B12,
   Actuals!$D:$D,
   _xlfn.XLOOKUP(
      Z$6,
      Actuals!$H$3:$BD$3,
      Actuals!$H:$BD
   )
)</f>
        <v>0</v>
      </c>
      <c r="AA12" s="292" cm="1">
        <f t="array" ref="AA12">_xlfn.XLOOKUP(
   $B$4&amp;" "&amp;$B12,
   Actuals!$D:$D,
   _xlfn.XLOOKUP(
      AA$6,
      Actuals!$H$3:$BD$3,
      Actuals!$H:$BD
   )
)</f>
        <v>0</v>
      </c>
      <c r="AB12" s="292" cm="1">
        <f t="array" ref="AB12">_xlfn.XLOOKUP(
   $B$4&amp;" "&amp;$B12,
   Actuals!$D:$D,
   _xlfn.XLOOKUP(
      AB$6,
      Actuals!$H$3:$BD$3,
      Actuals!$H:$BD
   )
)</f>
        <v>0</v>
      </c>
      <c r="AC12" s="292" cm="1">
        <f t="array" ref="AC12">_xlfn.XLOOKUP(
   $B$4&amp;" "&amp;$B12,
   Actuals!$D:$D,
   _xlfn.XLOOKUP(
      AC$6,
      Actuals!$H$3:$BD$3,
      Actuals!$H:$BD
   )
)</f>
        <v>0</v>
      </c>
      <c r="AD12" s="292" cm="1">
        <f t="array" ref="AD12">_xlfn.XLOOKUP(
   $B$4&amp;" "&amp;$B12,
   Actuals!$D:$D,
   _xlfn.XLOOKUP(
      AD$6,
      Actuals!$H$3:$BD$3,
      Actuals!$H:$BD
   )
)</f>
        <v>0</v>
      </c>
      <c r="AE12" s="292" cm="1">
        <f t="array" ref="AE12">_xlfn.XLOOKUP(
   $B$4&amp;" "&amp;$B12,
   Actuals!$D:$D,
   _xlfn.XLOOKUP(
      AE$6,
      Actuals!$H$3:$BD$3,
      Actuals!$H:$BD
   )
)</f>
        <v>0</v>
      </c>
      <c r="AF12" s="292" cm="1">
        <f t="array" ref="AF12">_xlfn.XLOOKUP(
   $B$4&amp;" "&amp;$B12,
   Actuals!$D:$D,
   _xlfn.XLOOKUP(
      AF$6,
      Actuals!$H$3:$BD$3,
      Actuals!$H:$BD
   )
)</f>
        <v>0</v>
      </c>
      <c r="AG12" s="292" cm="1">
        <f t="array" ref="AG12">_xlfn.XLOOKUP(
   $B$4&amp;" "&amp;$B12,
   Actuals!$D:$D,
   _xlfn.XLOOKUP(
      AG$6,
      Actuals!$H$3:$BD$3,
      Actuals!$H:$BD
   )
)</f>
        <v>0</v>
      </c>
      <c r="AH12" s="292" cm="1">
        <f t="array" ref="AH12">_xlfn.XLOOKUP(
   $B$4&amp;" "&amp;$B12,
   Actuals!$D:$D,
   _xlfn.XLOOKUP(
      AH$6,
      Actuals!$H$3:$BD$3,
      Actuals!$H:$BD
   )
)</f>
        <v>0</v>
      </c>
      <c r="AI12" s="292" cm="1">
        <f t="array" ref="AI12">_xlfn.XLOOKUP(
   $B$4&amp;" "&amp;$B12,
   Actuals!$D:$D,
   _xlfn.XLOOKUP(
      AI$6,
      Actuals!$H$3:$BD$3,
      Actuals!$H:$BD
   )
)</f>
        <v>0</v>
      </c>
      <c r="AJ12" s="292" cm="1">
        <f t="array" ref="AJ12">_xlfn.XLOOKUP(
   $B$4&amp;" "&amp;$B12,
   Actuals!$D:$D,
   _xlfn.XLOOKUP(
      AJ$6,
      Actuals!$H$3:$BD$3,
      Actuals!$H:$BD
   )
)</f>
        <v>0</v>
      </c>
      <c r="AK12" s="292" cm="1">
        <f t="array" ref="AK12">_xlfn.XLOOKUP(
   $B$4&amp;" "&amp;$B12,
   Actuals!$D:$D,
   _xlfn.XLOOKUP(
      AK$6,
      Actuals!$H$3:$BD$3,
      Actuals!$H:$BD
   )
)</f>
        <v>0</v>
      </c>
      <c r="AL12" s="292" cm="1">
        <f t="array" ref="AL12">_xlfn.XLOOKUP(
   $B$4&amp;" "&amp;$B12,
   Actuals!$D:$D,
   _xlfn.XLOOKUP(
      AL$6,
      Actuals!$H$3:$BD$3,
      Actuals!$H:$BD
   )
)</f>
        <v>0</v>
      </c>
      <c r="AM12" s="292" cm="1">
        <f t="array" ref="AM12">_xlfn.XLOOKUP(
   $B$4&amp;" "&amp;$B12,
   Actuals!$D:$D,
   _xlfn.XLOOKUP(
      AM$6,
      Actuals!$H$3:$BD$3,
      Actuals!$H:$BD
   )
)</f>
        <v>0</v>
      </c>
      <c r="AN12" s="292" cm="1">
        <f t="array" ref="AN12">_xlfn.XLOOKUP(
   $B$4&amp;" "&amp;$B12,
   Actuals!$D:$D,
   _xlfn.XLOOKUP(
      AN$6,
      Actuals!$H$3:$BD$3,
      Actuals!$H:$BD
   )
)</f>
        <v>64</v>
      </c>
      <c r="AO12" s="292" cm="1">
        <f t="array" ref="AO12">_xlfn.XLOOKUP(
   $B$4&amp;" "&amp;$B12,
   Actuals!$D:$D,
   _xlfn.XLOOKUP(
      AO$6,
      Actuals!$H$3:$BD$3,
      Actuals!$H:$BD
   )
)</f>
        <v>0</v>
      </c>
      <c r="AP12" s="292" cm="1">
        <f t="array" ref="AP12">_xlfn.XLOOKUP(
   $B$4&amp;" "&amp;$B12,
   Actuals!$D:$D,
   _xlfn.XLOOKUP(
      AP$6,
      Actuals!$H$3:$BD$3,
      Actuals!$H:$BD
   )
)</f>
        <v>0</v>
      </c>
      <c r="AQ12" s="292" cm="1">
        <f t="array" ref="AQ12">_xlfn.XLOOKUP(
   $B$4&amp;" "&amp;$B12,
   Actuals!$D:$D,
   _xlfn.XLOOKUP(
      AQ$6,
      Actuals!$H$3:$BD$3,
      Actuals!$H:$BD
   )
)</f>
        <v>0</v>
      </c>
      <c r="AR12" s="292" cm="1">
        <f t="array" ref="AR12">_xlfn.XLOOKUP(
   $B$4&amp;" "&amp;$B12,
   Actuals!$D:$D,
   _xlfn.XLOOKUP(
      AR$6,
      Actuals!$H$3:$BD$3,
      Actuals!$H:$BD
   )
)</f>
        <v>0</v>
      </c>
      <c r="AS12" s="292" cm="1">
        <f t="array" ref="AS12">_xlfn.XLOOKUP(
   $B$4&amp;" "&amp;$B12,
   Actuals!$D:$D,
   _xlfn.XLOOKUP(
      AS$6,
      Actuals!$H$3:$BD$3,
      Actuals!$H:$BD
   )
)</f>
        <v>0</v>
      </c>
      <c r="AT12" s="292" cm="1">
        <f t="array" ref="AT12">_xlfn.XLOOKUP(
   $B$4&amp;" "&amp;$B12,
   Actuals!$D:$D,
   _xlfn.XLOOKUP(
      AT$6,
      Actuals!$H$3:$BD$3,
      Actuals!$H:$BD
   )
)</f>
        <v>0</v>
      </c>
      <c r="AU12" s="292" cm="1">
        <f t="array" ref="AU12">_xlfn.XLOOKUP(
   $B$4&amp;" "&amp;$B12,
   Actuals!$D:$D,
   _xlfn.XLOOKUP(
      AU$6,
      Actuals!$H$3:$BD$3,
      Actuals!$H:$BD
   )
)</f>
        <v>0</v>
      </c>
      <c r="AV12" s="292" cm="1">
        <f t="array" ref="AV12">_xlfn.XLOOKUP(
   $B$4&amp;" "&amp;$B12,
   Actuals!$D:$D,
   _xlfn.XLOOKUP(
      AV$6,
      Actuals!$H$3:$BD$3,
      Actuals!$H:$BD
   )
)</f>
        <v>0</v>
      </c>
      <c r="AW12" s="292" cm="1">
        <f t="array" ref="AW12">_xlfn.XLOOKUP(
   $B$4&amp;" "&amp;$B12,
   Actuals!$D:$D,
   _xlfn.XLOOKUP(
      AW$6,
      Actuals!$H$3:$BD$3,
      Actuals!$H:$BD
   )
)</f>
        <v>0</v>
      </c>
      <c r="AX12" s="292" cm="1">
        <f t="array" ref="AX12">_xlfn.XLOOKUP(
   $B$4&amp;" "&amp;$B12,
   Actuals!$D:$D,
   _xlfn.XLOOKUP(
      AX$6,
      Actuals!$H$3:$BD$3,
      Actuals!$H:$BD
   )
)</f>
        <v>0</v>
      </c>
      <c r="AY12" s="292" cm="1">
        <f t="array" ref="AY12">_xlfn.XLOOKUP(
   $B$4&amp;" "&amp;$B12,
   Actuals!$D:$D,
   _xlfn.XLOOKUP(
      AY$6,
      Actuals!$H$3:$BD$3,
      Actuals!$H:$BD
   )
)</f>
        <v>0</v>
      </c>
      <c r="AZ12" s="292" cm="1">
        <f t="array" ref="AZ12">_xlfn.XLOOKUP(
   $B$4&amp;" "&amp;$B12,
   Actuals!$D:$D,
   _xlfn.XLOOKUP(
      AZ$6,
      Actuals!$H$3:$BD$3,
      Actuals!$H:$BD
   )
)</f>
        <v>0</v>
      </c>
      <c r="BA12" s="292"/>
      <c r="BB12" s="292" cm="1">
        <f t="array" ref="BB12">_xlfn.XLOOKUP(
   $B$4&amp;" "&amp;$B12,
   Actuals!$D:$D,
   _xlfn.XLOOKUP(
      BB$7,
      Actuals!$H$3:$BM$3,
      Actuals!$H:$BM
   )
)</f>
        <v>0</v>
      </c>
      <c r="BC12" s="292">
        <f>VLOOKUP($B$4&amp;" "&amp;$B12,Budget!$AG$4:$AL$132,$BB$5+1,FALSE)</f>
        <v>0</v>
      </c>
      <c r="BD12" s="292">
        <f t="shared" ref="BD12:BD17" si="32">BB12-BC12</f>
        <v>0</v>
      </c>
      <c r="BE12" s="292"/>
      <c r="BF12" s="292" cm="1">
        <f t="array" ref="BF12">_xlfn.XLOOKUP(
   $B$4&amp;" "&amp;$B12,
   Actuals!$D:$D,
   _xlfn.XLOOKUP(
      BF$7,
      Actuals!$H$3:$BM$3,
      Actuals!$H:$BM
   )
)</f>
        <v>0</v>
      </c>
      <c r="BG12" s="292">
        <f>VLOOKUP($B$4&amp;" "&amp;$B12,Budget!$AG$4:$AL$132,BF$5+1,FALSE)</f>
        <v>0</v>
      </c>
      <c r="BH12" s="292">
        <f t="shared" ref="BH12:BH17" si="33">BF12-BG12</f>
        <v>0</v>
      </c>
      <c r="BI12" s="292"/>
      <c r="BJ12" s="292" cm="1">
        <f t="array" ref="BJ12">_xlfn.XLOOKUP(
   $B$4&amp;" "&amp;$B12,
   Actuals!$D:$D,
   _xlfn.XLOOKUP(
      BJ$7,
      Actuals!$H$3:$BM$3,
      Actuals!$H:$BM
   )
)</f>
        <v>0</v>
      </c>
      <c r="BK12" s="292">
        <f>VLOOKUP($B$4&amp;" "&amp;$B12,Budget!$AG$4:$AL$132,BJ$5+1,FALSE)</f>
        <v>0</v>
      </c>
      <c r="BL12" s="292">
        <f t="shared" ref="BL12:BL17" si="34">BJ12-BK12</f>
        <v>0</v>
      </c>
      <c r="BM12" s="292"/>
      <c r="BN12" s="292" cm="1">
        <f t="array" ref="BN12">_xlfn.XLOOKUP(
   $B$4&amp;" "&amp;$B12,
   Actuals!$D:$D,
   _xlfn.XLOOKUP(
      BN$7,
      Actuals!$H$3:$BM$3,
      Actuals!$H:$BM
   )
)</f>
        <v>0</v>
      </c>
      <c r="BO12" s="292">
        <f>VLOOKUP($B$4&amp;" "&amp;$B12,Budget!$AG$4:$AL$132,BN$5+1,FALSE)</f>
        <v>0</v>
      </c>
      <c r="BP12" s="292"/>
      <c r="BQ12" s="292"/>
      <c r="BR12" s="292" cm="1">
        <f t="array" aca="1" ref="BR12" ca="1">_xlfn.XLOOKUP(
   $B$4&amp;" "&amp;$B12,
   Actuals!$D:$D,
   _xlfn.XLOOKUP(
      BR$6,
      Actuals!$H$3:$BM$3,
      Actuals!$H:$BM
   )
)</f>
        <v>0</v>
      </c>
      <c r="BS12" s="292">
        <f ca="1">VLOOKUP($B$4&amp;" "&amp;$B12,Budget!$AG$4:$AL$132,6,FALSE)</f>
        <v>0</v>
      </c>
      <c r="BT12" s="292">
        <f t="shared" ref="BT12:BT20" ca="1" si="35">BR12-BS12</f>
        <v>0</v>
      </c>
      <c r="BU12" s="292"/>
      <c r="BV12" s="292" cm="1">
        <f t="array" ref="BV12">_xlfn.XLOOKUP(
   $B$4&amp;" "&amp;$B12,
   Actuals!$D:$D,
   _xlfn.XLOOKUP(
      BV$6,
      Actuals!$H$3:$BM$3,
      Actuals!$H:$BM
   )
)</f>
        <v>64</v>
      </c>
    </row>
    <row r="13" spans="2:74">
      <c r="B13" s="26" t="s">
        <v>70</v>
      </c>
      <c r="C13" s="139" t="s">
        <v>49</v>
      </c>
      <c r="D13" s="171" t="str">
        <f>VLOOKUP($B$4&amp;" "&amp;$B13,Actuals!$D$4:$AG$131,3,FALSE)</f>
        <v>#</v>
      </c>
      <c r="E13" s="168" cm="1">
        <f t="array" ref="E13">_xlfn.XLOOKUP(
   $B$4&amp;" "&amp;$B13,
   Actuals!$D:$D,
   _xlfn.XLOOKUP(
      E$6,
      Actuals!$H$3:$BD$3,
      Actuals!$H:$BD
   )
)</f>
        <v>5</v>
      </c>
      <c r="F13" s="168" cm="1">
        <f t="array" ref="F13">_xlfn.XLOOKUP(
   $B$4&amp;" "&amp;$B13,
   Actuals!$D:$D,
   _xlfn.XLOOKUP(
      F$6,
      Actuals!$H$3:$BD$3,
      Actuals!$H:$BD
   )
)</f>
        <v>1</v>
      </c>
      <c r="G13" s="168" cm="1">
        <f t="array" ref="G13">_xlfn.XLOOKUP(
   $B$4&amp;" "&amp;$B13,
   Actuals!$D:$D,
   _xlfn.XLOOKUP(
      G$6,
      Actuals!$H$3:$BD$3,
      Actuals!$H:$BD
   )
)</f>
        <v>2</v>
      </c>
      <c r="H13" s="168" cm="1">
        <f t="array" ref="H13">_xlfn.XLOOKUP(
   $B$4&amp;" "&amp;$B13,
   Actuals!$D:$D,
   _xlfn.XLOOKUP(
      H$6,
      Actuals!$H$3:$BD$3,
      Actuals!$H:$BD
   )
)</f>
        <v>0</v>
      </c>
      <c r="I13" s="168" cm="1">
        <f t="array" ref="I13">_xlfn.XLOOKUP(
   $B$4&amp;" "&amp;$B13,
   Actuals!$D:$D,
   _xlfn.XLOOKUP(
      I$6,
      Actuals!$H$3:$BD$3,
      Actuals!$H:$BD
   )
)</f>
        <v>3</v>
      </c>
      <c r="J13" s="168" cm="1">
        <f t="array" ref="J13">_xlfn.XLOOKUP(
   $B$4&amp;" "&amp;$B13,
   Actuals!$D:$D,
   _xlfn.XLOOKUP(
      J$6,
      Actuals!$H$3:$BD$3,
      Actuals!$H:$BD
   )
)</f>
        <v>7</v>
      </c>
      <c r="K13" s="168" cm="1">
        <f t="array" ref="K13">_xlfn.XLOOKUP(
   $B$4&amp;" "&amp;$B13,
   Actuals!$D:$D,
   _xlfn.XLOOKUP(
      K$6,
      Actuals!$H$3:$BD$3,
      Actuals!$H:$BD
   )
)</f>
        <v>4</v>
      </c>
      <c r="L13" s="168" cm="1">
        <f t="array" ref="L13">_xlfn.XLOOKUP(
   $B$4&amp;" "&amp;$B13,
   Actuals!$D:$D,
   _xlfn.XLOOKUP(
      L$6,
      Actuals!$H$3:$BD$3,
      Actuals!$H:$BD
   )
)</f>
        <v>2</v>
      </c>
      <c r="M13" s="168" cm="1">
        <f t="array" ref="M13">_xlfn.XLOOKUP(
   $B$4&amp;" "&amp;$B13,
   Actuals!$D:$D,
   _xlfn.XLOOKUP(
      M$6,
      Actuals!$H$3:$BD$3,
      Actuals!$H:$BD
   )
)</f>
        <v>3</v>
      </c>
      <c r="N13" s="168" cm="1">
        <f t="array" ref="N13">_xlfn.XLOOKUP(
   $B$4&amp;" "&amp;$B13,
   Actuals!$D:$D,
   _xlfn.XLOOKUP(
      N$6,
      Actuals!$H$3:$BD$3,
      Actuals!$H:$BD
   )
)</f>
        <v>3</v>
      </c>
      <c r="O13" s="292" cm="1">
        <f t="array" ref="O13">_xlfn.XLOOKUP(
   $B$4&amp;" "&amp;$B13,
   Actuals!$D:$D,
   _xlfn.XLOOKUP(
      O$6,
      Actuals!$H$3:$BD$3,
      Actuals!$H:$BD
   )
)</f>
        <v>0</v>
      </c>
      <c r="P13" s="292" cm="1">
        <f t="array" ref="P13">_xlfn.XLOOKUP(
   $B$4&amp;" "&amp;$B13,
   Actuals!$D:$D,
   _xlfn.XLOOKUP(
      P$6,
      Actuals!$H$3:$BD$3,
      Actuals!$H:$BD
   )
)</f>
        <v>0</v>
      </c>
      <c r="Q13" s="292" cm="1">
        <f t="array" ref="Q13">_xlfn.XLOOKUP(
   $B$4&amp;" "&amp;$B13,
   Actuals!$D:$D,
   _xlfn.XLOOKUP(
      Q$6,
      Actuals!$H$3:$BD$3,
      Actuals!$H:$BD
   )
)</f>
        <v>0</v>
      </c>
      <c r="R13" s="292" cm="1">
        <f t="array" ref="R13">_xlfn.XLOOKUP(
   $B$4&amp;" "&amp;$B13,
   Actuals!$D:$D,
   _xlfn.XLOOKUP(
      R$6,
      Actuals!$H$3:$BD$3,
      Actuals!$H:$BD
   )
)</f>
        <v>0</v>
      </c>
      <c r="S13" s="292" cm="1">
        <f t="array" ref="S13">_xlfn.XLOOKUP(
   $B$4&amp;" "&amp;$B13,
   Actuals!$D:$D,
   _xlfn.XLOOKUP(
      S$6,
      Actuals!$H$3:$BD$3,
      Actuals!$H:$BD
   )
)</f>
        <v>0</v>
      </c>
      <c r="T13" s="292" cm="1">
        <f t="array" ref="T13">_xlfn.XLOOKUP(
   $B$4&amp;" "&amp;$B13,
   Actuals!$D:$D,
   _xlfn.XLOOKUP(
      T$6,
      Actuals!$H$3:$BD$3,
      Actuals!$H:$BD
   )
)</f>
        <v>0</v>
      </c>
      <c r="U13" s="292" cm="1">
        <f t="array" ref="U13">_xlfn.XLOOKUP(
   $B$4&amp;" "&amp;$B13,
   Actuals!$D:$D,
   _xlfn.XLOOKUP(
      U$6,
      Actuals!$H$3:$BD$3,
      Actuals!$H:$BD
   )
)</f>
        <v>0</v>
      </c>
      <c r="V13" s="292" cm="1">
        <f t="array" ref="V13">_xlfn.XLOOKUP(
   $B$4&amp;" "&amp;$B13,
   Actuals!$D:$D,
   _xlfn.XLOOKUP(
      V$6,
      Actuals!$H$3:$BD$3,
      Actuals!$H:$BD
   )
)</f>
        <v>0</v>
      </c>
      <c r="W13" s="292" cm="1">
        <f t="array" ref="W13">_xlfn.XLOOKUP(
   $B$4&amp;" "&amp;$B13,
   Actuals!$D:$D,
   _xlfn.XLOOKUP(
      W$6,
      Actuals!$H$3:$BD$3,
      Actuals!$H:$BD
   )
)</f>
        <v>0</v>
      </c>
      <c r="X13" s="292" cm="1">
        <f t="array" ref="X13">_xlfn.XLOOKUP(
   $B$4&amp;" "&amp;$B13,
   Actuals!$D:$D,
   _xlfn.XLOOKUP(
      X$6,
      Actuals!$H$3:$BD$3,
      Actuals!$H:$BD
   )
)</f>
        <v>0</v>
      </c>
      <c r="Y13" s="292" cm="1">
        <f t="array" ref="Y13">_xlfn.XLOOKUP(
   $B$4&amp;" "&amp;$B13,
   Actuals!$D:$D,
   _xlfn.XLOOKUP(
      Y$6,
      Actuals!$H$3:$BD$3,
      Actuals!$H:$BD
   )
)</f>
        <v>0</v>
      </c>
      <c r="Z13" s="292" cm="1">
        <f t="array" ref="Z13">_xlfn.XLOOKUP(
   $B$4&amp;" "&amp;$B13,
   Actuals!$D:$D,
   _xlfn.XLOOKUP(
      Z$6,
      Actuals!$H$3:$BD$3,
      Actuals!$H:$BD
   )
)</f>
        <v>0</v>
      </c>
      <c r="AA13" s="292" cm="1">
        <f t="array" ref="AA13">_xlfn.XLOOKUP(
   $B$4&amp;" "&amp;$B13,
   Actuals!$D:$D,
   _xlfn.XLOOKUP(
      AA$6,
      Actuals!$H$3:$BD$3,
      Actuals!$H:$BD
   )
)</f>
        <v>0</v>
      </c>
      <c r="AB13" s="292" cm="1">
        <f t="array" ref="AB13">_xlfn.XLOOKUP(
   $B$4&amp;" "&amp;$B13,
   Actuals!$D:$D,
   _xlfn.XLOOKUP(
      AB$6,
      Actuals!$H$3:$BD$3,
      Actuals!$H:$BD
   )
)</f>
        <v>0</v>
      </c>
      <c r="AC13" s="292" cm="1">
        <f t="array" ref="AC13">_xlfn.XLOOKUP(
   $B$4&amp;" "&amp;$B13,
   Actuals!$D:$D,
   _xlfn.XLOOKUP(
      AC$6,
      Actuals!$H$3:$BD$3,
      Actuals!$H:$BD
   )
)</f>
        <v>0</v>
      </c>
      <c r="AD13" s="292" cm="1">
        <f t="array" ref="AD13">_xlfn.XLOOKUP(
   $B$4&amp;" "&amp;$B13,
   Actuals!$D:$D,
   _xlfn.XLOOKUP(
      AD$6,
      Actuals!$H$3:$BD$3,
      Actuals!$H:$BD
   )
)</f>
        <v>2</v>
      </c>
      <c r="AE13" s="292" cm="1">
        <f t="array" ref="AE13">_xlfn.XLOOKUP(
   $B$4&amp;" "&amp;$B13,
   Actuals!$D:$D,
   _xlfn.XLOOKUP(
      AE$6,
      Actuals!$H$3:$BD$3,
      Actuals!$H:$BD
   )
)</f>
        <v>2</v>
      </c>
      <c r="AF13" s="292" cm="1">
        <f t="array" ref="AF13">_xlfn.XLOOKUP(
   $B$4&amp;" "&amp;$B13,
   Actuals!$D:$D,
   _xlfn.XLOOKUP(
      AF$6,
      Actuals!$H$3:$BD$3,
      Actuals!$H:$BD
   )
)</f>
        <v>2</v>
      </c>
      <c r="AG13" s="292" cm="1">
        <f t="array" ref="AG13">_xlfn.XLOOKUP(
   $B$4&amp;" "&amp;$B13,
   Actuals!$D:$D,
   _xlfn.XLOOKUP(
      AG$6,
      Actuals!$H$3:$BD$3,
      Actuals!$H:$BD
   )
)</f>
        <v>3</v>
      </c>
      <c r="AH13" s="292" cm="1">
        <f t="array" ref="AH13">_xlfn.XLOOKUP(
   $B$4&amp;" "&amp;$B13,
   Actuals!$D:$D,
   _xlfn.XLOOKUP(
      AH$6,
      Actuals!$H$3:$BD$3,
      Actuals!$H:$BD
   )
)</f>
        <v>13</v>
      </c>
      <c r="AI13" s="292" cm="1">
        <f t="array" ref="AI13">_xlfn.XLOOKUP(
   $B$4&amp;" "&amp;$B13,
   Actuals!$D:$D,
   _xlfn.XLOOKUP(
      AI$6,
      Actuals!$H$3:$BD$3,
      Actuals!$H:$BD
   )
)</f>
        <v>4</v>
      </c>
      <c r="AJ13" s="292" cm="1">
        <f t="array" ref="AJ13">_xlfn.XLOOKUP(
   $B$4&amp;" "&amp;$B13,
   Actuals!$D:$D,
   _xlfn.XLOOKUP(
      AJ$6,
      Actuals!$H$3:$BD$3,
      Actuals!$H:$BD
   )
)</f>
        <v>3</v>
      </c>
      <c r="AK13" s="292" cm="1">
        <f t="array" ref="AK13">_xlfn.XLOOKUP(
   $B$4&amp;" "&amp;$B13,
   Actuals!$D:$D,
   _xlfn.XLOOKUP(
      AK$6,
      Actuals!$H$3:$BD$3,
      Actuals!$H:$BD
   )
)</f>
        <v>1</v>
      </c>
      <c r="AL13" s="292" cm="1">
        <f t="array" ref="AL13">_xlfn.XLOOKUP(
   $B$4&amp;" "&amp;$B13,
   Actuals!$D:$D,
   _xlfn.XLOOKUP(
      AL$6,
      Actuals!$H$3:$BD$3,
      Actuals!$H:$BD
   )
)</f>
        <v>4</v>
      </c>
      <c r="AM13" s="292" cm="1">
        <f t="array" ref="AM13">_xlfn.XLOOKUP(
   $B$4&amp;" "&amp;$B13,
   Actuals!$D:$D,
   _xlfn.XLOOKUP(
      AM$6,
      Actuals!$H$3:$BD$3,
      Actuals!$H:$BD
   )
)</f>
        <v>8</v>
      </c>
      <c r="AN13" s="292" cm="1">
        <f t="array" ref="AN13">_xlfn.XLOOKUP(
   $B$4&amp;" "&amp;$B13,
   Actuals!$D:$D,
   _xlfn.XLOOKUP(
      AN$6,
      Actuals!$H$3:$BD$3,
      Actuals!$H:$BD
   )
)</f>
        <v>6</v>
      </c>
      <c r="AO13" s="292" cm="1">
        <f t="array" ref="AO13">_xlfn.XLOOKUP(
   $B$4&amp;" "&amp;$B13,
   Actuals!$D:$D,
   _xlfn.XLOOKUP(
      AO$6,
      Actuals!$H$3:$BD$3,
      Actuals!$H:$BD
   )
)</f>
        <v>0</v>
      </c>
      <c r="AP13" s="292" cm="1">
        <f t="array" ref="AP13">_xlfn.XLOOKUP(
   $B$4&amp;" "&amp;$B13,
   Actuals!$D:$D,
   _xlfn.XLOOKUP(
      AP$6,
      Actuals!$H$3:$BD$3,
      Actuals!$H:$BD
   )
)</f>
        <v>0</v>
      </c>
      <c r="AQ13" s="292" cm="1">
        <f t="array" ref="AQ13">_xlfn.XLOOKUP(
   $B$4&amp;" "&amp;$B13,
   Actuals!$D:$D,
   _xlfn.XLOOKUP(
      AQ$6,
      Actuals!$H$3:$BD$3,
      Actuals!$H:$BD
   )
)</f>
        <v>0</v>
      </c>
      <c r="AR13" s="292" cm="1">
        <f t="array" ref="AR13">_xlfn.XLOOKUP(
   $B$4&amp;" "&amp;$B13,
   Actuals!$D:$D,
   _xlfn.XLOOKUP(
      AR$6,
      Actuals!$H$3:$BD$3,
      Actuals!$H:$BD
   )
)</f>
        <v>0</v>
      </c>
      <c r="AS13" s="292" cm="1">
        <f t="array" ref="AS13">_xlfn.XLOOKUP(
   $B$4&amp;" "&amp;$B13,
   Actuals!$D:$D,
   _xlfn.XLOOKUP(
      AS$6,
      Actuals!$H$3:$BD$3,
      Actuals!$H:$BD
   )
)</f>
        <v>0</v>
      </c>
      <c r="AT13" s="292" cm="1">
        <f t="array" ref="AT13">_xlfn.XLOOKUP(
   $B$4&amp;" "&amp;$B13,
   Actuals!$D:$D,
   _xlfn.XLOOKUP(
      AT$6,
      Actuals!$H$3:$BD$3,
      Actuals!$H:$BD
   )
)</f>
        <v>0</v>
      </c>
      <c r="AU13" s="292" cm="1">
        <f t="array" ref="AU13">_xlfn.XLOOKUP(
   $B$4&amp;" "&amp;$B13,
   Actuals!$D:$D,
   _xlfn.XLOOKUP(
      AU$6,
      Actuals!$H$3:$BD$3,
      Actuals!$H:$BD
   )
)</f>
        <v>0</v>
      </c>
      <c r="AV13" s="292" cm="1">
        <f t="array" ref="AV13">_xlfn.XLOOKUP(
   $B$4&amp;" "&amp;$B13,
   Actuals!$D:$D,
   _xlfn.XLOOKUP(
      AV$6,
      Actuals!$H$3:$BD$3,
      Actuals!$H:$BD
   )
)</f>
        <v>0</v>
      </c>
      <c r="AW13" s="292" cm="1">
        <f t="array" ref="AW13">_xlfn.XLOOKUP(
   $B$4&amp;" "&amp;$B13,
   Actuals!$D:$D,
   _xlfn.XLOOKUP(
      AW$6,
      Actuals!$H$3:$BD$3,
      Actuals!$H:$BD
   )
)</f>
        <v>0</v>
      </c>
      <c r="AX13" s="292" cm="1">
        <f t="array" ref="AX13">_xlfn.XLOOKUP(
   $B$4&amp;" "&amp;$B13,
   Actuals!$D:$D,
   _xlfn.XLOOKUP(
      AX$6,
      Actuals!$H$3:$BD$3,
      Actuals!$H:$BD
   )
)</f>
        <v>0</v>
      </c>
      <c r="AY13" s="292" cm="1">
        <f t="array" ref="AY13">_xlfn.XLOOKUP(
   $B$4&amp;" "&amp;$B13,
   Actuals!$D:$D,
   _xlfn.XLOOKUP(
      AY$6,
      Actuals!$H$3:$BD$3,
      Actuals!$H:$BD
   )
)</f>
        <v>0</v>
      </c>
      <c r="AZ13" s="292" cm="1">
        <f t="array" ref="AZ13">_xlfn.XLOOKUP(
   $B$4&amp;" "&amp;$B13,
   Actuals!$D:$D,
   _xlfn.XLOOKUP(
      AZ$6,
      Actuals!$H$3:$BD$3,
      Actuals!$H:$BD
   )
)</f>
        <v>0</v>
      </c>
      <c r="BA13" s="292"/>
      <c r="BB13" s="292" cm="1">
        <f t="array" ref="BB13">_xlfn.XLOOKUP(
   $B$4&amp;" "&amp;$B13,
   Actuals!$D:$D,
   _xlfn.XLOOKUP(
      BB$7,
      Actuals!$H$3:$BM$3,
      Actuals!$H:$BM
   )
)</f>
        <v>0</v>
      </c>
      <c r="BC13" s="292">
        <f>VLOOKUP($B$4&amp;" "&amp;$B13,Budget!$AG$4:$AL$132,$BB$5+1,FALSE)</f>
        <v>60</v>
      </c>
      <c r="BD13" s="292">
        <f t="shared" si="32"/>
        <v>-60</v>
      </c>
      <c r="BE13" s="292"/>
      <c r="BF13" s="292" cm="1">
        <f t="array" ref="BF13">_xlfn.XLOOKUP(
   $B$4&amp;" "&amp;$B13,
   Actuals!$D:$D,
   _xlfn.XLOOKUP(
      BF$7,
      Actuals!$H$3:$BM$3,
      Actuals!$H:$BM
   )
)</f>
        <v>0</v>
      </c>
      <c r="BG13" s="292">
        <f>VLOOKUP($B$4&amp;" "&amp;$B13,Budget!$AG$4:$AL$132,BF$5+1,FALSE)</f>
        <v>60</v>
      </c>
      <c r="BH13" s="292">
        <f t="shared" si="33"/>
        <v>-60</v>
      </c>
      <c r="BI13" s="292"/>
      <c r="BJ13" s="292" cm="1">
        <f t="array" ref="BJ13">_xlfn.XLOOKUP(
   $B$4&amp;" "&amp;$B13,
   Actuals!$D:$D,
   _xlfn.XLOOKUP(
      BJ$7,
      Actuals!$H$3:$BM$3,
      Actuals!$H:$BM
   )
)</f>
        <v>0</v>
      </c>
      <c r="BK13" s="292">
        <f>VLOOKUP($B$4&amp;" "&amp;$B13,Budget!$AG$4:$AL$132,BJ$5+1,FALSE)</f>
        <v>60</v>
      </c>
      <c r="BL13" s="292">
        <f t="shared" si="34"/>
        <v>-60</v>
      </c>
      <c r="BM13" s="292"/>
      <c r="BN13" s="292" cm="1">
        <f t="array" ref="BN13">_xlfn.XLOOKUP(
   $B$4&amp;" "&amp;$B13,
   Actuals!$D:$D,
   _xlfn.XLOOKUP(
      BN$7,
      Actuals!$H$3:$BM$3,
      Actuals!$H:$BM
   )
)</f>
        <v>0</v>
      </c>
      <c r="BO13" s="292">
        <f>VLOOKUP($B$4&amp;" "&amp;$B13,Budget!$AG$4:$AL$132,BN$5+1,FALSE)</f>
        <v>60</v>
      </c>
      <c r="BP13" s="292"/>
      <c r="BQ13" s="292"/>
      <c r="BR13" s="292" cm="1">
        <f t="array" aca="1" ref="BR13" ca="1">_xlfn.XLOOKUP(
   $B$4&amp;" "&amp;$B13,
   Actuals!$D:$D,
   _xlfn.XLOOKUP(
      BR$6,
      Actuals!$H$3:$BM$3,
      Actuals!$H:$BM
   )
)</f>
        <v>0</v>
      </c>
      <c r="BS13" s="292">
        <f ca="1">VLOOKUP($B$4&amp;" "&amp;$B13,Budget!$AG$4:$AL$132,6,FALSE)</f>
        <v>240</v>
      </c>
      <c r="BT13" s="292">
        <f t="shared" ca="1" si="35"/>
        <v>-240</v>
      </c>
      <c r="BU13" s="292"/>
      <c r="BV13" s="292" cm="1">
        <f t="array" ref="BV13">_xlfn.XLOOKUP(
   $B$4&amp;" "&amp;$B13,
   Actuals!$D:$D,
   _xlfn.XLOOKUP(
      BV$6,
      Actuals!$H$3:$BM$3,
      Actuals!$H:$BM
   )
)</f>
        <v>48</v>
      </c>
    </row>
    <row r="14" spans="2:74">
      <c r="B14" s="26" t="s">
        <v>71</v>
      </c>
      <c r="C14" s="139" t="s">
        <v>49</v>
      </c>
      <c r="D14" s="171" t="str">
        <f>VLOOKUP($B$4&amp;" "&amp;$B14,Actuals!$D$4:$AG$131,3,FALSE)</f>
        <v>#</v>
      </c>
      <c r="E14" s="168" cm="1">
        <f t="array" ref="E14">_xlfn.XLOOKUP(
   $B$4&amp;" "&amp;$B14,
   Actuals!$D:$D,
   _xlfn.XLOOKUP(
      E$6,
      Actuals!$H$3:$BD$3,
      Actuals!$H:$BD
   )
)</f>
        <v>2</v>
      </c>
      <c r="F14" s="168" cm="1">
        <f t="array" ref="F14">_xlfn.XLOOKUP(
   $B$4&amp;" "&amp;$B14,
   Actuals!$D:$D,
   _xlfn.XLOOKUP(
      F$6,
      Actuals!$H$3:$BD$3,
      Actuals!$H:$BD
   )
)</f>
        <v>0</v>
      </c>
      <c r="G14" s="168" cm="1">
        <f t="array" ref="G14">_xlfn.XLOOKUP(
   $B$4&amp;" "&amp;$B14,
   Actuals!$D:$D,
   _xlfn.XLOOKUP(
      G$6,
      Actuals!$H$3:$BD$3,
      Actuals!$H:$BD
   )
)</f>
        <v>2</v>
      </c>
      <c r="H14" s="168" cm="1">
        <f t="array" ref="H14">_xlfn.XLOOKUP(
   $B$4&amp;" "&amp;$B14,
   Actuals!$D:$D,
   _xlfn.XLOOKUP(
      H$6,
      Actuals!$H$3:$BD$3,
      Actuals!$H:$BD
   )
)</f>
        <v>0</v>
      </c>
      <c r="I14" s="168" cm="1">
        <f t="array" ref="I14">_xlfn.XLOOKUP(
   $B$4&amp;" "&amp;$B14,
   Actuals!$D:$D,
   _xlfn.XLOOKUP(
      I$6,
      Actuals!$H$3:$BD$3,
      Actuals!$H:$BD
   )
)</f>
        <v>3</v>
      </c>
      <c r="J14" s="168" cm="1">
        <f t="array" ref="J14">_xlfn.XLOOKUP(
   $B$4&amp;" "&amp;$B14,
   Actuals!$D:$D,
   _xlfn.XLOOKUP(
      J$6,
      Actuals!$H$3:$BD$3,
      Actuals!$H:$BD
   )
)</f>
        <v>1</v>
      </c>
      <c r="K14" s="168" cm="1">
        <f t="array" ref="K14">_xlfn.XLOOKUP(
   $B$4&amp;" "&amp;$B14,
   Actuals!$D:$D,
   _xlfn.XLOOKUP(
      K$6,
      Actuals!$H$3:$BD$3,
      Actuals!$H:$BD
   )
)</f>
        <v>3</v>
      </c>
      <c r="L14" s="168" cm="1">
        <f t="array" ref="L14">_xlfn.XLOOKUP(
   $B$4&amp;" "&amp;$B14,
   Actuals!$D:$D,
   _xlfn.XLOOKUP(
      L$6,
      Actuals!$H$3:$BD$3,
      Actuals!$H:$BD
   )
)</f>
        <v>2</v>
      </c>
      <c r="M14" s="168" cm="1">
        <f t="array" ref="M14">_xlfn.XLOOKUP(
   $B$4&amp;" "&amp;$B14,
   Actuals!$D:$D,
   _xlfn.XLOOKUP(
      M$6,
      Actuals!$H$3:$BD$3,
      Actuals!$H:$BD
   )
)</f>
        <v>0</v>
      </c>
      <c r="N14" s="168" cm="1">
        <f t="array" ref="N14">_xlfn.XLOOKUP(
   $B$4&amp;" "&amp;$B14,
   Actuals!$D:$D,
   _xlfn.XLOOKUP(
      N$6,
      Actuals!$H$3:$BD$3,
      Actuals!$H:$BD
   )
)</f>
        <v>1</v>
      </c>
      <c r="O14" s="292" cm="1">
        <f t="array" ref="O14">_xlfn.XLOOKUP(
   $B$4&amp;" "&amp;$B14,
   Actuals!$D:$D,
   _xlfn.XLOOKUP(
      O$6,
      Actuals!$H$3:$BD$3,
      Actuals!$H:$BD
   )
)</f>
        <v>0</v>
      </c>
      <c r="P14" s="292" cm="1">
        <f t="array" ref="P14">_xlfn.XLOOKUP(
   $B$4&amp;" "&amp;$B14,
   Actuals!$D:$D,
   _xlfn.XLOOKUP(
      P$6,
      Actuals!$H$3:$BD$3,
      Actuals!$H:$BD
   )
)</f>
        <v>0</v>
      </c>
      <c r="Q14" s="292" cm="1">
        <f t="array" ref="Q14">_xlfn.XLOOKUP(
   $B$4&amp;" "&amp;$B14,
   Actuals!$D:$D,
   _xlfn.XLOOKUP(
      Q$6,
      Actuals!$H$3:$BD$3,
      Actuals!$H:$BD
   )
)</f>
        <v>0</v>
      </c>
      <c r="R14" s="292" cm="1">
        <f t="array" ref="R14">_xlfn.XLOOKUP(
   $B$4&amp;" "&amp;$B14,
   Actuals!$D:$D,
   _xlfn.XLOOKUP(
      R$6,
      Actuals!$H$3:$BD$3,
      Actuals!$H:$BD
   )
)</f>
        <v>0</v>
      </c>
      <c r="S14" s="292" cm="1">
        <f t="array" ref="S14">_xlfn.XLOOKUP(
   $B$4&amp;" "&amp;$B14,
   Actuals!$D:$D,
   _xlfn.XLOOKUP(
      S$6,
      Actuals!$H$3:$BD$3,
      Actuals!$H:$BD
   )
)</f>
        <v>0</v>
      </c>
      <c r="T14" s="292" cm="1">
        <f t="array" ref="T14">_xlfn.XLOOKUP(
   $B$4&amp;" "&amp;$B14,
   Actuals!$D:$D,
   _xlfn.XLOOKUP(
      T$6,
      Actuals!$H$3:$BD$3,
      Actuals!$H:$BD
   )
)</f>
        <v>0</v>
      </c>
      <c r="U14" s="292" cm="1">
        <f t="array" ref="U14">_xlfn.XLOOKUP(
   $B$4&amp;" "&amp;$B14,
   Actuals!$D:$D,
   _xlfn.XLOOKUP(
      U$6,
      Actuals!$H$3:$BD$3,
      Actuals!$H:$BD
   )
)</f>
        <v>0</v>
      </c>
      <c r="V14" s="292" cm="1">
        <f t="array" ref="V14">_xlfn.XLOOKUP(
   $B$4&amp;" "&amp;$B14,
   Actuals!$D:$D,
   _xlfn.XLOOKUP(
      V$6,
      Actuals!$H$3:$BD$3,
      Actuals!$H:$BD
   )
)</f>
        <v>0</v>
      </c>
      <c r="W14" s="292" cm="1">
        <f t="array" ref="W14">_xlfn.XLOOKUP(
   $B$4&amp;" "&amp;$B14,
   Actuals!$D:$D,
   _xlfn.XLOOKUP(
      W$6,
      Actuals!$H$3:$BD$3,
      Actuals!$H:$BD
   )
)</f>
        <v>0</v>
      </c>
      <c r="X14" s="292" cm="1">
        <f t="array" ref="X14">_xlfn.XLOOKUP(
   $B$4&amp;" "&amp;$B14,
   Actuals!$D:$D,
   _xlfn.XLOOKUP(
      X$6,
      Actuals!$H$3:$BD$3,
      Actuals!$H:$BD
   )
)</f>
        <v>0</v>
      </c>
      <c r="Y14" s="292" cm="1">
        <f t="array" ref="Y14">_xlfn.XLOOKUP(
   $B$4&amp;" "&amp;$B14,
   Actuals!$D:$D,
   _xlfn.XLOOKUP(
      Y$6,
      Actuals!$H$3:$BD$3,
      Actuals!$H:$BD
   )
)</f>
        <v>0</v>
      </c>
      <c r="Z14" s="292" cm="1">
        <f t="array" ref="Z14">_xlfn.XLOOKUP(
   $B$4&amp;" "&amp;$B14,
   Actuals!$D:$D,
   _xlfn.XLOOKUP(
      Z$6,
      Actuals!$H$3:$BD$3,
      Actuals!$H:$BD
   )
)</f>
        <v>0</v>
      </c>
      <c r="AA14" s="292" cm="1">
        <f t="array" ref="AA14">_xlfn.XLOOKUP(
   $B$4&amp;" "&amp;$B14,
   Actuals!$D:$D,
   _xlfn.XLOOKUP(
      AA$6,
      Actuals!$H$3:$BD$3,
      Actuals!$H:$BD
   )
)</f>
        <v>0</v>
      </c>
      <c r="AB14" s="292" cm="1">
        <f t="array" ref="AB14">_xlfn.XLOOKUP(
   $B$4&amp;" "&amp;$B14,
   Actuals!$D:$D,
   _xlfn.XLOOKUP(
      AB$6,
      Actuals!$H$3:$BD$3,
      Actuals!$H:$BD
   )
)</f>
        <v>0</v>
      </c>
      <c r="AC14" s="292" cm="1">
        <f t="array" ref="AC14">_xlfn.XLOOKUP(
   $B$4&amp;" "&amp;$B14,
   Actuals!$D:$D,
   _xlfn.XLOOKUP(
      AC$6,
      Actuals!$H$3:$BD$3,
      Actuals!$H:$BD
   )
)</f>
        <v>0</v>
      </c>
      <c r="AD14" s="292" cm="1">
        <f t="array" ref="AD14">_xlfn.XLOOKUP(
   $B$4&amp;" "&amp;$B14,
   Actuals!$D:$D,
   _xlfn.XLOOKUP(
      AD$6,
      Actuals!$H$3:$BD$3,
      Actuals!$H:$BD
   )
)</f>
        <v>0</v>
      </c>
      <c r="AE14" s="292" cm="1">
        <f t="array" ref="AE14">_xlfn.XLOOKUP(
   $B$4&amp;" "&amp;$B14,
   Actuals!$D:$D,
   _xlfn.XLOOKUP(
      AE$6,
      Actuals!$H$3:$BD$3,
      Actuals!$H:$BD
   )
)</f>
        <v>0</v>
      </c>
      <c r="AF14" s="292" cm="1">
        <f t="array" ref="AF14">_xlfn.XLOOKUP(
   $B$4&amp;" "&amp;$B14,
   Actuals!$D:$D,
   _xlfn.XLOOKUP(
      AF$6,
      Actuals!$H$3:$BD$3,
      Actuals!$H:$BD
   )
)</f>
        <v>0</v>
      </c>
      <c r="AG14" s="292" cm="1">
        <f t="array" ref="AG14">_xlfn.XLOOKUP(
   $B$4&amp;" "&amp;$B14,
   Actuals!$D:$D,
   _xlfn.XLOOKUP(
      AG$6,
      Actuals!$H$3:$BD$3,
      Actuals!$H:$BD
   )
)</f>
        <v>0</v>
      </c>
      <c r="AH14" s="292" cm="1">
        <f t="array" ref="AH14">_xlfn.XLOOKUP(
   $B$4&amp;" "&amp;$B14,
   Actuals!$D:$D,
   _xlfn.XLOOKUP(
      AH$6,
      Actuals!$H$3:$BD$3,
      Actuals!$H:$BD
   )
)</f>
        <v>0</v>
      </c>
      <c r="AI14" s="292" cm="1">
        <f t="array" ref="AI14">_xlfn.XLOOKUP(
   $B$4&amp;" "&amp;$B14,
   Actuals!$D:$D,
   _xlfn.XLOOKUP(
      AI$6,
      Actuals!$H$3:$BD$3,
      Actuals!$H:$BD
   )
)</f>
        <v>0</v>
      </c>
      <c r="AJ14" s="292" cm="1">
        <f t="array" ref="AJ14">_xlfn.XLOOKUP(
   $B$4&amp;" "&amp;$B14,
   Actuals!$D:$D,
   _xlfn.XLOOKUP(
      AJ$6,
      Actuals!$H$3:$BD$3,
      Actuals!$H:$BD
   )
)</f>
        <v>0</v>
      </c>
      <c r="AK14" s="292" cm="1">
        <f t="array" ref="AK14">_xlfn.XLOOKUP(
   $B$4&amp;" "&amp;$B14,
   Actuals!$D:$D,
   _xlfn.XLOOKUP(
      AK$6,
      Actuals!$H$3:$BD$3,
      Actuals!$H:$BD
   )
)</f>
        <v>0</v>
      </c>
      <c r="AL14" s="292" cm="1">
        <f t="array" ref="AL14">_xlfn.XLOOKUP(
   $B$4&amp;" "&amp;$B14,
   Actuals!$D:$D,
   _xlfn.XLOOKUP(
      AL$6,
      Actuals!$H$3:$BD$3,
      Actuals!$H:$BD
   )
)</f>
        <v>0</v>
      </c>
      <c r="AM14" s="292" cm="1">
        <f t="array" ref="AM14">_xlfn.XLOOKUP(
   $B$4&amp;" "&amp;$B14,
   Actuals!$D:$D,
   _xlfn.XLOOKUP(
      AM$6,
      Actuals!$H$3:$BD$3,
      Actuals!$H:$BD
   )
)</f>
        <v>0</v>
      </c>
      <c r="AN14" s="292" cm="1">
        <f t="array" ref="AN14">_xlfn.XLOOKUP(
   $B$4&amp;" "&amp;$B14,
   Actuals!$D:$D,
   _xlfn.XLOOKUP(
      AN$6,
      Actuals!$H$3:$BD$3,
      Actuals!$H:$BD
   )
)</f>
        <v>61</v>
      </c>
      <c r="AO14" s="292" cm="1">
        <f t="array" ref="AO14">_xlfn.XLOOKUP(
   $B$4&amp;" "&amp;$B14,
   Actuals!$D:$D,
   _xlfn.XLOOKUP(
      AO$6,
      Actuals!$H$3:$BD$3,
      Actuals!$H:$BD
   )
)</f>
        <v>0</v>
      </c>
      <c r="AP14" s="292" cm="1">
        <f t="array" ref="AP14">_xlfn.XLOOKUP(
   $B$4&amp;" "&amp;$B14,
   Actuals!$D:$D,
   _xlfn.XLOOKUP(
      AP$6,
      Actuals!$H$3:$BD$3,
      Actuals!$H:$BD
   )
)</f>
        <v>0</v>
      </c>
      <c r="AQ14" s="292" cm="1">
        <f t="array" ref="AQ14">_xlfn.XLOOKUP(
   $B$4&amp;" "&amp;$B14,
   Actuals!$D:$D,
   _xlfn.XLOOKUP(
      AQ$6,
      Actuals!$H$3:$BD$3,
      Actuals!$H:$BD
   )
)</f>
        <v>0</v>
      </c>
      <c r="AR14" s="292" cm="1">
        <f t="array" ref="AR14">_xlfn.XLOOKUP(
   $B$4&amp;" "&amp;$B14,
   Actuals!$D:$D,
   _xlfn.XLOOKUP(
      AR$6,
      Actuals!$H$3:$BD$3,
      Actuals!$H:$BD
   )
)</f>
        <v>0</v>
      </c>
      <c r="AS14" s="292" cm="1">
        <f t="array" ref="AS14">_xlfn.XLOOKUP(
   $B$4&amp;" "&amp;$B14,
   Actuals!$D:$D,
   _xlfn.XLOOKUP(
      AS$6,
      Actuals!$H$3:$BD$3,
      Actuals!$H:$BD
   )
)</f>
        <v>0</v>
      </c>
      <c r="AT14" s="292" cm="1">
        <f t="array" ref="AT14">_xlfn.XLOOKUP(
   $B$4&amp;" "&amp;$B14,
   Actuals!$D:$D,
   _xlfn.XLOOKUP(
      AT$6,
      Actuals!$H$3:$BD$3,
      Actuals!$H:$BD
   )
)</f>
        <v>0</v>
      </c>
      <c r="AU14" s="292" cm="1">
        <f t="array" ref="AU14">_xlfn.XLOOKUP(
   $B$4&amp;" "&amp;$B14,
   Actuals!$D:$D,
   _xlfn.XLOOKUP(
      AU$6,
      Actuals!$H$3:$BD$3,
      Actuals!$H:$BD
   )
)</f>
        <v>0</v>
      </c>
      <c r="AV14" s="292" cm="1">
        <f t="array" ref="AV14">_xlfn.XLOOKUP(
   $B$4&amp;" "&amp;$B14,
   Actuals!$D:$D,
   _xlfn.XLOOKUP(
      AV$6,
      Actuals!$H$3:$BD$3,
      Actuals!$H:$BD
   )
)</f>
        <v>0</v>
      </c>
      <c r="AW14" s="292" cm="1">
        <f t="array" ref="AW14">_xlfn.XLOOKUP(
   $B$4&amp;" "&amp;$B14,
   Actuals!$D:$D,
   _xlfn.XLOOKUP(
      AW$6,
      Actuals!$H$3:$BD$3,
      Actuals!$H:$BD
   )
)</f>
        <v>0</v>
      </c>
      <c r="AX14" s="292" cm="1">
        <f t="array" ref="AX14">_xlfn.XLOOKUP(
   $B$4&amp;" "&amp;$B14,
   Actuals!$D:$D,
   _xlfn.XLOOKUP(
      AX$6,
      Actuals!$H$3:$BD$3,
      Actuals!$H:$BD
   )
)</f>
        <v>0</v>
      </c>
      <c r="AY14" s="292" cm="1">
        <f t="array" ref="AY14">_xlfn.XLOOKUP(
   $B$4&amp;" "&amp;$B14,
   Actuals!$D:$D,
   _xlfn.XLOOKUP(
      AY$6,
      Actuals!$H$3:$BD$3,
      Actuals!$H:$BD
   )
)</f>
        <v>0</v>
      </c>
      <c r="AZ14" s="292" cm="1">
        <f t="array" ref="AZ14">_xlfn.XLOOKUP(
   $B$4&amp;" "&amp;$B14,
   Actuals!$D:$D,
   _xlfn.XLOOKUP(
      AZ$6,
      Actuals!$H$3:$BD$3,
      Actuals!$H:$BD
   )
)</f>
        <v>0</v>
      </c>
      <c r="BA14" s="292"/>
      <c r="BB14" s="292" cm="1">
        <f t="array" ref="BB14">_xlfn.XLOOKUP(
   $B$4&amp;" "&amp;$B14,
   Actuals!$D:$D,
   _xlfn.XLOOKUP(
      BB$7,
      Actuals!$H$3:$BM$3,
      Actuals!$H:$BM
   )
)</f>
        <v>0</v>
      </c>
      <c r="BC14" s="292">
        <f>VLOOKUP($B$4&amp;" "&amp;$B14,Budget!$AG$4:$AL$132,$BB$5+1,FALSE)</f>
        <v>0</v>
      </c>
      <c r="BD14" s="292">
        <f t="shared" si="32"/>
        <v>0</v>
      </c>
      <c r="BE14" s="292"/>
      <c r="BF14" s="292" cm="1">
        <f t="array" ref="BF14">_xlfn.XLOOKUP(
   $B$4&amp;" "&amp;$B14,
   Actuals!$D:$D,
   _xlfn.XLOOKUP(
      BF$7,
      Actuals!$H$3:$BM$3,
      Actuals!$H:$BM
   )
)</f>
        <v>0</v>
      </c>
      <c r="BG14" s="292">
        <f>VLOOKUP($B$4&amp;" "&amp;$B14,Budget!$AG$4:$AL$132,BF$5+1,FALSE)</f>
        <v>0</v>
      </c>
      <c r="BH14" s="292">
        <f t="shared" si="33"/>
        <v>0</v>
      </c>
      <c r="BI14" s="292"/>
      <c r="BJ14" s="292" cm="1">
        <f t="array" ref="BJ14">_xlfn.XLOOKUP(
   $B$4&amp;" "&amp;$B14,
   Actuals!$D:$D,
   _xlfn.XLOOKUP(
      BJ$7,
      Actuals!$H$3:$BM$3,
      Actuals!$H:$BM
   )
)</f>
        <v>0</v>
      </c>
      <c r="BK14" s="292">
        <f>VLOOKUP($B$4&amp;" "&amp;$B14,Budget!$AG$4:$AL$132,BJ$5+1,FALSE)</f>
        <v>0</v>
      </c>
      <c r="BL14" s="292">
        <f t="shared" si="34"/>
        <v>0</v>
      </c>
      <c r="BM14" s="292"/>
      <c r="BN14" s="292" cm="1">
        <f t="array" ref="BN14">_xlfn.XLOOKUP(
   $B$4&amp;" "&amp;$B14,
   Actuals!$D:$D,
   _xlfn.XLOOKUP(
      BN$7,
      Actuals!$H$3:$BM$3,
      Actuals!$H:$BM
   )
)</f>
        <v>0</v>
      </c>
      <c r="BO14" s="292">
        <f>VLOOKUP($B$4&amp;" "&amp;$B14,Budget!$AG$4:$AL$132,BN$5+1,FALSE)</f>
        <v>0</v>
      </c>
      <c r="BP14" s="292"/>
      <c r="BQ14" s="292"/>
      <c r="BR14" s="292" cm="1">
        <f t="array" aca="1" ref="BR14" ca="1">_xlfn.XLOOKUP(
   $B$4&amp;" "&amp;$B14,
   Actuals!$D:$D,
   _xlfn.XLOOKUP(
      BR$6,
      Actuals!$H$3:$BM$3,
      Actuals!$H:$BM
   )
)</f>
        <v>0</v>
      </c>
      <c r="BS14" s="292">
        <f ca="1">VLOOKUP($B$4&amp;" "&amp;$B14,Budget!$AG$4:$AL$132,6,FALSE)</f>
        <v>0</v>
      </c>
      <c r="BT14" s="292">
        <f t="shared" ca="1" si="35"/>
        <v>0</v>
      </c>
      <c r="BU14" s="292"/>
      <c r="BV14" s="292" cm="1">
        <f t="array" ref="BV14">_xlfn.XLOOKUP(
   $B$4&amp;" "&amp;$B14,
   Actuals!$D:$D,
   _xlfn.XLOOKUP(
      BV$6,
      Actuals!$H$3:$BM$3,
      Actuals!$H:$BM
   )
)</f>
        <v>61</v>
      </c>
    </row>
    <row r="15" spans="2:74">
      <c r="B15" s="29" t="s">
        <v>72</v>
      </c>
      <c r="C15" s="142" t="s">
        <v>49</v>
      </c>
      <c r="D15" s="172" t="str">
        <f>VLOOKUP($B$4&amp;" "&amp;$B15,Actuals!$D$4:$AG$131,3,FALSE)</f>
        <v>#</v>
      </c>
      <c r="E15" s="182" cm="1">
        <f t="array" ref="E15">_xlfn.XLOOKUP(
   $B$4&amp;" "&amp;$B15,
   Actuals!$D:$D,
   _xlfn.XLOOKUP(
      E$6,
      Actuals!$H$3:$BD$3,
      Actuals!$H:$BD
   )
)</f>
        <v>10</v>
      </c>
      <c r="F15" s="182" cm="1">
        <f t="array" ref="F15">_xlfn.XLOOKUP(
   $B$4&amp;" "&amp;$B15,
   Actuals!$D:$D,
   _xlfn.XLOOKUP(
      F$6,
      Actuals!$H$3:$BD$3,
      Actuals!$H:$BD
   )
)</f>
        <v>2</v>
      </c>
      <c r="G15" s="182" cm="1">
        <f t="array" ref="G15">_xlfn.XLOOKUP(
   $B$4&amp;" "&amp;$B15,
   Actuals!$D:$D,
   _xlfn.XLOOKUP(
      G$6,
      Actuals!$H$3:$BD$3,
      Actuals!$H:$BD
   )
)</f>
        <v>6</v>
      </c>
      <c r="H15" s="182" cm="1">
        <f t="array" ref="H15">_xlfn.XLOOKUP(
   $B$4&amp;" "&amp;$B15,
   Actuals!$D:$D,
   _xlfn.XLOOKUP(
      H$6,
      Actuals!$H$3:$BD$3,
      Actuals!$H:$BD
   )
)</f>
        <v>7</v>
      </c>
      <c r="I15" s="182" cm="1">
        <f t="array" ref="I15">_xlfn.XLOOKUP(
   $B$4&amp;" "&amp;$B15,
   Actuals!$D:$D,
   _xlfn.XLOOKUP(
      I$6,
      Actuals!$H$3:$BD$3,
      Actuals!$H:$BD
   )
)</f>
        <v>18</v>
      </c>
      <c r="J15" s="182" cm="1">
        <f t="array" ref="J15">_xlfn.XLOOKUP(
   $B$4&amp;" "&amp;$B15,
   Actuals!$D:$D,
   _xlfn.XLOOKUP(
      J$6,
      Actuals!$H$3:$BD$3,
      Actuals!$H:$BD
   )
)</f>
        <v>11</v>
      </c>
      <c r="K15" s="182" cm="1">
        <f t="array" ref="K15">_xlfn.XLOOKUP(
   $B$4&amp;" "&amp;$B15,
   Actuals!$D:$D,
   _xlfn.XLOOKUP(
      K$6,
      Actuals!$H$3:$BD$3,
      Actuals!$H:$BD
   )
)</f>
        <v>12</v>
      </c>
      <c r="L15" s="182" cm="1">
        <f t="array" ref="L15">_xlfn.XLOOKUP(
   $B$4&amp;" "&amp;$B15,
   Actuals!$D:$D,
   _xlfn.XLOOKUP(
      L$6,
      Actuals!$H$3:$BD$3,
      Actuals!$H:$BD
   )
)</f>
        <v>8</v>
      </c>
      <c r="M15" s="182" cm="1">
        <f t="array" ref="M15">_xlfn.XLOOKUP(
   $B$4&amp;" "&amp;$B15,
   Actuals!$D:$D,
   _xlfn.XLOOKUP(
      M$6,
      Actuals!$H$3:$BD$3,
      Actuals!$H:$BD
   )
)</f>
        <v>4</v>
      </c>
      <c r="N15" s="182" cm="1">
        <f t="array" ref="N15">_xlfn.XLOOKUP(
   $B$4&amp;" "&amp;$B15,
   Actuals!$D:$D,
   _xlfn.XLOOKUP(
      N$6,
      Actuals!$H$3:$BD$3,
      Actuals!$H:$BD
   )
)</f>
        <v>4</v>
      </c>
      <c r="O15" s="293" cm="1">
        <f t="array" ref="O15">_xlfn.XLOOKUP(
   $B$4&amp;" "&amp;$B15,
   Actuals!$D:$D,
   _xlfn.XLOOKUP(
      O$6,
      Actuals!$H$3:$BD$3,
      Actuals!$H:$BD
   )
)</f>
        <v>0</v>
      </c>
      <c r="P15" s="293" cm="1">
        <f t="array" ref="P15">_xlfn.XLOOKUP(
   $B$4&amp;" "&amp;$B15,
   Actuals!$D:$D,
   _xlfn.XLOOKUP(
      P$6,
      Actuals!$H$3:$BD$3,
      Actuals!$H:$BD
   )
)</f>
        <v>0</v>
      </c>
      <c r="Q15" s="293" cm="1">
        <f t="array" ref="Q15">_xlfn.XLOOKUP(
   $B$4&amp;" "&amp;$B15,
   Actuals!$D:$D,
   _xlfn.XLOOKUP(
      Q$6,
      Actuals!$H$3:$BD$3,
      Actuals!$H:$BD
   )
)</f>
        <v>0</v>
      </c>
      <c r="R15" s="293" cm="1">
        <f t="array" ref="R15">_xlfn.XLOOKUP(
   $B$4&amp;" "&amp;$B15,
   Actuals!$D:$D,
   _xlfn.XLOOKUP(
      R$6,
      Actuals!$H$3:$BD$3,
      Actuals!$H:$BD
   )
)</f>
        <v>0</v>
      </c>
      <c r="S15" s="293" cm="1">
        <f t="array" ref="S15">_xlfn.XLOOKUP(
   $B$4&amp;" "&amp;$B15,
   Actuals!$D:$D,
   _xlfn.XLOOKUP(
      S$6,
      Actuals!$H$3:$BD$3,
      Actuals!$H:$BD
   )
)</f>
        <v>0</v>
      </c>
      <c r="T15" s="293" cm="1">
        <f t="array" ref="T15">_xlfn.XLOOKUP(
   $B$4&amp;" "&amp;$B15,
   Actuals!$D:$D,
   _xlfn.XLOOKUP(
      T$6,
      Actuals!$H$3:$BD$3,
      Actuals!$H:$BD
   )
)</f>
        <v>0</v>
      </c>
      <c r="U15" s="293" cm="1">
        <f t="array" ref="U15">_xlfn.XLOOKUP(
   $B$4&amp;" "&amp;$B15,
   Actuals!$D:$D,
   _xlfn.XLOOKUP(
      U$6,
      Actuals!$H$3:$BD$3,
      Actuals!$H:$BD
   )
)</f>
        <v>0</v>
      </c>
      <c r="V15" s="293" cm="1">
        <f t="array" ref="V15">_xlfn.XLOOKUP(
   $B$4&amp;" "&amp;$B15,
   Actuals!$D:$D,
   _xlfn.XLOOKUP(
      V$6,
      Actuals!$H$3:$BD$3,
      Actuals!$H:$BD
   )
)</f>
        <v>0</v>
      </c>
      <c r="W15" s="293" cm="1">
        <f t="array" ref="W15">_xlfn.XLOOKUP(
   $B$4&amp;" "&amp;$B15,
   Actuals!$D:$D,
   _xlfn.XLOOKUP(
      W$6,
      Actuals!$H$3:$BD$3,
      Actuals!$H:$BD
   )
)</f>
        <v>0</v>
      </c>
      <c r="X15" s="293" cm="1">
        <f t="array" ref="X15">_xlfn.XLOOKUP(
   $B$4&amp;" "&amp;$B15,
   Actuals!$D:$D,
   _xlfn.XLOOKUP(
      X$6,
      Actuals!$H$3:$BD$3,
      Actuals!$H:$BD
   )
)</f>
        <v>0</v>
      </c>
      <c r="Y15" s="293" cm="1">
        <f t="array" ref="Y15">_xlfn.XLOOKUP(
   $B$4&amp;" "&amp;$B15,
   Actuals!$D:$D,
   _xlfn.XLOOKUP(
      Y$6,
      Actuals!$H$3:$BD$3,
      Actuals!$H:$BD
   )
)</f>
        <v>0</v>
      </c>
      <c r="Z15" s="293" cm="1">
        <f t="array" ref="Z15">_xlfn.XLOOKUP(
   $B$4&amp;" "&amp;$B15,
   Actuals!$D:$D,
   _xlfn.XLOOKUP(
      Z$6,
      Actuals!$H$3:$BD$3,
      Actuals!$H:$BD
   )
)</f>
        <v>0</v>
      </c>
      <c r="AA15" s="293" cm="1">
        <f t="array" ref="AA15">_xlfn.XLOOKUP(
   $B$4&amp;" "&amp;$B15,
   Actuals!$D:$D,
   _xlfn.XLOOKUP(
      AA$6,
      Actuals!$H$3:$BD$3,
      Actuals!$H:$BD
   )
)</f>
        <v>0</v>
      </c>
      <c r="AB15" s="293" cm="1">
        <f t="array" ref="AB15">_xlfn.XLOOKUP(
   $B$4&amp;" "&amp;$B15,
   Actuals!$D:$D,
   _xlfn.XLOOKUP(
      AB$6,
      Actuals!$H$3:$BD$3,
      Actuals!$H:$BD
   )
)</f>
        <v>0</v>
      </c>
      <c r="AC15" s="293" cm="1">
        <f t="array" ref="AC15">_xlfn.XLOOKUP(
   $B$4&amp;" "&amp;$B15,
   Actuals!$D:$D,
   _xlfn.XLOOKUP(
      AC$6,
      Actuals!$H$3:$BD$3,
      Actuals!$H:$BD
   )
)</f>
        <v>0</v>
      </c>
      <c r="AD15" s="293" cm="1">
        <f t="array" ref="AD15">_xlfn.XLOOKUP(
   $B$4&amp;" "&amp;$B15,
   Actuals!$D:$D,
   _xlfn.XLOOKUP(
      AD$6,
      Actuals!$H$3:$BD$3,
      Actuals!$H:$BD
   )
)</f>
        <v>2</v>
      </c>
      <c r="AE15" s="293" cm="1">
        <f t="array" ref="AE15">_xlfn.XLOOKUP(
   $B$4&amp;" "&amp;$B15,
   Actuals!$D:$D,
   _xlfn.XLOOKUP(
      AE$6,
      Actuals!$H$3:$BD$3,
      Actuals!$H:$BD
   )
)</f>
        <v>2</v>
      </c>
      <c r="AF15" s="293" cm="1">
        <f t="array" ref="AF15">_xlfn.XLOOKUP(
   $B$4&amp;" "&amp;$B15,
   Actuals!$D:$D,
   _xlfn.XLOOKUP(
      AF$6,
      Actuals!$H$3:$BD$3,
      Actuals!$H:$BD
   )
)</f>
        <v>2</v>
      </c>
      <c r="AG15" s="293" cm="1">
        <f t="array" ref="AG15">_xlfn.XLOOKUP(
   $B$4&amp;" "&amp;$B15,
   Actuals!$D:$D,
   _xlfn.XLOOKUP(
      AG$6,
      Actuals!$H$3:$BD$3,
      Actuals!$H:$BD
   )
)</f>
        <v>3</v>
      </c>
      <c r="AH15" s="293" cm="1">
        <f t="array" ref="AH15">_xlfn.XLOOKUP(
   $B$4&amp;" "&amp;$B15,
   Actuals!$D:$D,
   _xlfn.XLOOKUP(
      AH$6,
      Actuals!$H$3:$BD$3,
      Actuals!$H:$BD
   )
)</f>
        <v>13</v>
      </c>
      <c r="AI15" s="293" cm="1">
        <f t="array" ref="AI15">_xlfn.XLOOKUP(
   $B$4&amp;" "&amp;$B15,
   Actuals!$D:$D,
   _xlfn.XLOOKUP(
      AI$6,
      Actuals!$H$3:$BD$3,
      Actuals!$H:$BD
   )
)</f>
        <v>4</v>
      </c>
      <c r="AJ15" s="293" cm="1">
        <f t="array" ref="AJ15">_xlfn.XLOOKUP(
   $B$4&amp;" "&amp;$B15,
   Actuals!$D:$D,
   _xlfn.XLOOKUP(
      AJ$6,
      Actuals!$H$3:$BD$3,
      Actuals!$H:$BD
   )
)</f>
        <v>3</v>
      </c>
      <c r="AK15" s="293" cm="1">
        <f t="array" ref="AK15">_xlfn.XLOOKUP(
   $B$4&amp;" "&amp;$B15,
   Actuals!$D:$D,
   _xlfn.XLOOKUP(
      AK$6,
      Actuals!$H$3:$BD$3,
      Actuals!$H:$BD
   )
)</f>
        <v>1</v>
      </c>
      <c r="AL15" s="293" cm="1">
        <f t="array" ref="AL15">_xlfn.XLOOKUP(
   $B$4&amp;" "&amp;$B15,
   Actuals!$D:$D,
   _xlfn.XLOOKUP(
      AL$6,
      Actuals!$H$3:$BD$3,
      Actuals!$H:$BD
   )
)</f>
        <v>4</v>
      </c>
      <c r="AM15" s="293" cm="1">
        <f t="array" ref="AM15">_xlfn.XLOOKUP(
   $B$4&amp;" "&amp;$B15,
   Actuals!$D:$D,
   _xlfn.XLOOKUP(
      AM$6,
      Actuals!$H$3:$BD$3,
      Actuals!$H:$BD
   )
)</f>
        <v>8</v>
      </c>
      <c r="AN15" s="293" cm="1">
        <f t="array" ref="AN15">_xlfn.XLOOKUP(
   $B$4&amp;" "&amp;$B15,
   Actuals!$D:$D,
   _xlfn.XLOOKUP(
      AN$6,
      Actuals!$H$3:$BD$3,
      Actuals!$H:$BD
   )
)</f>
        <v>131</v>
      </c>
      <c r="AO15" s="293" cm="1">
        <f t="array" ref="AO15">_xlfn.XLOOKUP(
   $B$4&amp;" "&amp;$B15,
   Actuals!$D:$D,
   _xlfn.XLOOKUP(
      AO$6,
      Actuals!$H$3:$BD$3,
      Actuals!$H:$BD
   )
)</f>
        <v>0</v>
      </c>
      <c r="AP15" s="293" cm="1">
        <f t="array" ref="AP15">_xlfn.XLOOKUP(
   $B$4&amp;" "&amp;$B15,
   Actuals!$D:$D,
   _xlfn.XLOOKUP(
      AP$6,
      Actuals!$H$3:$BD$3,
      Actuals!$H:$BD
   )
)</f>
        <v>0</v>
      </c>
      <c r="AQ15" s="293" cm="1">
        <f t="array" ref="AQ15">_xlfn.XLOOKUP(
   $B$4&amp;" "&amp;$B15,
   Actuals!$D:$D,
   _xlfn.XLOOKUP(
      AQ$6,
      Actuals!$H$3:$BD$3,
      Actuals!$H:$BD
   )
)</f>
        <v>0</v>
      </c>
      <c r="AR15" s="293" cm="1">
        <f t="array" ref="AR15">_xlfn.XLOOKUP(
   $B$4&amp;" "&amp;$B15,
   Actuals!$D:$D,
   _xlfn.XLOOKUP(
      AR$6,
      Actuals!$H$3:$BD$3,
      Actuals!$H:$BD
   )
)</f>
        <v>0</v>
      </c>
      <c r="AS15" s="293" cm="1">
        <f t="array" ref="AS15">_xlfn.XLOOKUP(
   $B$4&amp;" "&amp;$B15,
   Actuals!$D:$D,
   _xlfn.XLOOKUP(
      AS$6,
      Actuals!$H$3:$BD$3,
      Actuals!$H:$BD
   )
)</f>
        <v>0</v>
      </c>
      <c r="AT15" s="293" cm="1">
        <f t="array" ref="AT15">_xlfn.XLOOKUP(
   $B$4&amp;" "&amp;$B15,
   Actuals!$D:$D,
   _xlfn.XLOOKUP(
      AT$6,
      Actuals!$H$3:$BD$3,
      Actuals!$H:$BD
   )
)</f>
        <v>0</v>
      </c>
      <c r="AU15" s="293" cm="1">
        <f t="array" ref="AU15">_xlfn.XLOOKUP(
   $B$4&amp;" "&amp;$B15,
   Actuals!$D:$D,
   _xlfn.XLOOKUP(
      AU$6,
      Actuals!$H$3:$BD$3,
      Actuals!$H:$BD
   )
)</f>
        <v>0</v>
      </c>
      <c r="AV15" s="293" cm="1">
        <f t="array" ref="AV15">_xlfn.XLOOKUP(
   $B$4&amp;" "&amp;$B15,
   Actuals!$D:$D,
   _xlfn.XLOOKUP(
      AV$6,
      Actuals!$H$3:$BD$3,
      Actuals!$H:$BD
   )
)</f>
        <v>0</v>
      </c>
      <c r="AW15" s="293" cm="1">
        <f t="array" ref="AW15">_xlfn.XLOOKUP(
   $B$4&amp;" "&amp;$B15,
   Actuals!$D:$D,
   _xlfn.XLOOKUP(
      AW$6,
      Actuals!$H$3:$BD$3,
      Actuals!$H:$BD
   )
)</f>
        <v>0</v>
      </c>
      <c r="AX15" s="293" cm="1">
        <f t="array" ref="AX15">_xlfn.XLOOKUP(
   $B$4&amp;" "&amp;$B15,
   Actuals!$D:$D,
   _xlfn.XLOOKUP(
      AX$6,
      Actuals!$H$3:$BD$3,
      Actuals!$H:$BD
   )
)</f>
        <v>0</v>
      </c>
      <c r="AY15" s="293" cm="1">
        <f t="array" ref="AY15">_xlfn.XLOOKUP(
   $B$4&amp;" "&amp;$B15,
   Actuals!$D:$D,
   _xlfn.XLOOKUP(
      AY$6,
      Actuals!$H$3:$BD$3,
      Actuals!$H:$BD
   )
)</f>
        <v>0</v>
      </c>
      <c r="AZ15" s="293" cm="1">
        <f t="array" ref="AZ15">_xlfn.XLOOKUP(
   $B$4&amp;" "&amp;$B15,
   Actuals!$D:$D,
   _xlfn.XLOOKUP(
      AZ$6,
      Actuals!$H$3:$BD$3,
      Actuals!$H:$BD
   )
)</f>
        <v>0</v>
      </c>
      <c r="BA15" s="293"/>
      <c r="BB15" s="293" cm="1">
        <f t="array" ref="BB15">_xlfn.XLOOKUP(
   $B$4&amp;" "&amp;$B15,
   Actuals!$D:$D,
   _xlfn.XLOOKUP(
      BB$7,
      Actuals!$H$3:$BM$3,
      Actuals!$H:$BM
   )
)</f>
        <v>0</v>
      </c>
      <c r="BC15" s="293">
        <f>VLOOKUP($B$4&amp;" "&amp;$B15,Budget!$AG$4:$AL$132,$BB$5+1,FALSE)</f>
        <v>60</v>
      </c>
      <c r="BD15" s="293">
        <f t="shared" si="32"/>
        <v>-60</v>
      </c>
      <c r="BE15" s="293"/>
      <c r="BF15" s="293" cm="1">
        <f t="array" ref="BF15">_xlfn.XLOOKUP(
   $B$4&amp;" "&amp;$B15,
   Actuals!$D:$D,
   _xlfn.XLOOKUP(
      BF$7,
      Actuals!$H$3:$BM$3,
      Actuals!$H:$BM
   )
)</f>
        <v>0</v>
      </c>
      <c r="BG15" s="293">
        <f>VLOOKUP($B$4&amp;" "&amp;$B15,Budget!$AG$4:$AL$132,BF$5+1,FALSE)</f>
        <v>60</v>
      </c>
      <c r="BH15" s="293">
        <f t="shared" si="33"/>
        <v>-60</v>
      </c>
      <c r="BI15" s="293"/>
      <c r="BJ15" s="293" cm="1">
        <f t="array" ref="BJ15">_xlfn.XLOOKUP(
   $B$4&amp;" "&amp;$B15,
   Actuals!$D:$D,
   _xlfn.XLOOKUP(
      BJ$7,
      Actuals!$H$3:$BM$3,
      Actuals!$H:$BM
   )
)</f>
        <v>0</v>
      </c>
      <c r="BK15" s="293">
        <f>VLOOKUP($B$4&amp;" "&amp;$B15,Budget!$AG$4:$AL$132,BJ$5+1,FALSE)</f>
        <v>60</v>
      </c>
      <c r="BL15" s="293">
        <f t="shared" si="34"/>
        <v>-60</v>
      </c>
      <c r="BM15" s="293"/>
      <c r="BN15" s="293" cm="1">
        <f t="array" ref="BN15">_xlfn.XLOOKUP(
   $B$4&amp;" "&amp;$B15,
   Actuals!$D:$D,
   _xlfn.XLOOKUP(
      BN$7,
      Actuals!$H$3:$BM$3,
      Actuals!$H:$BM
   )
)</f>
        <v>0</v>
      </c>
      <c r="BO15" s="293">
        <f>VLOOKUP($B$4&amp;" "&amp;$B15,Budget!$AG$4:$AL$132,BN$5+1,FALSE)</f>
        <v>60</v>
      </c>
      <c r="BP15" s="293"/>
      <c r="BQ15" s="293"/>
      <c r="BR15" s="293" cm="1">
        <f t="array" aca="1" ref="BR15" ca="1">_xlfn.XLOOKUP(
   $B$4&amp;" "&amp;$B15,
   Actuals!$D:$D,
   _xlfn.XLOOKUP(
      BR$6,
      Actuals!$H$3:$BM$3,
      Actuals!$H:$BM
   )
)</f>
        <v>0</v>
      </c>
      <c r="BS15" s="293">
        <f ca="1">VLOOKUP($B$4&amp;" "&amp;$B15,Budget!$AG$4:$AL$132,6,FALSE)</f>
        <v>240</v>
      </c>
      <c r="BT15" s="293">
        <f t="shared" ca="1" si="35"/>
        <v>-240</v>
      </c>
      <c r="BU15" s="293"/>
      <c r="BV15" s="293" cm="1">
        <f t="array" ref="BV15">_xlfn.XLOOKUP(
   $B$4&amp;" "&amp;$B15,
   Actuals!$D:$D,
   _xlfn.XLOOKUP(
      BV$6,
      Actuals!$H$3:$BM$3,
      Actuals!$H:$BM
   )
)</f>
        <v>173</v>
      </c>
    </row>
    <row r="16" spans="2:74">
      <c r="B16" s="26" t="s">
        <v>73</v>
      </c>
      <c r="C16" s="139" t="s">
        <v>49</v>
      </c>
      <c r="D16" s="171" t="str">
        <f>VLOOKUP($B$4&amp;" "&amp;$B16,Actuals!$D$4:$AG$131,3,FALSE)</f>
        <v>#</v>
      </c>
      <c r="E16" s="168" cm="1">
        <f t="array" ref="E16">_xlfn.XLOOKUP(
   $B$4&amp;" "&amp;$B16,
   Actuals!$D:$D,
   _xlfn.XLOOKUP(
      E$6,
      Actuals!$H$3:$BD$3,
      Actuals!$H:$BD
   )
)</f>
        <v>1</v>
      </c>
      <c r="F16" s="168" cm="1">
        <f t="array" ref="F16">_xlfn.XLOOKUP(
   $B$4&amp;" "&amp;$B16,
   Actuals!$D:$D,
   _xlfn.XLOOKUP(
      F$6,
      Actuals!$H$3:$BD$3,
      Actuals!$H:$BD
   )
)</f>
        <v>0</v>
      </c>
      <c r="G16" s="168" cm="1">
        <f t="array" ref="G16">_xlfn.XLOOKUP(
   $B$4&amp;" "&amp;$B16,
   Actuals!$D:$D,
   _xlfn.XLOOKUP(
      G$6,
      Actuals!$H$3:$BD$3,
      Actuals!$H:$BD
   )
)</f>
        <v>1</v>
      </c>
      <c r="H16" s="168" cm="1">
        <f t="array" ref="H16">_xlfn.XLOOKUP(
   $B$4&amp;" "&amp;$B16,
   Actuals!$D:$D,
   _xlfn.XLOOKUP(
      H$6,
      Actuals!$H$3:$BD$3,
      Actuals!$H:$BD
   )
)</f>
        <v>0</v>
      </c>
      <c r="I16" s="168" cm="1">
        <f t="array" ref="I16">_xlfn.XLOOKUP(
   $B$4&amp;" "&amp;$B16,
   Actuals!$D:$D,
   _xlfn.XLOOKUP(
      I$6,
      Actuals!$H$3:$BD$3,
      Actuals!$H:$BD
   )
)</f>
        <v>0</v>
      </c>
      <c r="J16" s="168" cm="1">
        <f t="array" ref="J16">_xlfn.XLOOKUP(
   $B$4&amp;" "&amp;$B16,
   Actuals!$D:$D,
   _xlfn.XLOOKUP(
      J$6,
      Actuals!$H$3:$BD$3,
      Actuals!$H:$BD
   )
)</f>
        <v>1</v>
      </c>
      <c r="K16" s="168" cm="1">
        <f t="array" ref="K16">_xlfn.XLOOKUP(
   $B$4&amp;" "&amp;$B16,
   Actuals!$D:$D,
   _xlfn.XLOOKUP(
      K$6,
      Actuals!$H$3:$BD$3,
      Actuals!$H:$BD
   )
)</f>
        <v>0</v>
      </c>
      <c r="L16" s="168" cm="1">
        <f t="array" ref="L16">_xlfn.XLOOKUP(
   $B$4&amp;" "&amp;$B16,
   Actuals!$D:$D,
   _xlfn.XLOOKUP(
      L$6,
      Actuals!$H$3:$BD$3,
      Actuals!$H:$BD
   )
)</f>
        <v>2</v>
      </c>
      <c r="M16" s="168" cm="1">
        <f t="array" ref="M16">_xlfn.XLOOKUP(
   $B$4&amp;" "&amp;$B16,
   Actuals!$D:$D,
   _xlfn.XLOOKUP(
      M$6,
      Actuals!$H$3:$BD$3,
      Actuals!$H:$BD
   )
)</f>
        <v>0</v>
      </c>
      <c r="N16" s="168" cm="1">
        <f t="array" ref="N16">_xlfn.XLOOKUP(
   $B$4&amp;" "&amp;$B16,
   Actuals!$D:$D,
   _xlfn.XLOOKUP(
      N$6,
      Actuals!$H$3:$BD$3,
      Actuals!$H:$BD
   )
)</f>
        <v>0</v>
      </c>
      <c r="O16" s="292" cm="1">
        <f t="array" ref="O16">_xlfn.XLOOKUP(
   $B$4&amp;" "&amp;$B16,
   Actuals!$D:$D,
   _xlfn.XLOOKUP(
      O$6,
      Actuals!$H$3:$BD$3,
      Actuals!$H:$BD
   )
)</f>
        <v>0</v>
      </c>
      <c r="P16" s="292" cm="1">
        <f t="array" ref="P16">_xlfn.XLOOKUP(
   $B$4&amp;" "&amp;$B16,
   Actuals!$D:$D,
   _xlfn.XLOOKUP(
      P$6,
      Actuals!$H$3:$BD$3,
      Actuals!$H:$BD
   )
)</f>
        <v>0</v>
      </c>
      <c r="Q16" s="292" cm="1">
        <f t="array" ref="Q16">_xlfn.XLOOKUP(
   $B$4&amp;" "&amp;$B16,
   Actuals!$D:$D,
   _xlfn.XLOOKUP(
      Q$6,
      Actuals!$H$3:$BD$3,
      Actuals!$H:$BD
   )
)</f>
        <v>0</v>
      </c>
      <c r="R16" s="292" cm="1">
        <f t="array" ref="R16">_xlfn.XLOOKUP(
   $B$4&amp;" "&amp;$B16,
   Actuals!$D:$D,
   _xlfn.XLOOKUP(
      R$6,
      Actuals!$H$3:$BD$3,
      Actuals!$H:$BD
   )
)</f>
        <v>0</v>
      </c>
      <c r="S16" s="292" cm="1">
        <f t="array" ref="S16">_xlfn.XLOOKUP(
   $B$4&amp;" "&amp;$B16,
   Actuals!$D:$D,
   _xlfn.XLOOKUP(
      S$6,
      Actuals!$H$3:$BD$3,
      Actuals!$H:$BD
   )
)</f>
        <v>0</v>
      </c>
      <c r="T16" s="292" cm="1">
        <f t="array" ref="T16">_xlfn.XLOOKUP(
   $B$4&amp;" "&amp;$B16,
   Actuals!$D:$D,
   _xlfn.XLOOKUP(
      T$6,
      Actuals!$H$3:$BD$3,
      Actuals!$H:$BD
   )
)</f>
        <v>0</v>
      </c>
      <c r="U16" s="292" cm="1">
        <f t="array" ref="U16">_xlfn.XLOOKUP(
   $B$4&amp;" "&amp;$B16,
   Actuals!$D:$D,
   _xlfn.XLOOKUP(
      U$6,
      Actuals!$H$3:$BD$3,
      Actuals!$H:$BD
   )
)</f>
        <v>0</v>
      </c>
      <c r="V16" s="292" cm="1">
        <f t="array" ref="V16">_xlfn.XLOOKUP(
   $B$4&amp;" "&amp;$B16,
   Actuals!$D:$D,
   _xlfn.XLOOKUP(
      V$6,
      Actuals!$H$3:$BD$3,
      Actuals!$H:$BD
   )
)</f>
        <v>0</v>
      </c>
      <c r="W16" s="292" cm="1">
        <f t="array" ref="W16">_xlfn.XLOOKUP(
   $B$4&amp;" "&amp;$B16,
   Actuals!$D:$D,
   _xlfn.XLOOKUP(
      W$6,
      Actuals!$H$3:$BD$3,
      Actuals!$H:$BD
   )
)</f>
        <v>0</v>
      </c>
      <c r="X16" s="292" cm="1">
        <f t="array" ref="X16">_xlfn.XLOOKUP(
   $B$4&amp;" "&amp;$B16,
   Actuals!$D:$D,
   _xlfn.XLOOKUP(
      X$6,
      Actuals!$H$3:$BD$3,
      Actuals!$H:$BD
   )
)</f>
        <v>0</v>
      </c>
      <c r="Y16" s="292" cm="1">
        <f t="array" ref="Y16">_xlfn.XLOOKUP(
   $B$4&amp;" "&amp;$B16,
   Actuals!$D:$D,
   _xlfn.XLOOKUP(
      Y$6,
      Actuals!$H$3:$BD$3,
      Actuals!$H:$BD
   )
)</f>
        <v>0</v>
      </c>
      <c r="Z16" s="292" cm="1">
        <f t="array" ref="Z16">_xlfn.XLOOKUP(
   $B$4&amp;" "&amp;$B16,
   Actuals!$D:$D,
   _xlfn.XLOOKUP(
      Z$6,
      Actuals!$H$3:$BD$3,
      Actuals!$H:$BD
   )
)</f>
        <v>0</v>
      </c>
      <c r="AA16" s="292" cm="1">
        <f t="array" ref="AA16">_xlfn.XLOOKUP(
   $B$4&amp;" "&amp;$B16,
   Actuals!$D:$D,
   _xlfn.XLOOKUP(
      AA$6,
      Actuals!$H$3:$BD$3,
      Actuals!$H:$BD
   )
)</f>
        <v>0</v>
      </c>
      <c r="AB16" s="292" cm="1">
        <f t="array" ref="AB16">_xlfn.XLOOKUP(
   $B$4&amp;" "&amp;$B16,
   Actuals!$D:$D,
   _xlfn.XLOOKUP(
      AB$6,
      Actuals!$H$3:$BD$3,
      Actuals!$H:$BD
   )
)</f>
        <v>0</v>
      </c>
      <c r="AC16" s="292" cm="1">
        <f t="array" ref="AC16">_xlfn.XLOOKUP(
   $B$4&amp;" "&amp;$B16,
   Actuals!$D:$D,
   _xlfn.XLOOKUP(
      AC$6,
      Actuals!$H$3:$BD$3,
      Actuals!$H:$BD
   )
)</f>
        <v>0</v>
      </c>
      <c r="AD16" s="292" cm="1">
        <f t="array" ref="AD16">_xlfn.XLOOKUP(
   $B$4&amp;" "&amp;$B16,
   Actuals!$D:$D,
   _xlfn.XLOOKUP(
      AD$6,
      Actuals!$H$3:$BD$3,
      Actuals!$H:$BD
   )
)</f>
        <v>0</v>
      </c>
      <c r="AE16" s="292" cm="1">
        <f t="array" ref="AE16">_xlfn.XLOOKUP(
   $B$4&amp;" "&amp;$B16,
   Actuals!$D:$D,
   _xlfn.XLOOKUP(
      AE$6,
      Actuals!$H$3:$BD$3,
      Actuals!$H:$BD
   )
)</f>
        <v>0</v>
      </c>
      <c r="AF16" s="292" cm="1">
        <f t="array" ref="AF16">_xlfn.XLOOKUP(
   $B$4&amp;" "&amp;$B16,
   Actuals!$D:$D,
   _xlfn.XLOOKUP(
      AF$6,
      Actuals!$H$3:$BD$3,
      Actuals!$H:$BD
   )
)</f>
        <v>0</v>
      </c>
      <c r="AG16" s="292" cm="1">
        <f t="array" ref="AG16">_xlfn.XLOOKUP(
   $B$4&amp;" "&amp;$B16,
   Actuals!$D:$D,
   _xlfn.XLOOKUP(
      AG$6,
      Actuals!$H$3:$BD$3,
      Actuals!$H:$BD
   )
)</f>
        <v>0</v>
      </c>
      <c r="AH16" s="292" cm="1">
        <f t="array" ref="AH16">_xlfn.XLOOKUP(
   $B$4&amp;" "&amp;$B16,
   Actuals!$D:$D,
   _xlfn.XLOOKUP(
      AH$6,
      Actuals!$H$3:$BD$3,
      Actuals!$H:$BD
   )
)</f>
        <v>4</v>
      </c>
      <c r="AI16" s="292" cm="1">
        <f t="array" ref="AI16">_xlfn.XLOOKUP(
   $B$4&amp;" "&amp;$B16,
   Actuals!$D:$D,
   _xlfn.XLOOKUP(
      AI$6,
      Actuals!$H$3:$BD$3,
      Actuals!$H:$BD
   )
)</f>
        <v>4</v>
      </c>
      <c r="AJ16" s="292" cm="1">
        <f t="array" ref="AJ16">_xlfn.XLOOKUP(
   $B$4&amp;" "&amp;$B16,
   Actuals!$D:$D,
   _xlfn.XLOOKUP(
      AJ$6,
      Actuals!$H$3:$BD$3,
      Actuals!$H:$BD
   )
)</f>
        <v>3</v>
      </c>
      <c r="AK16" s="292" cm="1">
        <f t="array" ref="AK16">_xlfn.XLOOKUP(
   $B$4&amp;" "&amp;$B16,
   Actuals!$D:$D,
   _xlfn.XLOOKUP(
      AK$6,
      Actuals!$H$3:$BD$3,
      Actuals!$H:$BD
   )
)</f>
        <v>2</v>
      </c>
      <c r="AL16" s="292" cm="1">
        <f t="array" ref="AL16">_xlfn.XLOOKUP(
   $B$4&amp;" "&amp;$B16,
   Actuals!$D:$D,
   _xlfn.XLOOKUP(
      AL$6,
      Actuals!$H$3:$BD$3,
      Actuals!$H:$BD
   )
)</f>
        <v>1</v>
      </c>
      <c r="AM16" s="292" cm="1">
        <f t="array" ref="AM16">_xlfn.XLOOKUP(
   $B$4&amp;" "&amp;$B16,
   Actuals!$D:$D,
   _xlfn.XLOOKUP(
      AM$6,
      Actuals!$H$3:$BD$3,
      Actuals!$H:$BD
   )
)</f>
        <v>2</v>
      </c>
      <c r="AN16" s="292" cm="1">
        <f t="array" ref="AN16">_xlfn.XLOOKUP(
   $B$4&amp;" "&amp;$B16,
   Actuals!$D:$D,
   _xlfn.XLOOKUP(
      AN$6,
      Actuals!$H$3:$BD$3,
      Actuals!$H:$BD
   )
)</f>
        <v>6</v>
      </c>
      <c r="AO16" s="292" cm="1">
        <f t="array" ref="AO16">_xlfn.XLOOKUP(
   $B$4&amp;" "&amp;$B16,
   Actuals!$D:$D,
   _xlfn.XLOOKUP(
      AO$6,
      Actuals!$H$3:$BD$3,
      Actuals!$H:$BD
   )
)</f>
        <v>0</v>
      </c>
      <c r="AP16" s="292" cm="1">
        <f t="array" ref="AP16">_xlfn.XLOOKUP(
   $B$4&amp;" "&amp;$B16,
   Actuals!$D:$D,
   _xlfn.XLOOKUP(
      AP$6,
      Actuals!$H$3:$BD$3,
      Actuals!$H:$BD
   )
)</f>
        <v>0</v>
      </c>
      <c r="AQ16" s="292" cm="1">
        <f t="array" ref="AQ16">_xlfn.XLOOKUP(
   $B$4&amp;" "&amp;$B16,
   Actuals!$D:$D,
   _xlfn.XLOOKUP(
      AQ$6,
      Actuals!$H$3:$BD$3,
      Actuals!$H:$BD
   )
)</f>
        <v>0</v>
      </c>
      <c r="AR16" s="292" cm="1">
        <f t="array" ref="AR16">_xlfn.XLOOKUP(
   $B$4&amp;" "&amp;$B16,
   Actuals!$D:$D,
   _xlfn.XLOOKUP(
      AR$6,
      Actuals!$H$3:$BD$3,
      Actuals!$H:$BD
   )
)</f>
        <v>0</v>
      </c>
      <c r="AS16" s="292" cm="1">
        <f t="array" ref="AS16">_xlfn.XLOOKUP(
   $B$4&amp;" "&amp;$B16,
   Actuals!$D:$D,
   _xlfn.XLOOKUP(
      AS$6,
      Actuals!$H$3:$BD$3,
      Actuals!$H:$BD
   )
)</f>
        <v>0</v>
      </c>
      <c r="AT16" s="292" cm="1">
        <f t="array" ref="AT16">_xlfn.XLOOKUP(
   $B$4&amp;" "&amp;$B16,
   Actuals!$D:$D,
   _xlfn.XLOOKUP(
      AT$6,
      Actuals!$H$3:$BD$3,
      Actuals!$H:$BD
   )
)</f>
        <v>0</v>
      </c>
      <c r="AU16" s="292" cm="1">
        <f t="array" ref="AU16">_xlfn.XLOOKUP(
   $B$4&amp;" "&amp;$B16,
   Actuals!$D:$D,
   _xlfn.XLOOKUP(
      AU$6,
      Actuals!$H$3:$BD$3,
      Actuals!$H:$BD
   )
)</f>
        <v>0</v>
      </c>
      <c r="AV16" s="292" cm="1">
        <f t="array" ref="AV16">_xlfn.XLOOKUP(
   $B$4&amp;" "&amp;$B16,
   Actuals!$D:$D,
   _xlfn.XLOOKUP(
      AV$6,
      Actuals!$H$3:$BD$3,
      Actuals!$H:$BD
   )
)</f>
        <v>0</v>
      </c>
      <c r="AW16" s="292" cm="1">
        <f t="array" ref="AW16">_xlfn.XLOOKUP(
   $B$4&amp;" "&amp;$B16,
   Actuals!$D:$D,
   _xlfn.XLOOKUP(
      AW$6,
      Actuals!$H$3:$BD$3,
      Actuals!$H:$BD
   )
)</f>
        <v>0</v>
      </c>
      <c r="AX16" s="292" cm="1">
        <f t="array" ref="AX16">_xlfn.XLOOKUP(
   $B$4&amp;" "&amp;$B16,
   Actuals!$D:$D,
   _xlfn.XLOOKUP(
      AX$6,
      Actuals!$H$3:$BD$3,
      Actuals!$H:$BD
   )
)</f>
        <v>0</v>
      </c>
      <c r="AY16" s="292" cm="1">
        <f t="array" ref="AY16">_xlfn.XLOOKUP(
   $B$4&amp;" "&amp;$B16,
   Actuals!$D:$D,
   _xlfn.XLOOKUP(
      AY$6,
      Actuals!$H$3:$BD$3,
      Actuals!$H:$BD
   )
)</f>
        <v>0</v>
      </c>
      <c r="AZ16" s="292" cm="1">
        <f t="array" ref="AZ16">_xlfn.XLOOKUP(
   $B$4&amp;" "&amp;$B16,
   Actuals!$D:$D,
   _xlfn.XLOOKUP(
      AZ$6,
      Actuals!$H$3:$BD$3,
      Actuals!$H:$BD
   )
)</f>
        <v>0</v>
      </c>
      <c r="BA16" s="292"/>
      <c r="BB16" s="292" cm="1">
        <f t="array" ref="BB16">_xlfn.XLOOKUP(
   $B$4&amp;" "&amp;$B16,
   Actuals!$D:$D,
   _xlfn.XLOOKUP(
      BB$7,
      Actuals!$H$3:$BM$3,
      Actuals!$H:$BM
   )
)</f>
        <v>0</v>
      </c>
      <c r="BC16" s="292">
        <f>VLOOKUP($B$4&amp;" "&amp;$B16,Budget!$AG$4:$AL$132,$BB$5+1,FALSE)</f>
        <v>4.2666666666666666</v>
      </c>
      <c r="BD16" s="292">
        <f t="shared" si="32"/>
        <v>-4.2666666666666666</v>
      </c>
      <c r="BE16" s="292"/>
      <c r="BF16" s="292" cm="1">
        <f t="array" ref="BF16">_xlfn.XLOOKUP(
   $B$4&amp;" "&amp;$B16,
   Actuals!$D:$D,
   _xlfn.XLOOKUP(
      BF$7,
      Actuals!$H$3:$BM$3,
      Actuals!$H:$BM
   )
)</f>
        <v>0</v>
      </c>
      <c r="BG16" s="292">
        <f>VLOOKUP($B$4&amp;" "&amp;$B16,Budget!$AG$4:$AL$132,BF$5+1,FALSE)</f>
        <v>6</v>
      </c>
      <c r="BH16" s="292">
        <f t="shared" si="33"/>
        <v>-6</v>
      </c>
      <c r="BI16" s="292"/>
      <c r="BJ16" s="292" cm="1">
        <f t="array" ref="BJ16">_xlfn.XLOOKUP(
   $B$4&amp;" "&amp;$B16,
   Actuals!$D:$D,
   _xlfn.XLOOKUP(
      BJ$7,
      Actuals!$H$3:$BM$3,
      Actuals!$H:$BM
   )
)</f>
        <v>0</v>
      </c>
      <c r="BK16" s="292">
        <f>VLOOKUP($B$4&amp;" "&amp;$B16,Budget!$AG$4:$AL$132,BJ$5+1,FALSE)</f>
        <v>6</v>
      </c>
      <c r="BL16" s="292">
        <f t="shared" si="34"/>
        <v>-6</v>
      </c>
      <c r="BM16" s="292"/>
      <c r="BN16" s="292" cm="1">
        <f t="array" ref="BN16">_xlfn.XLOOKUP(
   $B$4&amp;" "&amp;$B16,
   Actuals!$D:$D,
   _xlfn.XLOOKUP(
      BN$7,
      Actuals!$H$3:$BM$3,
      Actuals!$H:$BM
   )
)</f>
        <v>0</v>
      </c>
      <c r="BO16" s="292">
        <f>VLOOKUP($B$4&amp;" "&amp;$B16,Budget!$AG$4:$AL$132,BN$5+1,FALSE)</f>
        <v>7.7333333333333334</v>
      </c>
      <c r="BP16" s="292"/>
      <c r="BQ16" s="292"/>
      <c r="BR16" s="292" cm="1">
        <f t="array" aca="1" ref="BR16" ca="1">_xlfn.XLOOKUP(
   $B$4&amp;" "&amp;$B16,
   Actuals!$D:$D,
   _xlfn.XLOOKUP(
      BR$6,
      Actuals!$H$3:$BM$3,
      Actuals!$H:$BM
   )
)</f>
        <v>0</v>
      </c>
      <c r="BS16" s="292">
        <f ca="1">VLOOKUP($B$4&amp;" "&amp;$B16,Budget!$AG$4:$AL$132,6,FALSE)</f>
        <v>24</v>
      </c>
      <c r="BT16" s="292">
        <f t="shared" ca="1" si="35"/>
        <v>-24</v>
      </c>
      <c r="BU16" s="292"/>
      <c r="BV16" s="292" cm="1">
        <f t="array" ref="BV16">_xlfn.XLOOKUP(
   $B$4&amp;" "&amp;$B16,
   Actuals!$D:$D,
   _xlfn.XLOOKUP(
      BV$6,
      Actuals!$H$3:$BM$3,
      Actuals!$H:$BM
   )
)</f>
        <v>22</v>
      </c>
    </row>
    <row r="17" spans="2:76" s="123" customFormat="1">
      <c r="B17" s="26" t="s">
        <v>74</v>
      </c>
      <c r="C17" s="139" t="s">
        <v>49</v>
      </c>
      <c r="D17" s="171" t="str">
        <f>VLOOKUP($B$4&amp;" "&amp;$B17,Actuals!$D$4:$AG$131,3,FALSE)</f>
        <v>#</v>
      </c>
      <c r="E17" s="168" cm="1">
        <f t="array" ref="E17">_xlfn.XLOOKUP(
   $B$4&amp;" "&amp;$B17,
   Actuals!$D:$D,
   _xlfn.XLOOKUP(
      E$6,
      Actuals!$H$3:$BD$3,
      Actuals!$H:$BD
   )
)</f>
        <v>4</v>
      </c>
      <c r="F17" s="168" cm="1">
        <f t="array" ref="F17">_xlfn.XLOOKUP(
   $B$4&amp;" "&amp;$B17,
   Actuals!$D:$D,
   _xlfn.XLOOKUP(
      F$6,
      Actuals!$H$3:$BD$3,
      Actuals!$H:$BD
   )
)</f>
        <v>8</v>
      </c>
      <c r="G17" s="168" cm="1">
        <f t="array" ref="G17">_xlfn.XLOOKUP(
   $B$4&amp;" "&amp;$B17,
   Actuals!$D:$D,
   _xlfn.XLOOKUP(
      G$6,
      Actuals!$H$3:$BD$3,
      Actuals!$H:$BD
   )
)</f>
        <v>19</v>
      </c>
      <c r="H17" s="168" cm="1">
        <f t="array" ref="H17">_xlfn.XLOOKUP(
   $B$4&amp;" "&amp;$B17,
   Actuals!$D:$D,
   _xlfn.XLOOKUP(
      H$6,
      Actuals!$H$3:$BD$3,
      Actuals!$H:$BD
   )
)</f>
        <v>3</v>
      </c>
      <c r="I17" s="168" cm="1">
        <f t="array" ref="I17">_xlfn.XLOOKUP(
   $B$4&amp;" "&amp;$B17,
   Actuals!$D:$D,
   _xlfn.XLOOKUP(
      I$6,
      Actuals!$H$3:$BD$3,
      Actuals!$H:$BD
   )
)</f>
        <v>3</v>
      </c>
      <c r="J17" s="168" cm="1">
        <f t="array" ref="J17">_xlfn.XLOOKUP(
   $B$4&amp;" "&amp;$B17,
   Actuals!$D:$D,
   _xlfn.XLOOKUP(
      J$6,
      Actuals!$H$3:$BD$3,
      Actuals!$H:$BD
   )
)</f>
        <v>11</v>
      </c>
      <c r="K17" s="168" cm="1">
        <f t="array" ref="K17">_xlfn.XLOOKUP(
   $B$4&amp;" "&amp;$B17,
   Actuals!$D:$D,
   _xlfn.XLOOKUP(
      K$6,
      Actuals!$H$3:$BD$3,
      Actuals!$H:$BD
   )
)</f>
        <v>6</v>
      </c>
      <c r="L17" s="168" cm="1">
        <f t="array" ref="L17">_xlfn.XLOOKUP(
   $B$4&amp;" "&amp;$B17,
   Actuals!$D:$D,
   _xlfn.XLOOKUP(
      L$6,
      Actuals!$H$3:$BD$3,
      Actuals!$H:$BD
   )
)</f>
        <v>11</v>
      </c>
      <c r="M17" s="168" cm="1">
        <f t="array" ref="M17">_xlfn.XLOOKUP(
   $B$4&amp;" "&amp;$B17,
   Actuals!$D:$D,
   _xlfn.XLOOKUP(
      M$6,
      Actuals!$H$3:$BD$3,
      Actuals!$H:$BD
   )
)</f>
        <v>6</v>
      </c>
      <c r="N17" s="168" cm="1">
        <f t="array" ref="N17">_xlfn.XLOOKUP(
   $B$4&amp;" "&amp;$B17,
   Actuals!$D:$D,
   _xlfn.XLOOKUP(
      N$6,
      Actuals!$H$3:$BD$3,
      Actuals!$H:$BD
   )
)</f>
        <v>18</v>
      </c>
      <c r="O17" s="292" cm="1">
        <f t="array" ref="O17">_xlfn.XLOOKUP(
   $B$4&amp;" "&amp;$B17,
   Actuals!$D:$D,
   _xlfn.XLOOKUP(
      O$6,
      Actuals!$H$3:$BD$3,
      Actuals!$H:$BD
   )
)</f>
        <v>0</v>
      </c>
      <c r="P17" s="292" cm="1">
        <f t="array" ref="P17">_xlfn.XLOOKUP(
   $B$4&amp;" "&amp;$B17,
   Actuals!$D:$D,
   _xlfn.XLOOKUP(
      P$6,
      Actuals!$H$3:$BD$3,
      Actuals!$H:$BD
   )
)</f>
        <v>0</v>
      </c>
      <c r="Q17" s="292" cm="1">
        <f t="array" ref="Q17">_xlfn.XLOOKUP(
   $B$4&amp;" "&amp;$B17,
   Actuals!$D:$D,
   _xlfn.XLOOKUP(
      Q$6,
      Actuals!$H$3:$BD$3,
      Actuals!$H:$BD
   )
)</f>
        <v>0</v>
      </c>
      <c r="R17" s="292" cm="1">
        <f t="array" ref="R17">_xlfn.XLOOKUP(
   $B$4&amp;" "&amp;$B17,
   Actuals!$D:$D,
   _xlfn.XLOOKUP(
      R$6,
      Actuals!$H$3:$BD$3,
      Actuals!$H:$BD
   )
)</f>
        <v>0</v>
      </c>
      <c r="S17" s="292" cm="1">
        <f t="array" ref="S17">_xlfn.XLOOKUP(
   $B$4&amp;" "&amp;$B17,
   Actuals!$D:$D,
   _xlfn.XLOOKUP(
      S$6,
      Actuals!$H$3:$BD$3,
      Actuals!$H:$BD
   )
)</f>
        <v>0</v>
      </c>
      <c r="T17" s="292" cm="1">
        <f t="array" ref="T17">_xlfn.XLOOKUP(
   $B$4&amp;" "&amp;$B17,
   Actuals!$D:$D,
   _xlfn.XLOOKUP(
      T$6,
      Actuals!$H$3:$BD$3,
      Actuals!$H:$BD
   )
)</f>
        <v>0</v>
      </c>
      <c r="U17" s="292" cm="1">
        <f t="array" ref="U17">_xlfn.XLOOKUP(
   $B$4&amp;" "&amp;$B17,
   Actuals!$D:$D,
   _xlfn.XLOOKUP(
      U$6,
      Actuals!$H$3:$BD$3,
      Actuals!$H:$BD
   )
)</f>
        <v>0</v>
      </c>
      <c r="V17" s="292" cm="1">
        <f t="array" ref="V17">_xlfn.XLOOKUP(
   $B$4&amp;" "&amp;$B17,
   Actuals!$D:$D,
   _xlfn.XLOOKUP(
      V$6,
      Actuals!$H$3:$BD$3,
      Actuals!$H:$BD
   )
)</f>
        <v>0</v>
      </c>
      <c r="W17" s="292" cm="1">
        <f t="array" ref="W17">_xlfn.XLOOKUP(
   $B$4&amp;" "&amp;$B17,
   Actuals!$D:$D,
   _xlfn.XLOOKUP(
      W$6,
      Actuals!$H$3:$BD$3,
      Actuals!$H:$BD
   )
)</f>
        <v>0</v>
      </c>
      <c r="X17" s="292" cm="1">
        <f t="array" ref="X17">_xlfn.XLOOKUP(
   $B$4&amp;" "&amp;$B17,
   Actuals!$D:$D,
   _xlfn.XLOOKUP(
      X$6,
      Actuals!$H$3:$BD$3,
      Actuals!$H:$BD
   )
)</f>
        <v>0</v>
      </c>
      <c r="Y17" s="292" cm="1">
        <f t="array" ref="Y17">_xlfn.XLOOKUP(
   $B$4&amp;" "&amp;$B17,
   Actuals!$D:$D,
   _xlfn.XLOOKUP(
      Y$6,
      Actuals!$H$3:$BD$3,
      Actuals!$H:$BD
   )
)</f>
        <v>0</v>
      </c>
      <c r="Z17" s="292" cm="1">
        <f t="array" ref="Z17">_xlfn.XLOOKUP(
   $B$4&amp;" "&amp;$B17,
   Actuals!$D:$D,
   _xlfn.XLOOKUP(
      Z$6,
      Actuals!$H$3:$BD$3,
      Actuals!$H:$BD
   )
)</f>
        <v>0</v>
      </c>
      <c r="AA17" s="292" cm="1">
        <f t="array" ref="AA17">_xlfn.XLOOKUP(
   $B$4&amp;" "&amp;$B17,
   Actuals!$D:$D,
   _xlfn.XLOOKUP(
      AA$6,
      Actuals!$H$3:$BD$3,
      Actuals!$H:$BD
   )
)</f>
        <v>0</v>
      </c>
      <c r="AB17" s="292" cm="1">
        <f t="array" ref="AB17">_xlfn.XLOOKUP(
   $B$4&amp;" "&amp;$B17,
   Actuals!$D:$D,
   _xlfn.XLOOKUP(
      AB$6,
      Actuals!$H$3:$BD$3,
      Actuals!$H:$BD
   )
)</f>
        <v>0</v>
      </c>
      <c r="AC17" s="292" cm="1">
        <f t="array" ref="AC17">_xlfn.XLOOKUP(
   $B$4&amp;" "&amp;$B17,
   Actuals!$D:$D,
   _xlfn.XLOOKUP(
      AC$6,
      Actuals!$H$3:$BD$3,
      Actuals!$H:$BD
   )
)</f>
        <v>19</v>
      </c>
      <c r="AD17" s="292" cm="1">
        <f t="array" ref="AD17">_xlfn.XLOOKUP(
   $B$4&amp;" "&amp;$B17,
   Actuals!$D:$D,
   _xlfn.XLOOKUP(
      AD$6,
      Actuals!$H$3:$BD$3,
      Actuals!$H:$BD
   )
)</f>
        <v>11</v>
      </c>
      <c r="AE17" s="292" cm="1">
        <f t="array" ref="AE17">_xlfn.XLOOKUP(
   $B$4&amp;" "&amp;$B17,
   Actuals!$D:$D,
   _xlfn.XLOOKUP(
      AE$6,
      Actuals!$H$3:$BD$3,
      Actuals!$H:$BD
   )
)</f>
        <v>2</v>
      </c>
      <c r="AF17" s="292" cm="1">
        <f t="array" ref="AF17">_xlfn.XLOOKUP(
   $B$4&amp;" "&amp;$B17,
   Actuals!$D:$D,
   _xlfn.XLOOKUP(
      AF$6,
      Actuals!$H$3:$BD$3,
      Actuals!$H:$BD
   )
)</f>
        <v>0</v>
      </c>
      <c r="AG17" s="292" cm="1">
        <f t="array" ref="AG17">_xlfn.XLOOKUP(
   $B$4&amp;" "&amp;$B17,
   Actuals!$D:$D,
   _xlfn.XLOOKUP(
      AG$6,
      Actuals!$H$3:$BD$3,
      Actuals!$H:$BD
   )
)</f>
        <v>2</v>
      </c>
      <c r="AH17" s="292" cm="1">
        <f t="array" ref="AH17">_xlfn.XLOOKUP(
   $B$4&amp;" "&amp;$B17,
   Actuals!$D:$D,
   _xlfn.XLOOKUP(
      AH$6,
      Actuals!$H$3:$BD$3,
      Actuals!$H:$BD
   )
)</f>
        <v>4</v>
      </c>
      <c r="AI17" s="292" cm="1">
        <f t="array" ref="AI17">_xlfn.XLOOKUP(
   $B$4&amp;" "&amp;$B17,
   Actuals!$D:$D,
   _xlfn.XLOOKUP(
      AI$6,
      Actuals!$H$3:$BD$3,
      Actuals!$H:$BD
   )
)</f>
        <v>0</v>
      </c>
      <c r="AJ17" s="292" cm="1">
        <f t="array" ref="AJ17">_xlfn.XLOOKUP(
   $B$4&amp;" "&amp;$B17,
   Actuals!$D:$D,
   _xlfn.XLOOKUP(
      AJ$6,
      Actuals!$H$3:$BD$3,
      Actuals!$H:$BD
   )
)</f>
        <v>0</v>
      </c>
      <c r="AK17" s="292" cm="1">
        <f t="array" ref="AK17">_xlfn.XLOOKUP(
   $B$4&amp;" "&amp;$B17,
   Actuals!$D:$D,
   _xlfn.XLOOKUP(
      AK$6,
      Actuals!$H$3:$BD$3,
      Actuals!$H:$BD
   )
)</f>
        <v>2</v>
      </c>
      <c r="AL17" s="292" cm="1">
        <f t="array" ref="AL17">_xlfn.XLOOKUP(
   $B$4&amp;" "&amp;$B17,
   Actuals!$D:$D,
   _xlfn.XLOOKUP(
      AL$6,
      Actuals!$H$3:$BD$3,
      Actuals!$H:$BD
   )
)</f>
        <v>2</v>
      </c>
      <c r="AM17" s="292" cm="1">
        <f t="array" ref="AM17">_xlfn.XLOOKUP(
   $B$4&amp;" "&amp;$B17,
   Actuals!$D:$D,
   _xlfn.XLOOKUP(
      AM$6,
      Actuals!$H$3:$BD$3,
      Actuals!$H:$BD
   )
)</f>
        <v>3</v>
      </c>
      <c r="AN17" s="292" cm="1">
        <f t="array" ref="AN17">_xlfn.XLOOKUP(
   $B$4&amp;" "&amp;$B17,
   Actuals!$D:$D,
   _xlfn.XLOOKUP(
      AN$6,
      Actuals!$H$3:$BD$3,
      Actuals!$H:$BD
   )
)</f>
        <v>1</v>
      </c>
      <c r="AO17" s="292" cm="1">
        <f t="array" ref="AO17">_xlfn.XLOOKUP(
   $B$4&amp;" "&amp;$B17,
   Actuals!$D:$D,
   _xlfn.XLOOKUP(
      AO$6,
      Actuals!$H$3:$BD$3,
      Actuals!$H:$BD
   )
)</f>
        <v>0</v>
      </c>
      <c r="AP17" s="292" cm="1">
        <f t="array" ref="AP17">_xlfn.XLOOKUP(
   $B$4&amp;" "&amp;$B17,
   Actuals!$D:$D,
   _xlfn.XLOOKUP(
      AP$6,
      Actuals!$H$3:$BD$3,
      Actuals!$H:$BD
   )
)</f>
        <v>0</v>
      </c>
      <c r="AQ17" s="292" cm="1">
        <f t="array" ref="AQ17">_xlfn.XLOOKUP(
   $B$4&amp;" "&amp;$B17,
   Actuals!$D:$D,
   _xlfn.XLOOKUP(
      AQ$6,
      Actuals!$H$3:$BD$3,
      Actuals!$H:$BD
   )
)</f>
        <v>0</v>
      </c>
      <c r="AR17" s="292" cm="1">
        <f t="array" ref="AR17">_xlfn.XLOOKUP(
   $B$4&amp;" "&amp;$B17,
   Actuals!$D:$D,
   _xlfn.XLOOKUP(
      AR$6,
      Actuals!$H$3:$BD$3,
      Actuals!$H:$BD
   )
)</f>
        <v>0</v>
      </c>
      <c r="AS17" s="292" cm="1">
        <f t="array" ref="AS17">_xlfn.XLOOKUP(
   $B$4&amp;" "&amp;$B17,
   Actuals!$D:$D,
   _xlfn.XLOOKUP(
      AS$6,
      Actuals!$H$3:$BD$3,
      Actuals!$H:$BD
   )
)</f>
        <v>0</v>
      </c>
      <c r="AT17" s="292" cm="1">
        <f t="array" ref="AT17">_xlfn.XLOOKUP(
   $B$4&amp;" "&amp;$B17,
   Actuals!$D:$D,
   _xlfn.XLOOKUP(
      AT$6,
      Actuals!$H$3:$BD$3,
      Actuals!$H:$BD
   )
)</f>
        <v>0</v>
      </c>
      <c r="AU17" s="292" cm="1">
        <f t="array" ref="AU17">_xlfn.XLOOKUP(
   $B$4&amp;" "&amp;$B17,
   Actuals!$D:$D,
   _xlfn.XLOOKUP(
      AU$6,
      Actuals!$H$3:$BD$3,
      Actuals!$H:$BD
   )
)</f>
        <v>0</v>
      </c>
      <c r="AV17" s="292" cm="1">
        <f t="array" ref="AV17">_xlfn.XLOOKUP(
   $B$4&amp;" "&amp;$B17,
   Actuals!$D:$D,
   _xlfn.XLOOKUP(
      AV$6,
      Actuals!$H$3:$BD$3,
      Actuals!$H:$BD
   )
)</f>
        <v>0</v>
      </c>
      <c r="AW17" s="292" cm="1">
        <f t="array" ref="AW17">_xlfn.XLOOKUP(
   $B$4&amp;" "&amp;$B17,
   Actuals!$D:$D,
   _xlfn.XLOOKUP(
      AW$6,
      Actuals!$H$3:$BD$3,
      Actuals!$H:$BD
   )
)</f>
        <v>0</v>
      </c>
      <c r="AX17" s="292" cm="1">
        <f t="array" ref="AX17">_xlfn.XLOOKUP(
   $B$4&amp;" "&amp;$B17,
   Actuals!$D:$D,
   _xlfn.XLOOKUP(
      AX$6,
      Actuals!$H$3:$BD$3,
      Actuals!$H:$BD
   )
)</f>
        <v>0</v>
      </c>
      <c r="AY17" s="292" cm="1">
        <f t="array" ref="AY17">_xlfn.XLOOKUP(
   $B$4&amp;" "&amp;$B17,
   Actuals!$D:$D,
   _xlfn.XLOOKUP(
      AY$6,
      Actuals!$H$3:$BD$3,
      Actuals!$H:$BD
   )
)</f>
        <v>0</v>
      </c>
      <c r="AZ17" s="292" cm="1">
        <f t="array" ref="AZ17">_xlfn.XLOOKUP(
   $B$4&amp;" "&amp;$B17,
   Actuals!$D:$D,
   _xlfn.XLOOKUP(
      AZ$6,
      Actuals!$H$3:$BD$3,
      Actuals!$H:$BD
   )
)</f>
        <v>0</v>
      </c>
      <c r="BA17" s="292"/>
      <c r="BB17" s="292" cm="1">
        <f t="array" ref="BB17">_xlfn.XLOOKUP(
   $B$4&amp;" "&amp;$B17,
   Actuals!$D:$D,
   _xlfn.XLOOKUP(
      BB$7,
      Actuals!$H$3:$BM$3,
      Actuals!$H:$BM
   )
)</f>
        <v>0</v>
      </c>
      <c r="BC17" s="292">
        <f>VLOOKUP($B$4&amp;" "&amp;$B17,Budget!$AG$4:$AL$132,$BB$5+1,FALSE)</f>
        <v>0</v>
      </c>
      <c r="BD17" s="292">
        <f t="shared" si="32"/>
        <v>0</v>
      </c>
      <c r="BE17" s="292"/>
      <c r="BF17" s="292" cm="1">
        <f t="array" ref="BF17">_xlfn.XLOOKUP(
   $B$4&amp;" "&amp;$B17,
   Actuals!$D:$D,
   _xlfn.XLOOKUP(
      BF$7,
      Actuals!$H$3:$BM$3,
      Actuals!$H:$BM
   )
)</f>
        <v>0</v>
      </c>
      <c r="BG17" s="292">
        <f>VLOOKUP($B$4&amp;" "&amp;$B17,Budget!$AG$4:$AL$132,BF$5+1,FALSE)</f>
        <v>0</v>
      </c>
      <c r="BH17" s="292">
        <f t="shared" si="33"/>
        <v>0</v>
      </c>
      <c r="BI17" s="292"/>
      <c r="BJ17" s="292" cm="1">
        <f t="array" ref="BJ17">_xlfn.XLOOKUP(
   $B$4&amp;" "&amp;$B17,
   Actuals!$D:$D,
   _xlfn.XLOOKUP(
      BJ$7,
      Actuals!$H$3:$BM$3,
      Actuals!$H:$BM
   )
)</f>
        <v>0</v>
      </c>
      <c r="BK17" s="292">
        <f>VLOOKUP($B$4&amp;" "&amp;$B17,Budget!$AG$4:$AL$132,BJ$5+1,FALSE)</f>
        <v>0</v>
      </c>
      <c r="BL17" s="292">
        <f t="shared" si="34"/>
        <v>0</v>
      </c>
      <c r="BM17" s="292"/>
      <c r="BN17" s="292" cm="1">
        <f t="array" ref="BN17">_xlfn.XLOOKUP(
   $B$4&amp;" "&amp;$B17,
   Actuals!$D:$D,
   _xlfn.XLOOKUP(
      BN$7,
      Actuals!$H$3:$BM$3,
      Actuals!$H:$BM
   )
)</f>
        <v>0</v>
      </c>
      <c r="BO17" s="292">
        <f>VLOOKUP($B$4&amp;" "&amp;$B17,Budget!$AG$4:$AL$132,BN$5+1,FALSE)</f>
        <v>0</v>
      </c>
      <c r="BP17" s="292"/>
      <c r="BQ17" s="292"/>
      <c r="BR17" s="292" cm="1">
        <f t="array" aca="1" ref="BR17" ca="1">_xlfn.XLOOKUP(
   $B$4&amp;" "&amp;$B17,
   Actuals!$D:$D,
   _xlfn.XLOOKUP(
      BR$6,
      Actuals!$H$3:$BM$3,
      Actuals!$H:$BM
   )
)</f>
        <v>0</v>
      </c>
      <c r="BS17" s="292">
        <f ca="1">VLOOKUP($B$4&amp;" "&amp;$B17,Budget!$AG$4:$AL$132,6,FALSE)</f>
        <v>0</v>
      </c>
      <c r="BT17" s="292">
        <f t="shared" ca="1" si="35"/>
        <v>0</v>
      </c>
      <c r="BU17" s="292"/>
      <c r="BV17" s="292" cm="1">
        <f t="array" ref="BV17">_xlfn.XLOOKUP(
   $B$4&amp;" "&amp;$B17,
   Actuals!$D:$D,
   _xlfn.XLOOKUP(
      BV$6,
      Actuals!$H$3:$BM$3,
      Actuals!$H:$BM
   )
)</f>
        <v>27</v>
      </c>
      <c r="BW17" s="26"/>
      <c r="BX17" s="26"/>
    </row>
    <row r="18" spans="2:76">
      <c r="B18" s="124" t="s">
        <v>75</v>
      </c>
      <c r="C18" s="144" t="s">
        <v>49</v>
      </c>
      <c r="D18" s="175" t="str">
        <f>VLOOKUP($B$4&amp;" "&amp;$B18,Actuals!$D$4:$AG$131,3,FALSE)</f>
        <v>#</v>
      </c>
      <c r="E18" s="269" cm="1">
        <f t="array" ref="E18">_xlfn.XLOOKUP(
   $B$4&amp;" "&amp;$B18,
   Actuals!$D:$D,
   _xlfn.XLOOKUP(
      E$6,
      Actuals!$H$3:$BD$3,
      Actuals!$H:$BD
   )
)</f>
        <v>0.25</v>
      </c>
      <c r="F18" s="269" cm="1">
        <f t="array" ref="F18">_xlfn.XLOOKUP(
   $B$4&amp;" "&amp;$B18,
   Actuals!$D:$D,
   _xlfn.XLOOKUP(
      F$6,
      Actuals!$H$3:$BD$3,
      Actuals!$H:$BD
   )
)</f>
        <v>0</v>
      </c>
      <c r="G18" s="269" cm="1">
        <f t="array" ref="G18">_xlfn.XLOOKUP(
   $B$4&amp;" "&amp;$B18,
   Actuals!$D:$D,
   _xlfn.XLOOKUP(
      G$6,
      Actuals!$H$3:$BD$3,
      Actuals!$H:$BD
   )
)</f>
        <v>5.2631578947368418E-2</v>
      </c>
      <c r="H18" s="269" cm="1">
        <f t="array" ref="H18">_xlfn.XLOOKUP(
   $B$4&amp;" "&amp;$B18,
   Actuals!$D:$D,
   _xlfn.XLOOKUP(
      H$6,
      Actuals!$H$3:$BD$3,
      Actuals!$H:$BD
   )
)</f>
        <v>0</v>
      </c>
      <c r="I18" s="269" cm="1">
        <f t="array" ref="I18">_xlfn.XLOOKUP(
   $B$4&amp;" "&amp;$B18,
   Actuals!$D:$D,
   _xlfn.XLOOKUP(
      I$6,
      Actuals!$H$3:$BD$3,
      Actuals!$H:$BD
   )
)</f>
        <v>0</v>
      </c>
      <c r="J18" s="269" cm="1">
        <f t="array" ref="J18">_xlfn.XLOOKUP(
   $B$4&amp;" "&amp;$B18,
   Actuals!$D:$D,
   _xlfn.XLOOKUP(
      J$6,
      Actuals!$H$3:$BD$3,
      Actuals!$H:$BD
   )
)</f>
        <v>9.0909090909090912E-2</v>
      </c>
      <c r="K18" s="269" cm="1">
        <f t="array" ref="K18">_xlfn.XLOOKUP(
   $B$4&amp;" "&amp;$B18,
   Actuals!$D:$D,
   _xlfn.XLOOKUP(
      K$6,
      Actuals!$H$3:$BD$3,
      Actuals!$H:$BD
   )
)</f>
        <v>0</v>
      </c>
      <c r="L18" s="269" cm="1">
        <f t="array" ref="L18">_xlfn.XLOOKUP(
   $B$4&amp;" "&amp;$B18,
   Actuals!$D:$D,
   _xlfn.XLOOKUP(
      L$6,
      Actuals!$H$3:$BD$3,
      Actuals!$H:$BD
   )
)</f>
        <v>0.18181818181818182</v>
      </c>
      <c r="M18" s="269" cm="1">
        <f t="array" ref="M18">_xlfn.XLOOKUP(
   $B$4&amp;" "&amp;$B18,
   Actuals!$D:$D,
   _xlfn.XLOOKUP(
      M$6,
      Actuals!$H$3:$BD$3,
      Actuals!$H:$BD
   )
)</f>
        <v>0</v>
      </c>
      <c r="N18" s="269" cm="1">
        <f t="array" ref="N18">_xlfn.XLOOKUP(
   $B$4&amp;" "&amp;$B18,
   Actuals!$D:$D,
   _xlfn.XLOOKUP(
      N$6,
      Actuals!$H$3:$BD$3,
      Actuals!$H:$BD
   )
)</f>
        <v>0</v>
      </c>
      <c r="O18" s="322" cm="1">
        <f t="array" ref="O18">_xlfn.XLOOKUP(
   $B$4&amp;" "&amp;$B18,
   Actuals!$D:$D,
   _xlfn.XLOOKUP(
      O$6,
      Actuals!$H$3:$BD$3,
      Actuals!$H:$BD
   )
)</f>
        <v>0</v>
      </c>
      <c r="P18" s="322" cm="1">
        <f t="array" ref="P18">_xlfn.XLOOKUP(
   $B$4&amp;" "&amp;$B18,
   Actuals!$D:$D,
   _xlfn.XLOOKUP(
      P$6,
      Actuals!$H$3:$BD$3,
      Actuals!$H:$BD
   )
)</f>
        <v>0</v>
      </c>
      <c r="Q18" s="322" cm="1">
        <f t="array" ref="Q18">_xlfn.XLOOKUP(
   $B$4&amp;" "&amp;$B18,
   Actuals!$D:$D,
   _xlfn.XLOOKUP(
      Q$6,
      Actuals!$H$3:$BD$3,
      Actuals!$H:$BD
   )
)</f>
        <v>0</v>
      </c>
      <c r="R18" s="322" cm="1">
        <f t="array" ref="R18">_xlfn.XLOOKUP(
   $B$4&amp;" "&amp;$B18,
   Actuals!$D:$D,
   _xlfn.XLOOKUP(
      R$6,
      Actuals!$H$3:$BD$3,
      Actuals!$H:$BD
   )
)</f>
        <v>0</v>
      </c>
      <c r="S18" s="322" cm="1">
        <f t="array" ref="S18">_xlfn.XLOOKUP(
   $B$4&amp;" "&amp;$B18,
   Actuals!$D:$D,
   _xlfn.XLOOKUP(
      S$6,
      Actuals!$H$3:$BD$3,
      Actuals!$H:$BD
   )
)</f>
        <v>0</v>
      </c>
      <c r="T18" s="322" cm="1">
        <f t="array" ref="T18">_xlfn.XLOOKUP(
   $B$4&amp;" "&amp;$B18,
   Actuals!$D:$D,
   _xlfn.XLOOKUP(
      T$6,
      Actuals!$H$3:$BD$3,
      Actuals!$H:$BD
   )
)</f>
        <v>0</v>
      </c>
      <c r="U18" s="322" cm="1">
        <f t="array" ref="U18">_xlfn.XLOOKUP(
   $B$4&amp;" "&amp;$B18,
   Actuals!$D:$D,
   _xlfn.XLOOKUP(
      U$6,
      Actuals!$H$3:$BD$3,
      Actuals!$H:$BD
   )
)</f>
        <v>0</v>
      </c>
      <c r="V18" s="322" cm="1">
        <f t="array" ref="V18">_xlfn.XLOOKUP(
   $B$4&amp;" "&amp;$B18,
   Actuals!$D:$D,
   _xlfn.XLOOKUP(
      V$6,
      Actuals!$H$3:$BD$3,
      Actuals!$H:$BD
   )
)</f>
        <v>0</v>
      </c>
      <c r="W18" s="322" cm="1">
        <f t="array" ref="W18">_xlfn.XLOOKUP(
   $B$4&amp;" "&amp;$B18,
   Actuals!$D:$D,
   _xlfn.XLOOKUP(
      W$6,
      Actuals!$H$3:$BD$3,
      Actuals!$H:$BD
   )
)</f>
        <v>0</v>
      </c>
      <c r="X18" s="322" cm="1">
        <f t="array" ref="X18">_xlfn.XLOOKUP(
   $B$4&amp;" "&amp;$B18,
   Actuals!$D:$D,
   _xlfn.XLOOKUP(
      X$6,
      Actuals!$H$3:$BD$3,
      Actuals!$H:$BD
   )
)</f>
        <v>0</v>
      </c>
      <c r="Y18" s="322" cm="1">
        <f t="array" ref="Y18">_xlfn.XLOOKUP(
   $B$4&amp;" "&amp;$B18,
   Actuals!$D:$D,
   _xlfn.XLOOKUP(
      Y$6,
      Actuals!$H$3:$BD$3,
      Actuals!$H:$BD
   )
)</f>
        <v>0</v>
      </c>
      <c r="Z18" s="322" cm="1">
        <f t="array" ref="Z18">_xlfn.XLOOKUP(
   $B$4&amp;" "&amp;$B18,
   Actuals!$D:$D,
   _xlfn.XLOOKUP(
      Z$6,
      Actuals!$H$3:$BD$3,
      Actuals!$H:$BD
   )
)</f>
        <v>0</v>
      </c>
      <c r="AA18" s="322" cm="1">
        <f t="array" ref="AA18">_xlfn.XLOOKUP(
   $B$4&amp;" "&amp;$B18,
   Actuals!$D:$D,
   _xlfn.XLOOKUP(
      AA$6,
      Actuals!$H$3:$BD$3,
      Actuals!$H:$BD
   )
)</f>
        <v>0</v>
      </c>
      <c r="AB18" s="322" cm="1">
        <f t="array" ref="AB18">_xlfn.XLOOKUP(
   $B$4&amp;" "&amp;$B18,
   Actuals!$D:$D,
   _xlfn.XLOOKUP(
      AB$6,
      Actuals!$H$3:$BD$3,
      Actuals!$H:$BD
   )
)</f>
        <v>0</v>
      </c>
      <c r="AC18" s="322" cm="1">
        <f t="array" ref="AC18">_xlfn.XLOOKUP(
   $B$4&amp;" "&amp;$B18,
   Actuals!$D:$D,
   _xlfn.XLOOKUP(
      AC$6,
      Actuals!$H$3:$BD$3,
      Actuals!$H:$BD
   )
)</f>
        <v>0</v>
      </c>
      <c r="AD18" s="322" cm="1">
        <f t="array" ref="AD18">_xlfn.XLOOKUP(
   $B$4&amp;" "&amp;$B18,
   Actuals!$D:$D,
   _xlfn.XLOOKUP(
      AD$6,
      Actuals!$H$3:$BD$3,
      Actuals!$H:$BD
   )
)</f>
        <v>0</v>
      </c>
      <c r="AE18" s="322" cm="1">
        <f t="array" ref="AE18">_xlfn.XLOOKUP(
   $B$4&amp;" "&amp;$B18,
   Actuals!$D:$D,
   _xlfn.XLOOKUP(
      AE$6,
      Actuals!$H$3:$BD$3,
      Actuals!$H:$BD
   )
)</f>
        <v>0</v>
      </c>
      <c r="AF18" s="322" t="e" cm="1">
        <f t="array" ref="AF18">_xlfn.XLOOKUP(
   $B$4&amp;" "&amp;$B18,
   Actuals!$D:$D,
   _xlfn.XLOOKUP(
      AF$6,
      Actuals!$H$3:$BD$3,
      Actuals!$H:$BD
   )
)</f>
        <v>#DIV/0!</v>
      </c>
      <c r="AG18" s="322" cm="1">
        <f t="array" ref="AG18">_xlfn.XLOOKUP(
   $B$4&amp;" "&amp;$B18,
   Actuals!$D:$D,
   _xlfn.XLOOKUP(
      AG$6,
      Actuals!$H$3:$BD$3,
      Actuals!$H:$BD
   )
)</f>
        <v>0</v>
      </c>
      <c r="AH18" s="322" cm="1">
        <f t="array" ref="AH18">_xlfn.XLOOKUP(
   $B$4&amp;" "&amp;$B18,
   Actuals!$D:$D,
   _xlfn.XLOOKUP(
      AH$6,
      Actuals!$H$3:$BD$3,
      Actuals!$H:$BD
   )
)</f>
        <v>1</v>
      </c>
      <c r="AI18" s="322" t="e" cm="1">
        <f t="array" ref="AI18">_xlfn.XLOOKUP(
   $B$4&amp;" "&amp;$B18,
   Actuals!$D:$D,
   _xlfn.XLOOKUP(
      AI$6,
      Actuals!$H$3:$BD$3,
      Actuals!$H:$BD
   )
)</f>
        <v>#DIV/0!</v>
      </c>
      <c r="AJ18" s="322" t="e" cm="1">
        <f t="array" ref="AJ18">_xlfn.XLOOKUP(
   $B$4&amp;" "&amp;$B18,
   Actuals!$D:$D,
   _xlfn.XLOOKUP(
      AJ$6,
      Actuals!$H$3:$BD$3,
      Actuals!$H:$BD
   )
)</f>
        <v>#DIV/0!</v>
      </c>
      <c r="AK18" s="322" cm="1">
        <f t="array" ref="AK18">_xlfn.XLOOKUP(
   $B$4&amp;" "&amp;$B18,
   Actuals!$D:$D,
   _xlfn.XLOOKUP(
      AK$6,
      Actuals!$H$3:$BD$3,
      Actuals!$H:$BD
   )
)</f>
        <v>1</v>
      </c>
      <c r="AL18" s="322" cm="1">
        <f t="array" ref="AL18">_xlfn.XLOOKUP(
   $B$4&amp;" "&amp;$B18,
   Actuals!$D:$D,
   _xlfn.XLOOKUP(
      AL$6,
      Actuals!$H$3:$BD$3,
      Actuals!$H:$BD
   )
)</f>
        <v>0.5</v>
      </c>
      <c r="AM18" s="322" cm="1">
        <f t="array" ref="AM18">_xlfn.XLOOKUP(
   $B$4&amp;" "&amp;$B18,
   Actuals!$D:$D,
   _xlfn.XLOOKUP(
      AM$6,
      Actuals!$H$3:$BD$3,
      Actuals!$H:$BD
   )
)</f>
        <v>0.66666666666666663</v>
      </c>
      <c r="AN18" s="322" cm="1">
        <f t="array" ref="AN18">_xlfn.XLOOKUP(
   $B$4&amp;" "&amp;$B18,
   Actuals!$D:$D,
   _xlfn.XLOOKUP(
      AN$6,
      Actuals!$H$3:$BD$3,
      Actuals!$H:$BD
   )
)</f>
        <v>6</v>
      </c>
      <c r="AO18" s="322" t="e" cm="1">
        <f t="array" ref="AO18">_xlfn.XLOOKUP(
   $B$4&amp;" "&amp;$B18,
   Actuals!$D:$D,
   _xlfn.XLOOKUP(
      AO$6,
      Actuals!$H$3:$BD$3,
      Actuals!$H:$BD
   )
)</f>
        <v>#DIV/0!</v>
      </c>
      <c r="AP18" s="322" t="e" cm="1">
        <f t="array" ref="AP18">_xlfn.XLOOKUP(
   $B$4&amp;" "&amp;$B18,
   Actuals!$D:$D,
   _xlfn.XLOOKUP(
      AP$6,
      Actuals!$H$3:$BD$3,
      Actuals!$H:$BD
   )
)</f>
        <v>#DIV/0!</v>
      </c>
      <c r="AQ18" s="322" t="e" cm="1">
        <f t="array" ref="AQ18">_xlfn.XLOOKUP(
   $B$4&amp;" "&amp;$B18,
   Actuals!$D:$D,
   _xlfn.XLOOKUP(
      AQ$6,
      Actuals!$H$3:$BD$3,
      Actuals!$H:$BD
   )
)</f>
        <v>#DIV/0!</v>
      </c>
      <c r="AR18" s="322" t="e" cm="1">
        <f t="array" ref="AR18">_xlfn.XLOOKUP(
   $B$4&amp;" "&amp;$B18,
   Actuals!$D:$D,
   _xlfn.XLOOKUP(
      AR$6,
      Actuals!$H$3:$BD$3,
      Actuals!$H:$BD
   )
)</f>
        <v>#DIV/0!</v>
      </c>
      <c r="AS18" s="322" t="e" cm="1">
        <f t="array" ref="AS18">_xlfn.XLOOKUP(
   $B$4&amp;" "&amp;$B18,
   Actuals!$D:$D,
   _xlfn.XLOOKUP(
      AS$6,
      Actuals!$H$3:$BD$3,
      Actuals!$H:$BD
   )
)</f>
        <v>#DIV/0!</v>
      </c>
      <c r="AT18" s="322" t="e" cm="1">
        <f t="array" ref="AT18">_xlfn.XLOOKUP(
   $B$4&amp;" "&amp;$B18,
   Actuals!$D:$D,
   _xlfn.XLOOKUP(
      AT$6,
      Actuals!$H$3:$BD$3,
      Actuals!$H:$BD
   )
)</f>
        <v>#DIV/0!</v>
      </c>
      <c r="AU18" s="322" t="e" cm="1">
        <f t="array" ref="AU18">_xlfn.XLOOKUP(
   $B$4&amp;" "&amp;$B18,
   Actuals!$D:$D,
   _xlfn.XLOOKUP(
      AU$6,
      Actuals!$H$3:$BD$3,
      Actuals!$H:$BD
   )
)</f>
        <v>#DIV/0!</v>
      </c>
      <c r="AV18" s="322" t="e" cm="1">
        <f t="array" ref="AV18">_xlfn.XLOOKUP(
   $B$4&amp;" "&amp;$B18,
   Actuals!$D:$D,
   _xlfn.XLOOKUP(
      AV$6,
      Actuals!$H$3:$BD$3,
      Actuals!$H:$BD
   )
)</f>
        <v>#DIV/0!</v>
      </c>
      <c r="AW18" s="322" t="e" cm="1">
        <f t="array" ref="AW18">_xlfn.XLOOKUP(
   $B$4&amp;" "&amp;$B18,
   Actuals!$D:$D,
   _xlfn.XLOOKUP(
      AW$6,
      Actuals!$H$3:$BD$3,
      Actuals!$H:$BD
   )
)</f>
        <v>#DIV/0!</v>
      </c>
      <c r="AX18" s="322" t="e" cm="1">
        <f t="array" ref="AX18">_xlfn.XLOOKUP(
   $B$4&amp;" "&amp;$B18,
   Actuals!$D:$D,
   _xlfn.XLOOKUP(
      AX$6,
      Actuals!$H$3:$BD$3,
      Actuals!$H:$BD
   )
)</f>
        <v>#DIV/0!</v>
      </c>
      <c r="AY18" s="322" t="e" cm="1">
        <f t="array" ref="AY18">_xlfn.XLOOKUP(
   $B$4&amp;" "&amp;$B18,
   Actuals!$D:$D,
   _xlfn.XLOOKUP(
      AY$6,
      Actuals!$H$3:$BD$3,
      Actuals!$H:$BD
   )
)</f>
        <v>#DIV/0!</v>
      </c>
      <c r="AZ18" s="322" t="e" cm="1">
        <f t="array" ref="AZ18">_xlfn.XLOOKUP(
   $B$4&amp;" "&amp;$B18,
   Actuals!$D:$D,
   _xlfn.XLOOKUP(
      AZ$6,
      Actuals!$H$3:$BD$3,
      Actuals!$H:$BD
   )
)</f>
        <v>#DIV/0!</v>
      </c>
      <c r="BA18" s="322"/>
      <c r="BB18" s="322" t="str" cm="1">
        <f t="array" ref="BB18">_xlfn.XLOOKUP(
   $B$4&amp;" "&amp;$B18,
   Actuals!$D:$D,
   _xlfn.XLOOKUP(
      BB$7,
      Actuals!$H$3:$BM$3,
      Actuals!$H:$BM
   )
)</f>
        <v>-</v>
      </c>
      <c r="BC18" s="322" t="str">
        <f>IFERROR(VLOOKUP($B$4&amp;" "&amp;$B18,Budget!$AG$4:$AL$132,$BB$5+1,FALSE),"n.a.")</f>
        <v>-</v>
      </c>
      <c r="BD18" s="322" t="str">
        <f t="shared" ref="BD18" si="36">IFERROR(BB18-BC18,"-")</f>
        <v>-</v>
      </c>
      <c r="BE18" s="322"/>
      <c r="BF18" s="322" t="str" cm="1">
        <f t="array" ref="BF18">_xlfn.XLOOKUP(
   $B$4&amp;" "&amp;$B18,
   Actuals!$D:$D,
   _xlfn.XLOOKUP(
      BF$7,
      Actuals!$H$3:$BM$3,
      Actuals!$H:$BM
   )
)</f>
        <v>-</v>
      </c>
      <c r="BG18" s="322" t="str">
        <f>IFERROR(VLOOKUP($B$4&amp;" "&amp;$B18,Budget!$AG$4:$AL$132,$BF$5+1,FALSE),"n.a.")</f>
        <v>-</v>
      </c>
      <c r="BH18" s="322" t="str">
        <f t="shared" ref="BH18:BH20" si="37">IFERROR(BF18-BG18,"-")</f>
        <v>-</v>
      </c>
      <c r="BI18" s="322"/>
      <c r="BJ18" s="322" t="str" cm="1">
        <f t="array" ref="BJ18">_xlfn.XLOOKUP(
   $B$4&amp;" "&amp;$B18,
   Actuals!$D:$D,
   _xlfn.XLOOKUP(
      BJ$7,
      Actuals!$H$3:$BM$3,
      Actuals!$H:$BM
   )
)</f>
        <v>-</v>
      </c>
      <c r="BK18" s="322" t="str">
        <f>IFERROR(VLOOKUP($B$4&amp;" "&amp;$B18,Budget!$AG$4:$AL$132,$BJ$5+1,FALSE),"n.a.")</f>
        <v>-</v>
      </c>
      <c r="BL18" s="322" t="str">
        <f t="shared" ref="BL18:BL20" si="38">IFERROR(BJ18-BK18,"-")</f>
        <v>-</v>
      </c>
      <c r="BM18" s="322"/>
      <c r="BN18" s="322" t="str" cm="1">
        <f t="array" ref="BN18">_xlfn.XLOOKUP(
   $B$4&amp;" "&amp;$B18,
   Actuals!$D:$D,
   _xlfn.XLOOKUP(
      BN$7,
      Actuals!$H$3:$BM$3,
      Actuals!$H:$BM
   )
)</f>
        <v>-</v>
      </c>
      <c r="BO18" s="322" t="str">
        <f>IFERROR(VLOOKUP($B$4&amp;" "&amp;$B18,Budget!$AG$4:$AL$132,$BN$5+1,FALSE),"n.a.")</f>
        <v>-</v>
      </c>
      <c r="BP18" s="322"/>
      <c r="BQ18" s="322"/>
      <c r="BR18" s="322" t="e" cm="1">
        <f t="array" aca="1" ref="BR18" ca="1">_xlfn.XLOOKUP(
   $B$4&amp;" "&amp;$B18,
   Actuals!$D:$D,
   _xlfn.XLOOKUP(
      BR$6,
      Actuals!$H$3:$BM$3,
      Actuals!$H:$BM
   )
)</f>
        <v>#DIV/0!</v>
      </c>
      <c r="BS18" s="322">
        <f ca="1">VLOOKUP($B$4&amp;" "&amp;$B18,Budget!$AG$4:$AL$132,6,FALSE)</f>
        <v>0</v>
      </c>
      <c r="BT18" s="322" t="e">
        <f t="shared" ca="1" si="35"/>
        <v>#DIV/0!</v>
      </c>
      <c r="BU18" s="322"/>
      <c r="BV18" s="322" t="e" cm="1">
        <f t="array" ref="BV18">_xlfn.XLOOKUP(
   $B$4&amp;" "&amp;$B18,
   Actuals!$D:$D,
   _xlfn.XLOOKUP(
      BV$6,
      Actuals!$H$3:$BM$3,
      Actuals!$H:$BM
   )
)</f>
        <v>#DIV/0!</v>
      </c>
    </row>
    <row r="19" spans="2:76">
      <c r="B19" s="26" t="s">
        <v>76</v>
      </c>
      <c r="C19" s="139" t="s">
        <v>49</v>
      </c>
      <c r="D19" s="171" t="str">
        <f>VLOOKUP($B$4&amp;" "&amp;$B19,Actuals!$D$4:$AG$131,3,FALSE)</f>
        <v>#</v>
      </c>
      <c r="E19" s="266" cm="1">
        <f t="array" ref="E19">_xlfn.XLOOKUP(
   $B$4&amp;" "&amp;$B19,
   Actuals!$D:$D,
   _xlfn.XLOOKUP(
      E$6,
      Actuals!$H$3:$BD$3,
      Actuals!$H:$BD
   )
)</f>
        <v>49000</v>
      </c>
      <c r="F19" s="266" cm="1">
        <f t="array" ref="F19">_xlfn.XLOOKUP(
   $B$4&amp;" "&amp;$B19,
   Actuals!$D:$D,
   _xlfn.XLOOKUP(
      F$6,
      Actuals!$H$3:$BD$3,
      Actuals!$H:$BD
   )
)</f>
        <v>0</v>
      </c>
      <c r="G19" s="266" cm="1">
        <f t="array" ref="G19">_xlfn.XLOOKUP(
   $B$4&amp;" "&amp;$B19,
   Actuals!$D:$D,
   _xlfn.XLOOKUP(
      G$6,
      Actuals!$H$3:$BD$3,
      Actuals!$H:$BD
   )
)</f>
        <v>67000</v>
      </c>
      <c r="H19" s="266" cm="1">
        <f t="array" ref="H19">_xlfn.XLOOKUP(
   $B$4&amp;" "&amp;$B19,
   Actuals!$D:$D,
   _xlfn.XLOOKUP(
      H$6,
      Actuals!$H$3:$BD$3,
      Actuals!$H:$BD
   )
)</f>
        <v>6250</v>
      </c>
      <c r="I19" s="266" cm="1">
        <f t="array" ref="I19">_xlfn.XLOOKUP(
   $B$4&amp;" "&amp;$B19,
   Actuals!$D:$D,
   _xlfn.XLOOKUP(
      I$6,
      Actuals!$H$3:$BD$3,
      Actuals!$H:$BD
   )
)</f>
        <v>0</v>
      </c>
      <c r="J19" s="266" cm="1">
        <f t="array" ref="J19">_xlfn.XLOOKUP(
   $B$4&amp;" "&amp;$B19,
   Actuals!$D:$D,
   _xlfn.XLOOKUP(
      J$6,
      Actuals!$H$3:$BD$3,
      Actuals!$H:$BD
   )
)</f>
        <v>198625</v>
      </c>
      <c r="K19" s="266" cm="1">
        <f t="array" ref="K19">_xlfn.XLOOKUP(
   $B$4&amp;" "&amp;$B19,
   Actuals!$D:$D,
   _xlfn.XLOOKUP(
      K$6,
      Actuals!$H$3:$BD$3,
      Actuals!$H:$BD
   )
)</f>
        <v>0</v>
      </c>
      <c r="L19" s="266" cm="1">
        <f t="array" ref="L19">_xlfn.XLOOKUP(
   $B$4&amp;" "&amp;$B19,
   Actuals!$D:$D,
   _xlfn.XLOOKUP(
      L$6,
      Actuals!$H$3:$BD$3,
      Actuals!$H:$BD
   )
)</f>
        <v>181300</v>
      </c>
      <c r="M19" s="266" cm="1">
        <f t="array" ref="M19">_xlfn.XLOOKUP(
   $B$4&amp;" "&amp;$B19,
   Actuals!$D:$D,
   _xlfn.XLOOKUP(
      M$6,
      Actuals!$H$3:$BD$3,
      Actuals!$H:$BD
   )
)</f>
        <v>0</v>
      </c>
      <c r="N19" s="266" cm="1">
        <f t="array" ref="N19">_xlfn.XLOOKUP(
   $B$4&amp;" "&amp;$B19,
   Actuals!$D:$D,
   _xlfn.XLOOKUP(
      N$6,
      Actuals!$H$3:$BD$3,
      Actuals!$H:$BD
   )
)</f>
        <v>0</v>
      </c>
      <c r="O19" s="211" cm="1">
        <f t="array" ref="O19">_xlfn.XLOOKUP(
   $B$4&amp;" "&amp;$B19,
   Actuals!$D:$D,
   _xlfn.XLOOKUP(
      O$6,
      Actuals!$H$3:$BD$3,
      Actuals!$H:$BD
   )
)</f>
        <v>0</v>
      </c>
      <c r="P19" s="211" cm="1">
        <f t="array" ref="P19">_xlfn.XLOOKUP(
   $B$4&amp;" "&amp;$B19,
   Actuals!$D:$D,
   _xlfn.XLOOKUP(
      P$6,
      Actuals!$H$3:$BD$3,
      Actuals!$H:$BD
   )
)</f>
        <v>0</v>
      </c>
      <c r="Q19" s="211" cm="1">
        <f t="array" ref="Q19">_xlfn.XLOOKUP(
   $B$4&amp;" "&amp;$B19,
   Actuals!$D:$D,
   _xlfn.XLOOKUP(
      Q$6,
      Actuals!$H$3:$BD$3,
      Actuals!$H:$BD
   )
)</f>
        <v>0</v>
      </c>
      <c r="R19" s="211" cm="1">
        <f t="array" ref="R19">_xlfn.XLOOKUP(
   $B$4&amp;" "&amp;$B19,
   Actuals!$D:$D,
   _xlfn.XLOOKUP(
      R$6,
      Actuals!$H$3:$BD$3,
      Actuals!$H:$BD
   )
)</f>
        <v>0</v>
      </c>
      <c r="S19" s="211" cm="1">
        <f t="array" ref="S19">_xlfn.XLOOKUP(
   $B$4&amp;" "&amp;$B19,
   Actuals!$D:$D,
   _xlfn.XLOOKUP(
      S$6,
      Actuals!$H$3:$BD$3,
      Actuals!$H:$BD
   )
)</f>
        <v>0</v>
      </c>
      <c r="T19" s="211" cm="1">
        <f t="array" ref="T19">_xlfn.XLOOKUP(
   $B$4&amp;" "&amp;$B19,
   Actuals!$D:$D,
   _xlfn.XLOOKUP(
      T$6,
      Actuals!$H$3:$BD$3,
      Actuals!$H:$BD
   )
)</f>
        <v>0</v>
      </c>
      <c r="U19" s="211" cm="1">
        <f t="array" ref="U19">_xlfn.XLOOKUP(
   $B$4&amp;" "&amp;$B19,
   Actuals!$D:$D,
   _xlfn.XLOOKUP(
      U$6,
      Actuals!$H$3:$BD$3,
      Actuals!$H:$BD
   )
)</f>
        <v>0</v>
      </c>
      <c r="V19" s="211" cm="1">
        <f t="array" ref="V19">_xlfn.XLOOKUP(
   $B$4&amp;" "&amp;$B19,
   Actuals!$D:$D,
   _xlfn.XLOOKUP(
      V$6,
      Actuals!$H$3:$BD$3,
      Actuals!$H:$BD
   )
)</f>
        <v>0</v>
      </c>
      <c r="W19" s="211" cm="1">
        <f t="array" ref="W19">_xlfn.XLOOKUP(
   $B$4&amp;" "&amp;$B19,
   Actuals!$D:$D,
   _xlfn.XLOOKUP(
      W$6,
      Actuals!$H$3:$BD$3,
      Actuals!$H:$BD
   )
)</f>
        <v>0</v>
      </c>
      <c r="X19" s="211" cm="1">
        <f t="array" ref="X19">_xlfn.XLOOKUP(
   $B$4&amp;" "&amp;$B19,
   Actuals!$D:$D,
   _xlfn.XLOOKUP(
      X$6,
      Actuals!$H$3:$BD$3,
      Actuals!$H:$BD
   )
)</f>
        <v>0</v>
      </c>
      <c r="Y19" s="211" cm="1">
        <f t="array" ref="Y19">_xlfn.XLOOKUP(
   $B$4&amp;" "&amp;$B19,
   Actuals!$D:$D,
   _xlfn.XLOOKUP(
      Y$6,
      Actuals!$H$3:$BD$3,
      Actuals!$H:$BD
   )
)</f>
        <v>0</v>
      </c>
      <c r="Z19" s="211" cm="1">
        <f t="array" ref="Z19">_xlfn.XLOOKUP(
   $B$4&amp;" "&amp;$B19,
   Actuals!$D:$D,
   _xlfn.XLOOKUP(
      Z$6,
      Actuals!$H$3:$BD$3,
      Actuals!$H:$BD
   )
)</f>
        <v>0</v>
      </c>
      <c r="AA19" s="211" cm="1">
        <f t="array" ref="AA19">_xlfn.XLOOKUP(
   $B$4&amp;" "&amp;$B19,
   Actuals!$D:$D,
   _xlfn.XLOOKUP(
      AA$6,
      Actuals!$H$3:$BD$3,
      Actuals!$H:$BD
   )
)</f>
        <v>0</v>
      </c>
      <c r="AB19" s="211" cm="1">
        <f t="array" ref="AB19">_xlfn.XLOOKUP(
   $B$4&amp;" "&amp;$B19,
   Actuals!$D:$D,
   _xlfn.XLOOKUP(
      AB$6,
      Actuals!$H$3:$BD$3,
      Actuals!$H:$BD
   )
)</f>
        <v>0</v>
      </c>
      <c r="AC19" s="211" cm="1">
        <f t="array" ref="AC19">_xlfn.XLOOKUP(
   $B$4&amp;" "&amp;$B19,
   Actuals!$D:$D,
   _xlfn.XLOOKUP(
      AC$6,
      Actuals!$H$3:$BD$3,
      Actuals!$H:$BD
   )
)</f>
        <v>0</v>
      </c>
      <c r="AD19" s="211" cm="1">
        <f t="array" ref="AD19">_xlfn.XLOOKUP(
   $B$4&amp;" "&amp;$B19,
   Actuals!$D:$D,
   _xlfn.XLOOKUP(
      AD$6,
      Actuals!$H$3:$BD$3,
      Actuals!$H:$BD
   )
)</f>
        <v>0</v>
      </c>
      <c r="AE19" s="211" cm="1">
        <f t="array" ref="AE19">_xlfn.XLOOKUP(
   $B$4&amp;" "&amp;$B19,
   Actuals!$D:$D,
   _xlfn.XLOOKUP(
      AE$6,
      Actuals!$H$3:$BD$3,
      Actuals!$H:$BD
   )
)</f>
        <v>0</v>
      </c>
      <c r="AF19" s="211" cm="1">
        <f t="array" ref="AF19">_xlfn.XLOOKUP(
   $B$4&amp;" "&amp;$B19,
   Actuals!$D:$D,
   _xlfn.XLOOKUP(
      AF$6,
      Actuals!$H$3:$BD$3,
      Actuals!$H:$BD
   )
)</f>
        <v>0</v>
      </c>
      <c r="AG19" s="211" cm="1">
        <f t="array" ref="AG19">_xlfn.XLOOKUP(
   $B$4&amp;" "&amp;$B19,
   Actuals!$D:$D,
   _xlfn.XLOOKUP(
      AG$6,
      Actuals!$H$3:$BD$3,
      Actuals!$H:$BD
   )
)</f>
        <v>0</v>
      </c>
      <c r="AH19" s="211" cm="1">
        <f t="array" ref="AH19">_xlfn.XLOOKUP(
   $B$4&amp;" "&amp;$B19,
   Actuals!$D:$D,
   _xlfn.XLOOKUP(
      AH$6,
      Actuals!$H$3:$BD$3,
      Actuals!$H:$BD
   )
)</f>
        <v>0</v>
      </c>
      <c r="AI19" s="211" cm="1">
        <f t="array" ref="AI19">_xlfn.XLOOKUP(
   $B$4&amp;" "&amp;$B19,
   Actuals!$D:$D,
   _xlfn.XLOOKUP(
      AI$6,
      Actuals!$H$3:$BD$3,
      Actuals!$H:$BD
   )
)</f>
        <v>0</v>
      </c>
      <c r="AJ19" s="211" cm="1">
        <f t="array" ref="AJ19">_xlfn.XLOOKUP(
   $B$4&amp;" "&amp;$B19,
   Actuals!$D:$D,
   _xlfn.XLOOKUP(
      AJ$6,
      Actuals!$H$3:$BD$3,
      Actuals!$H:$BD
   )
)</f>
        <v>0</v>
      </c>
      <c r="AK19" s="211" cm="1">
        <f t="array" ref="AK19">_xlfn.XLOOKUP(
   $B$4&amp;" "&amp;$B19,
   Actuals!$D:$D,
   _xlfn.XLOOKUP(
      AK$6,
      Actuals!$H$3:$BD$3,
      Actuals!$H:$BD
   )
)</f>
        <v>0</v>
      </c>
      <c r="AL19" s="211" cm="1">
        <f t="array" ref="AL19">_xlfn.XLOOKUP(
   $B$4&amp;" "&amp;$B19,
   Actuals!$D:$D,
   _xlfn.XLOOKUP(
      AL$6,
      Actuals!$H$3:$BD$3,
      Actuals!$H:$BD
   )
)</f>
        <v>0</v>
      </c>
      <c r="AM19" s="211" cm="1">
        <f t="array" ref="AM19">_xlfn.XLOOKUP(
   $B$4&amp;" "&amp;$B19,
   Actuals!$D:$D,
   _xlfn.XLOOKUP(
      AM$6,
      Actuals!$H$3:$BD$3,
      Actuals!$H:$BD
   )
)</f>
        <v>0</v>
      </c>
      <c r="AN19" s="211" cm="1">
        <f t="array" ref="AN19">_xlfn.XLOOKUP(
   $B$4&amp;" "&amp;$B19,
   Actuals!$D:$D,
   _xlfn.XLOOKUP(
      AN$6,
      Actuals!$H$3:$BD$3,
      Actuals!$H:$BD
   )
)</f>
        <v>0</v>
      </c>
      <c r="AO19" s="211" cm="1">
        <f t="array" ref="AO19">_xlfn.XLOOKUP(
   $B$4&amp;" "&amp;$B19,
   Actuals!$D:$D,
   _xlfn.XLOOKUP(
      AO$6,
      Actuals!$H$3:$BD$3,
      Actuals!$H:$BD
   )
)</f>
        <v>0</v>
      </c>
      <c r="AP19" s="211" cm="1">
        <f t="array" ref="AP19">_xlfn.XLOOKUP(
   $B$4&amp;" "&amp;$B19,
   Actuals!$D:$D,
   _xlfn.XLOOKUP(
      AP$6,
      Actuals!$H$3:$BD$3,
      Actuals!$H:$BD
   )
)</f>
        <v>0</v>
      </c>
      <c r="AQ19" s="211" cm="1">
        <f t="array" ref="AQ19">_xlfn.XLOOKUP(
   $B$4&amp;" "&amp;$B19,
   Actuals!$D:$D,
   _xlfn.XLOOKUP(
      AQ$6,
      Actuals!$H$3:$BD$3,
      Actuals!$H:$BD
   )
)</f>
        <v>0</v>
      </c>
      <c r="AR19" s="211" cm="1">
        <f t="array" ref="AR19">_xlfn.XLOOKUP(
   $B$4&amp;" "&amp;$B19,
   Actuals!$D:$D,
   _xlfn.XLOOKUP(
      AR$6,
      Actuals!$H$3:$BD$3,
      Actuals!$H:$BD
   )
)</f>
        <v>0</v>
      </c>
      <c r="AS19" s="211" cm="1">
        <f t="array" ref="AS19">_xlfn.XLOOKUP(
   $B$4&amp;" "&amp;$B19,
   Actuals!$D:$D,
   _xlfn.XLOOKUP(
      AS$6,
      Actuals!$H$3:$BD$3,
      Actuals!$H:$BD
   )
)</f>
        <v>0</v>
      </c>
      <c r="AT19" s="211" cm="1">
        <f t="array" ref="AT19">_xlfn.XLOOKUP(
   $B$4&amp;" "&amp;$B19,
   Actuals!$D:$D,
   _xlfn.XLOOKUP(
      AT$6,
      Actuals!$H$3:$BD$3,
      Actuals!$H:$BD
   )
)</f>
        <v>0</v>
      </c>
      <c r="AU19" s="211" cm="1">
        <f t="array" ref="AU19">_xlfn.XLOOKUP(
   $B$4&amp;" "&amp;$B19,
   Actuals!$D:$D,
   _xlfn.XLOOKUP(
      AU$6,
      Actuals!$H$3:$BD$3,
      Actuals!$H:$BD
   )
)</f>
        <v>0</v>
      </c>
      <c r="AV19" s="211" cm="1">
        <f t="array" ref="AV19">_xlfn.XLOOKUP(
   $B$4&amp;" "&amp;$B19,
   Actuals!$D:$D,
   _xlfn.XLOOKUP(
      AV$6,
      Actuals!$H$3:$BD$3,
      Actuals!$H:$BD
   )
)</f>
        <v>0</v>
      </c>
      <c r="AW19" s="211" cm="1">
        <f t="array" ref="AW19">_xlfn.XLOOKUP(
   $B$4&amp;" "&amp;$B19,
   Actuals!$D:$D,
   _xlfn.XLOOKUP(
      AW$6,
      Actuals!$H$3:$BD$3,
      Actuals!$H:$BD
   )
)</f>
        <v>0</v>
      </c>
      <c r="AX19" s="211" cm="1">
        <f t="array" ref="AX19">_xlfn.XLOOKUP(
   $B$4&amp;" "&amp;$B19,
   Actuals!$D:$D,
   _xlfn.XLOOKUP(
      AX$6,
      Actuals!$H$3:$BD$3,
      Actuals!$H:$BD
   )
)</f>
        <v>0</v>
      </c>
      <c r="AY19" s="211" cm="1">
        <f t="array" ref="AY19">_xlfn.XLOOKUP(
   $B$4&amp;" "&amp;$B19,
   Actuals!$D:$D,
   _xlfn.XLOOKUP(
      AY$6,
      Actuals!$H$3:$BD$3,
      Actuals!$H:$BD
   )
)</f>
        <v>0</v>
      </c>
      <c r="AZ19" s="211" cm="1">
        <f t="array" ref="AZ19">_xlfn.XLOOKUP(
   $B$4&amp;" "&amp;$B19,
   Actuals!$D:$D,
   _xlfn.XLOOKUP(
      AZ$6,
      Actuals!$H$3:$BD$3,
      Actuals!$H:$BD
   )
)</f>
        <v>0</v>
      </c>
      <c r="BA19" s="211"/>
      <c r="BB19" s="211" t="str" cm="1">
        <f t="array" ref="BB19">_xlfn.XLOOKUP(
   $B$4&amp;" "&amp;$B19,
   Actuals!$D:$D,
   _xlfn.XLOOKUP(
      BB$7,
      Actuals!$H$3:$BM$3,
      Actuals!$H:$BM
   )
)</f>
        <v>-</v>
      </c>
      <c r="BC19" s="211">
        <f>IFERROR(VLOOKUP($B$4&amp;" "&amp;$B19,Budget!$AG$4:$AL$132,$BB$5+1,FALSE),"n.a.")</f>
        <v>75000</v>
      </c>
      <c r="BD19" s="211" t="str">
        <f t="shared" ref="BD19" si="39">IFERROR(BB19-BC19,"-")</f>
        <v>-</v>
      </c>
      <c r="BE19" s="211"/>
      <c r="BF19" s="211" t="str" cm="1">
        <f t="array" ref="BF19">_xlfn.XLOOKUP(
   $B$4&amp;" "&amp;$B19,
   Actuals!$D:$D,
   _xlfn.XLOOKUP(
      BF$7,
      Actuals!$H$3:$BM$3,
      Actuals!$H:$BM
   )
)</f>
        <v>-</v>
      </c>
      <c r="BG19" s="211">
        <f>IFERROR(VLOOKUP($B$4&amp;" "&amp;$B19,Budget!$AG$4:$AL$132,$BF$5+1,FALSE),"n.a.")</f>
        <v>75000</v>
      </c>
      <c r="BH19" s="211" t="str">
        <f t="shared" si="37"/>
        <v>-</v>
      </c>
      <c r="BI19" s="211"/>
      <c r="BJ19" s="211" t="str" cm="1">
        <f t="array" ref="BJ19">_xlfn.XLOOKUP(
   $B$4&amp;" "&amp;$B19,
   Actuals!$D:$D,
   _xlfn.XLOOKUP(
      BJ$7,
      Actuals!$H$3:$BM$3,
      Actuals!$H:$BM
   )
)</f>
        <v>-</v>
      </c>
      <c r="BK19" s="211">
        <f>IFERROR(VLOOKUP($B$4&amp;" "&amp;$B19,Budget!$AG$4:$AL$132,$BJ$5+1,FALSE),"n.a.")</f>
        <v>75000</v>
      </c>
      <c r="BL19" s="211" t="str">
        <f t="shared" si="38"/>
        <v>-</v>
      </c>
      <c r="BM19" s="211"/>
      <c r="BN19" s="211" t="str" cm="1">
        <f t="array" ref="BN19">_xlfn.XLOOKUP(
   $B$4&amp;" "&amp;$B19,
   Actuals!$D:$D,
   _xlfn.XLOOKUP(
      BN$7,
      Actuals!$H$3:$BM$3,
      Actuals!$H:$BM
   )
)</f>
        <v>-</v>
      </c>
      <c r="BO19" s="211">
        <f>IFERROR(VLOOKUP($B$4&amp;" "&amp;$B19,Budget!$AG$4:$AL$132,$BN$5+1,FALSE),"n.a.")</f>
        <v>75000</v>
      </c>
      <c r="BP19" s="211"/>
      <c r="BQ19" s="211"/>
      <c r="BR19" s="211" t="str" cm="1">
        <f t="array" aca="1" ref="BR19" ca="1">_xlfn.XLOOKUP(
   $B$4&amp;" "&amp;$B19,
   Actuals!$D:$D,
   _xlfn.XLOOKUP(
      BR$6,
      Actuals!$H$3:$BM$3,
      Actuals!$H:$BM
   )
)</f>
        <v>-</v>
      </c>
      <c r="BS19" s="211">
        <f ca="1">VLOOKUP($B$4&amp;" "&amp;$B19,Budget!$AG$4:$AL$132,6,FALSE)</f>
        <v>75000</v>
      </c>
      <c r="BT19" s="211" t="e">
        <f t="shared" ca="1" si="35"/>
        <v>#VALUE!</v>
      </c>
      <c r="BU19" s="211"/>
      <c r="BV19" s="211" t="str" cm="1">
        <f t="array" ref="BV19">_xlfn.XLOOKUP(
   $B$4&amp;" "&amp;$B19,
   Actuals!$D:$D,
   _xlfn.XLOOKUP(
      BV$6,
      Actuals!$H$3:$BM$3,
      Actuals!$H:$BM
   )
)</f>
        <v/>
      </c>
    </row>
    <row r="20" spans="2:76">
      <c r="B20" s="26" t="s">
        <v>77</v>
      </c>
      <c r="C20" s="139" t="s">
        <v>49</v>
      </c>
      <c r="D20" s="171" t="str">
        <f>VLOOKUP($B$4&amp;" "&amp;$B20,Actuals!$D$4:$AG$131,3,FALSE)</f>
        <v>#</v>
      </c>
      <c r="E20" s="168" cm="1">
        <f t="array" ref="E20">_xlfn.XLOOKUP(
   $B$4&amp;" "&amp;$B20,
   Actuals!$D:$D,
   _xlfn.XLOOKUP(
      E$6,
      Actuals!$H$3:$BD$3,
      Actuals!$H:$BD
   )
)</f>
        <v>12.857142857142858</v>
      </c>
      <c r="F20" s="168" cm="1">
        <f t="array" ref="F20">_xlfn.XLOOKUP(
   $B$4&amp;" "&amp;$B20,
   Actuals!$D:$D,
   _xlfn.XLOOKUP(
      F$6,
      Actuals!$H$3:$BD$3,
      Actuals!$H:$BD
   )
)</f>
        <v>0</v>
      </c>
      <c r="G20" s="168" cm="1">
        <f t="array" ref="G20">_xlfn.XLOOKUP(
   $B$4&amp;" "&amp;$B20,
   Actuals!$D:$D,
   _xlfn.XLOOKUP(
      G$6,
      Actuals!$H$3:$BD$3,
      Actuals!$H:$BD
   )
)</f>
        <v>21.571428571428573</v>
      </c>
      <c r="H20" s="168" cm="1">
        <f t="array" ref="H20">_xlfn.XLOOKUP(
   $B$4&amp;" "&amp;$B20,
   Actuals!$D:$D,
   _xlfn.XLOOKUP(
      H$6,
      Actuals!$H$3:$BD$3,
      Actuals!$H:$BD
   )
)</f>
        <v>0</v>
      </c>
      <c r="I20" s="168" cm="1">
        <f t="array" ref="I20">_xlfn.XLOOKUP(
   $B$4&amp;" "&amp;$B20,
   Actuals!$D:$D,
   _xlfn.XLOOKUP(
      I$6,
      Actuals!$H$3:$BD$3,
      Actuals!$H:$BD
   )
)</f>
        <v>0</v>
      </c>
      <c r="J20" s="168" cm="1">
        <f t="array" ref="J20">_xlfn.XLOOKUP(
   $B$4&amp;" "&amp;$B20,
   Actuals!$D:$D,
   _xlfn.XLOOKUP(
      J$6,
      Actuals!$H$3:$BD$3,
      Actuals!$H:$BD
   )
)</f>
        <v>34.428571428571431</v>
      </c>
      <c r="K20" s="168" cm="1">
        <f t="array" ref="K20">_xlfn.XLOOKUP(
   $B$4&amp;" "&amp;$B20,
   Actuals!$D:$D,
   _xlfn.XLOOKUP(
      K$6,
      Actuals!$H$3:$BD$3,
      Actuals!$H:$BD
   )
)</f>
        <v>0</v>
      </c>
      <c r="L20" s="168" cm="1">
        <f t="array" ref="L20">_xlfn.XLOOKUP(
   $B$4&amp;" "&amp;$B20,
   Actuals!$D:$D,
   _xlfn.XLOOKUP(
      L$6,
      Actuals!$H$3:$BD$3,
      Actuals!$H:$BD
   )
)</f>
        <v>16.142857142857142</v>
      </c>
      <c r="M20" s="168" cm="1">
        <f t="array" ref="M20">_xlfn.XLOOKUP(
   $B$4&amp;" "&amp;$B20,
   Actuals!$D:$D,
   _xlfn.XLOOKUP(
      M$6,
      Actuals!$H$3:$BD$3,
      Actuals!$H:$BD
   )
)</f>
        <v>0</v>
      </c>
      <c r="N20" s="168" cm="1">
        <f t="array" ref="N20">_xlfn.XLOOKUP(
   $B$4&amp;" "&amp;$B20,
   Actuals!$D:$D,
   _xlfn.XLOOKUP(
      N$6,
      Actuals!$H$3:$BD$3,
      Actuals!$H:$BD
   )
)</f>
        <v>0</v>
      </c>
      <c r="O20" s="292" cm="1">
        <f t="array" ref="O20">_xlfn.XLOOKUP(
   $B$4&amp;" "&amp;$B20,
   Actuals!$D:$D,
   _xlfn.XLOOKUP(
      O$6,
      Actuals!$H$3:$BD$3,
      Actuals!$H:$BD
   )
)</f>
        <v>0</v>
      </c>
      <c r="P20" s="292" cm="1">
        <f t="array" ref="P20">_xlfn.XLOOKUP(
   $B$4&amp;" "&amp;$B20,
   Actuals!$D:$D,
   _xlfn.XLOOKUP(
      P$6,
      Actuals!$H$3:$BD$3,
      Actuals!$H:$BD
   )
)</f>
        <v>0</v>
      </c>
      <c r="Q20" s="292" cm="1">
        <f t="array" ref="Q20">_xlfn.XLOOKUP(
   $B$4&amp;" "&amp;$B20,
   Actuals!$D:$D,
   _xlfn.XLOOKUP(
      Q$6,
      Actuals!$H$3:$BD$3,
      Actuals!$H:$BD
   )
)</f>
        <v>0</v>
      </c>
      <c r="R20" s="292" cm="1">
        <f t="array" ref="R20">_xlfn.XLOOKUP(
   $B$4&amp;" "&amp;$B20,
   Actuals!$D:$D,
   _xlfn.XLOOKUP(
      R$6,
      Actuals!$H$3:$BD$3,
      Actuals!$H:$BD
   )
)</f>
        <v>0</v>
      </c>
      <c r="S20" s="292" cm="1">
        <f t="array" ref="S20">_xlfn.XLOOKUP(
   $B$4&amp;" "&amp;$B20,
   Actuals!$D:$D,
   _xlfn.XLOOKUP(
      S$6,
      Actuals!$H$3:$BD$3,
      Actuals!$H:$BD
   )
)</f>
        <v>0</v>
      </c>
      <c r="T20" s="292" cm="1">
        <f t="array" ref="T20">_xlfn.XLOOKUP(
   $B$4&amp;" "&amp;$B20,
   Actuals!$D:$D,
   _xlfn.XLOOKUP(
      T$6,
      Actuals!$H$3:$BD$3,
      Actuals!$H:$BD
   )
)</f>
        <v>0</v>
      </c>
      <c r="U20" s="292" cm="1">
        <f t="array" ref="U20">_xlfn.XLOOKUP(
   $B$4&amp;" "&amp;$B20,
   Actuals!$D:$D,
   _xlfn.XLOOKUP(
      U$6,
      Actuals!$H$3:$BD$3,
      Actuals!$H:$BD
   )
)</f>
        <v>0</v>
      </c>
      <c r="V20" s="292" cm="1">
        <f t="array" ref="V20">_xlfn.XLOOKUP(
   $B$4&amp;" "&amp;$B20,
   Actuals!$D:$D,
   _xlfn.XLOOKUP(
      V$6,
      Actuals!$H$3:$BD$3,
      Actuals!$H:$BD
   )
)</f>
        <v>0</v>
      </c>
      <c r="W20" s="292" cm="1">
        <f t="array" ref="W20">_xlfn.XLOOKUP(
   $B$4&amp;" "&amp;$B20,
   Actuals!$D:$D,
   _xlfn.XLOOKUP(
      W$6,
      Actuals!$H$3:$BD$3,
      Actuals!$H:$BD
   )
)</f>
        <v>0</v>
      </c>
      <c r="X20" s="292" cm="1">
        <f t="array" ref="X20">_xlfn.XLOOKUP(
   $B$4&amp;" "&amp;$B20,
   Actuals!$D:$D,
   _xlfn.XLOOKUP(
      X$6,
      Actuals!$H$3:$BD$3,
      Actuals!$H:$BD
   )
)</f>
        <v>0</v>
      </c>
      <c r="Y20" s="292" cm="1">
        <f t="array" ref="Y20">_xlfn.XLOOKUP(
   $B$4&amp;" "&amp;$B20,
   Actuals!$D:$D,
   _xlfn.XLOOKUP(
      Y$6,
      Actuals!$H$3:$BD$3,
      Actuals!$H:$BD
   )
)</f>
        <v>0</v>
      </c>
      <c r="Z20" s="292" cm="1">
        <f t="array" ref="Z20">_xlfn.XLOOKUP(
   $B$4&amp;" "&amp;$B20,
   Actuals!$D:$D,
   _xlfn.XLOOKUP(
      Z$6,
      Actuals!$H$3:$BD$3,
      Actuals!$H:$BD
   )
)</f>
        <v>0</v>
      </c>
      <c r="AA20" s="292" cm="1">
        <f t="array" ref="AA20">_xlfn.XLOOKUP(
   $B$4&amp;" "&amp;$B20,
   Actuals!$D:$D,
   _xlfn.XLOOKUP(
      AA$6,
      Actuals!$H$3:$BD$3,
      Actuals!$H:$BD
   )
)</f>
        <v>0</v>
      </c>
      <c r="AB20" s="292" cm="1">
        <f t="array" ref="AB20">_xlfn.XLOOKUP(
   $B$4&amp;" "&amp;$B20,
   Actuals!$D:$D,
   _xlfn.XLOOKUP(
      AB$6,
      Actuals!$H$3:$BD$3,
      Actuals!$H:$BD
   )
)</f>
        <v>0</v>
      </c>
      <c r="AC20" s="292" cm="1">
        <f t="array" ref="AC20">_xlfn.XLOOKUP(
   $B$4&amp;" "&amp;$B20,
   Actuals!$D:$D,
   _xlfn.XLOOKUP(
      AC$6,
      Actuals!$H$3:$BD$3,
      Actuals!$H:$BD
   )
)</f>
        <v>0</v>
      </c>
      <c r="AD20" s="292" cm="1">
        <f t="array" ref="AD20">_xlfn.XLOOKUP(
   $B$4&amp;" "&amp;$B20,
   Actuals!$D:$D,
   _xlfn.XLOOKUP(
      AD$6,
      Actuals!$H$3:$BD$3,
      Actuals!$H:$BD
   )
)</f>
        <v>0</v>
      </c>
      <c r="AE20" s="292" cm="1">
        <f t="array" ref="AE20">_xlfn.XLOOKUP(
   $B$4&amp;" "&amp;$B20,
   Actuals!$D:$D,
   _xlfn.XLOOKUP(
      AE$6,
      Actuals!$H$3:$BD$3,
      Actuals!$H:$BD
   )
)</f>
        <v>0</v>
      </c>
      <c r="AF20" s="292" cm="1">
        <f t="array" ref="AF20">_xlfn.XLOOKUP(
   $B$4&amp;" "&amp;$B20,
   Actuals!$D:$D,
   _xlfn.XLOOKUP(
      AF$6,
      Actuals!$H$3:$BD$3,
      Actuals!$H:$BD
   )
)</f>
        <v>0</v>
      </c>
      <c r="AG20" s="292" cm="1">
        <f t="array" ref="AG20">_xlfn.XLOOKUP(
   $B$4&amp;" "&amp;$B20,
   Actuals!$D:$D,
   _xlfn.XLOOKUP(
      AG$6,
      Actuals!$H$3:$BD$3,
      Actuals!$H:$BD
   )
)</f>
        <v>0</v>
      </c>
      <c r="AH20" s="292" cm="1">
        <f t="array" ref="AH20">_xlfn.XLOOKUP(
   $B$4&amp;" "&amp;$B20,
   Actuals!$D:$D,
   _xlfn.XLOOKUP(
      AH$6,
      Actuals!$H$3:$BD$3,
      Actuals!$H:$BD
   )
)</f>
        <v>163.75</v>
      </c>
      <c r="AI20" s="292" cm="1">
        <f t="array" ref="AI20">_xlfn.XLOOKUP(
   $B$4&amp;" "&amp;$B20,
   Actuals!$D:$D,
   _xlfn.XLOOKUP(
      AI$6,
      Actuals!$H$3:$BD$3,
      Actuals!$H:$BD
   )
)</f>
        <v>26.25</v>
      </c>
      <c r="AJ20" s="292" cm="1">
        <f t="array" ref="AJ20">_xlfn.XLOOKUP(
   $B$4&amp;" "&amp;$B20,
   Actuals!$D:$D,
   _xlfn.XLOOKUP(
      AJ$6,
      Actuals!$H$3:$BD$3,
      Actuals!$H:$BD
   )
)</f>
        <v>133.33000000000001</v>
      </c>
      <c r="AK20" s="292" cm="1">
        <f t="array" ref="AK20">_xlfn.XLOOKUP(
   $B$4&amp;" "&amp;$B20,
   Actuals!$D:$D,
   _xlfn.XLOOKUP(
      AK$6,
      Actuals!$H$3:$BD$3,
      Actuals!$H:$BD
   )
)</f>
        <v>94.5</v>
      </c>
      <c r="AL20" s="292" cm="1">
        <f t="array" ref="AL20">_xlfn.XLOOKUP(
   $B$4&amp;" "&amp;$B20,
   Actuals!$D:$D,
   _xlfn.XLOOKUP(
      AL$6,
      Actuals!$H$3:$BD$3,
      Actuals!$H:$BD
   )
)</f>
        <v>127</v>
      </c>
      <c r="AM20" s="292" cm="1">
        <f t="array" ref="AM20">_xlfn.XLOOKUP(
   $B$4&amp;" "&amp;$B20,
   Actuals!$D:$D,
   _xlfn.XLOOKUP(
      AM$6,
      Actuals!$H$3:$BD$3,
      Actuals!$H:$BD
   )
)</f>
        <v>41.5</v>
      </c>
      <c r="AN20" s="292" cm="1">
        <f t="array" ref="AN20">_xlfn.XLOOKUP(
   $B$4&amp;" "&amp;$B20,
   Actuals!$D:$D,
   _xlfn.XLOOKUP(
      AN$6,
      Actuals!$H$3:$BD$3,
      Actuals!$H:$BD
   )
)</f>
        <v>40.17</v>
      </c>
      <c r="AO20" s="292" cm="1">
        <f t="array" ref="AO20">_xlfn.XLOOKUP(
   $B$4&amp;" "&amp;$B20,
   Actuals!$D:$D,
   _xlfn.XLOOKUP(
      AO$6,
      Actuals!$H$3:$BD$3,
      Actuals!$H:$BD
   )
)</f>
        <v>0</v>
      </c>
      <c r="AP20" s="292" cm="1">
        <f t="array" ref="AP20">_xlfn.XLOOKUP(
   $B$4&amp;" "&amp;$B20,
   Actuals!$D:$D,
   _xlfn.XLOOKUP(
      AP$6,
      Actuals!$H$3:$BD$3,
      Actuals!$H:$BD
   )
)</f>
        <v>0</v>
      </c>
      <c r="AQ20" s="292" cm="1">
        <f t="array" ref="AQ20">_xlfn.XLOOKUP(
   $B$4&amp;" "&amp;$B20,
   Actuals!$D:$D,
   _xlfn.XLOOKUP(
      AQ$6,
      Actuals!$H$3:$BD$3,
      Actuals!$H:$BD
   )
)</f>
        <v>0</v>
      </c>
      <c r="AR20" s="292" cm="1">
        <f t="array" ref="AR20">_xlfn.XLOOKUP(
   $B$4&amp;" "&amp;$B20,
   Actuals!$D:$D,
   _xlfn.XLOOKUP(
      AR$6,
      Actuals!$H$3:$BD$3,
      Actuals!$H:$BD
   )
)</f>
        <v>0</v>
      </c>
      <c r="AS20" s="292" cm="1">
        <f t="array" ref="AS20">_xlfn.XLOOKUP(
   $B$4&amp;" "&amp;$B20,
   Actuals!$D:$D,
   _xlfn.XLOOKUP(
      AS$6,
      Actuals!$H$3:$BD$3,
      Actuals!$H:$BD
   )
)</f>
        <v>0</v>
      </c>
      <c r="AT20" s="292" cm="1">
        <f t="array" ref="AT20">_xlfn.XLOOKUP(
   $B$4&amp;" "&amp;$B20,
   Actuals!$D:$D,
   _xlfn.XLOOKUP(
      AT$6,
      Actuals!$H$3:$BD$3,
      Actuals!$H:$BD
   )
)</f>
        <v>0</v>
      </c>
      <c r="AU20" s="292" cm="1">
        <f t="array" ref="AU20">_xlfn.XLOOKUP(
   $B$4&amp;" "&amp;$B20,
   Actuals!$D:$D,
   _xlfn.XLOOKUP(
      AU$6,
      Actuals!$H$3:$BD$3,
      Actuals!$H:$BD
   )
)</f>
        <v>0</v>
      </c>
      <c r="AV20" s="292" cm="1">
        <f t="array" ref="AV20">_xlfn.XLOOKUP(
   $B$4&amp;" "&amp;$B20,
   Actuals!$D:$D,
   _xlfn.XLOOKUP(
      AV$6,
      Actuals!$H$3:$BD$3,
      Actuals!$H:$BD
   )
)</f>
        <v>0</v>
      </c>
      <c r="AW20" s="292" cm="1">
        <f t="array" ref="AW20">_xlfn.XLOOKUP(
   $B$4&amp;" "&amp;$B20,
   Actuals!$D:$D,
   _xlfn.XLOOKUP(
      AW$6,
      Actuals!$H$3:$BD$3,
      Actuals!$H:$BD
   )
)</f>
        <v>0</v>
      </c>
      <c r="AX20" s="292" cm="1">
        <f t="array" ref="AX20">_xlfn.XLOOKUP(
   $B$4&amp;" "&amp;$B20,
   Actuals!$D:$D,
   _xlfn.XLOOKUP(
      AX$6,
      Actuals!$H$3:$BD$3,
      Actuals!$H:$BD
   )
)</f>
        <v>0</v>
      </c>
      <c r="AY20" s="292" cm="1">
        <f t="array" ref="AY20">_xlfn.XLOOKUP(
   $B$4&amp;" "&amp;$B20,
   Actuals!$D:$D,
   _xlfn.XLOOKUP(
      AY$6,
      Actuals!$H$3:$BD$3,
      Actuals!$H:$BD
   )
)</f>
        <v>0</v>
      </c>
      <c r="AZ20" s="292" cm="1">
        <f t="array" ref="AZ20">_xlfn.XLOOKUP(
   $B$4&amp;" "&amp;$B20,
   Actuals!$D:$D,
   _xlfn.XLOOKUP(
      AZ$6,
      Actuals!$H$3:$BD$3,
      Actuals!$H:$BD
   )
)</f>
        <v>0</v>
      </c>
      <c r="BA20" s="292"/>
      <c r="BB20" s="292" t="str" cm="1">
        <f t="array" ref="BB20">_xlfn.XLOOKUP(
   $B$4&amp;" "&amp;$B20,
   Actuals!$D:$D,
   _xlfn.XLOOKUP(
      BB$7,
      Actuals!$H$3:$BM$3,
      Actuals!$H:$BM
   )
)</f>
        <v>-</v>
      </c>
      <c r="BC20" s="292" t="str">
        <f>IFERROR(VLOOKUP($B$4&amp;" "&amp;$B20,Budget!$AG$4:$AL$132,$BB$5+1,FALSE),"n.a.")</f>
        <v>-</v>
      </c>
      <c r="BD20" s="292" t="str">
        <f t="shared" ref="BD20" si="40">IFERROR(BB20-BC20,"-")</f>
        <v>-</v>
      </c>
      <c r="BE20" s="292"/>
      <c r="BF20" s="292" t="str" cm="1">
        <f t="array" ref="BF20">_xlfn.XLOOKUP(
   $B$4&amp;" "&amp;$B20,
   Actuals!$D:$D,
   _xlfn.XLOOKUP(
      BF$7,
      Actuals!$H$3:$BM$3,
      Actuals!$H:$BM
   )
)</f>
        <v>-</v>
      </c>
      <c r="BG20" s="292" t="str">
        <f>IFERROR(VLOOKUP($B$4&amp;" "&amp;$B20,Budget!$AG$4:$AL$132,$BF$5+1,FALSE),"n.a.")</f>
        <v>-</v>
      </c>
      <c r="BH20" s="292" t="str">
        <f t="shared" si="37"/>
        <v>-</v>
      </c>
      <c r="BI20" s="292"/>
      <c r="BJ20" s="292" t="str" cm="1">
        <f t="array" ref="BJ20">_xlfn.XLOOKUP(
   $B$4&amp;" "&amp;$B20,
   Actuals!$D:$D,
   _xlfn.XLOOKUP(
      BJ$7,
      Actuals!$H$3:$BM$3,
      Actuals!$H:$BM
   )
)</f>
        <v>-</v>
      </c>
      <c r="BK20" s="292" t="str">
        <f>IFERROR(VLOOKUP($B$4&amp;" "&amp;$B20,Budget!$AG$4:$AL$132,$BJ$5+1,FALSE),"n.a.")</f>
        <v>-</v>
      </c>
      <c r="BL20" s="292" t="str">
        <f t="shared" si="38"/>
        <v>-</v>
      </c>
      <c r="BM20" s="292"/>
      <c r="BN20" s="292" t="str" cm="1">
        <f t="array" ref="BN20">_xlfn.XLOOKUP(
   $B$4&amp;" "&amp;$B20,
   Actuals!$D:$D,
   _xlfn.XLOOKUP(
      BN$7,
      Actuals!$H$3:$BM$3,
      Actuals!$H:$BM
   )
)</f>
        <v>-</v>
      </c>
      <c r="BO20" s="292" t="str">
        <f>IFERROR(VLOOKUP($B$4&amp;" "&amp;$B20,Budget!$AG$4:$AL$132,$BN$5+1,FALSE),"n.a.")</f>
        <v>-</v>
      </c>
      <c r="BP20" s="292"/>
      <c r="BQ20" s="292"/>
      <c r="BR20" s="292" cm="1">
        <f t="array" aca="1" ref="BR20" ca="1">_xlfn.XLOOKUP(
   $B$4&amp;" "&amp;$B20,
   Actuals!$D:$D,
   _xlfn.XLOOKUP(
      BR$6,
      Actuals!$H$3:$BM$3,
      Actuals!$H:$BM
   )
)</f>
        <v>0</v>
      </c>
      <c r="BS20" s="292">
        <f ca="1">VLOOKUP($B$4&amp;" "&amp;$B20,Budget!$AG$4:$AL$132,6,FALSE)</f>
        <v>0</v>
      </c>
      <c r="BT20" s="292">
        <f t="shared" ca="1" si="35"/>
        <v>0</v>
      </c>
      <c r="BU20" s="292"/>
      <c r="BV20" s="292" cm="1">
        <f t="array" ref="BV20">_xlfn.XLOOKUP(
   $B$4&amp;" "&amp;$B20,
   Actuals!$D:$D,
   _xlfn.XLOOKUP(
      BV$6,
      Actuals!$H$3:$BM$3,
      Actuals!$H:$BM
   )
)</f>
        <v>89.5</v>
      </c>
    </row>
    <row r="21" spans="2:76">
      <c r="C21" s="139"/>
      <c r="D21" s="171"/>
      <c r="O21" s="285"/>
      <c r="P21" s="285"/>
      <c r="Q21" s="285"/>
      <c r="R21" s="285"/>
      <c r="S21" s="285"/>
      <c r="T21" s="285"/>
      <c r="U21" s="285"/>
      <c r="V21" s="285"/>
      <c r="W21" s="285"/>
      <c r="X21" s="285"/>
      <c r="Y21" s="285"/>
      <c r="Z21" s="285"/>
      <c r="AA21" s="285"/>
      <c r="AB21" s="285"/>
      <c r="AC21" s="285"/>
      <c r="AD21" s="285"/>
      <c r="AE21" s="285"/>
      <c r="AF21" s="285"/>
      <c r="AG21" s="285"/>
      <c r="AH21" s="285"/>
      <c r="AI21" s="285"/>
      <c r="AJ21" s="285"/>
      <c r="AK21" s="285"/>
      <c r="AL21" s="285"/>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5"/>
      <c r="BK21" s="285"/>
      <c r="BL21" s="285"/>
      <c r="BM21" s="285"/>
      <c r="BN21" s="285"/>
      <c r="BO21" s="285"/>
      <c r="BP21" s="285"/>
      <c r="BQ21" s="285"/>
      <c r="BR21" s="285"/>
      <c r="BS21" s="285"/>
      <c r="BT21" s="285"/>
      <c r="BU21" s="285"/>
    </row>
    <row r="22" spans="2:76" ht="13">
      <c r="B22" s="126" t="s">
        <v>78</v>
      </c>
      <c r="C22" s="145"/>
      <c r="D22" s="176"/>
      <c r="E22" s="128"/>
      <c r="F22" s="128"/>
      <c r="G22" s="128"/>
      <c r="H22" s="128"/>
      <c r="I22" s="128"/>
      <c r="J22" s="128"/>
      <c r="K22" s="128"/>
      <c r="L22" s="128"/>
      <c r="M22" s="128"/>
      <c r="N22" s="128"/>
      <c r="O22" s="323"/>
      <c r="P22" s="323"/>
      <c r="Q22" s="323"/>
      <c r="R22" s="323"/>
      <c r="S22" s="323"/>
      <c r="T22" s="323"/>
      <c r="U22" s="323"/>
      <c r="V22" s="323"/>
      <c r="W22" s="323"/>
      <c r="X22" s="323"/>
      <c r="Y22" s="323"/>
      <c r="Z22" s="323"/>
      <c r="AA22" s="323"/>
      <c r="AB22" s="323"/>
      <c r="AC22" s="323"/>
      <c r="AD22" s="323"/>
      <c r="AE22" s="323"/>
      <c r="AF22" s="323"/>
      <c r="AG22" s="323"/>
      <c r="AH22" s="323"/>
      <c r="AI22" s="323"/>
      <c r="AJ22" s="323"/>
      <c r="AK22" s="323"/>
      <c r="AL22" s="323"/>
      <c r="AM22" s="323"/>
      <c r="AN22" s="323"/>
      <c r="AO22" s="323"/>
      <c r="AP22" s="323"/>
      <c r="AQ22" s="323"/>
      <c r="AR22" s="323"/>
      <c r="AS22" s="323"/>
      <c r="AT22" s="323"/>
      <c r="AU22" s="323"/>
      <c r="AV22" s="323"/>
      <c r="AW22" s="323"/>
      <c r="AX22" s="323"/>
      <c r="AY22" s="323"/>
      <c r="AZ22" s="323"/>
      <c r="BA22" s="323"/>
      <c r="BB22" s="323"/>
      <c r="BC22" s="323"/>
      <c r="BD22" s="323"/>
      <c r="BE22" s="323"/>
      <c r="BF22" s="323"/>
      <c r="BG22" s="323"/>
      <c r="BH22" s="323"/>
      <c r="BI22" s="323"/>
      <c r="BJ22" s="323"/>
      <c r="BK22" s="323"/>
      <c r="BL22" s="323"/>
      <c r="BM22" s="323"/>
      <c r="BN22" s="323"/>
      <c r="BO22" s="323"/>
      <c r="BP22" s="323"/>
      <c r="BQ22" s="323"/>
      <c r="BR22" s="323"/>
      <c r="BS22" s="323"/>
      <c r="BT22" s="323"/>
      <c r="BU22" s="323"/>
      <c r="BV22" s="323"/>
    </row>
    <row r="23" spans="2:76">
      <c r="B23" s="26" t="s">
        <v>79</v>
      </c>
      <c r="C23" s="139" t="s">
        <v>47</v>
      </c>
      <c r="D23" s="171" t="str">
        <f>VLOOKUP($B$4&amp;" "&amp;$B23,Actuals!$D$4:$AG$131,3,FALSE)</f>
        <v>#</v>
      </c>
      <c r="E23" s="270" cm="1">
        <f t="array" ref="E23">_xlfn.XLOOKUP(
   $B$4&amp;" "&amp;$B23,
   Actuals!$D:$D,
   _xlfn.XLOOKUP(
      E$6,
      Actuals!$H$3:$BD$3,
      Actuals!$H:$BD
   )
)</f>
        <v>2375783</v>
      </c>
      <c r="F23" s="270" cm="1">
        <f t="array" ref="F23">_xlfn.XLOOKUP(
   $B$4&amp;" "&amp;$B23,
   Actuals!$D:$D,
   _xlfn.XLOOKUP(
      F$6,
      Actuals!$H$3:$BD$3,
      Actuals!$H:$BD
   )
)</f>
        <v>1779783</v>
      </c>
      <c r="G23" s="270" cm="1">
        <f t="array" ref="G23">_xlfn.XLOOKUP(
   $B$4&amp;" "&amp;$B23,
   Actuals!$D:$D,
   _xlfn.XLOOKUP(
      G$6,
      Actuals!$H$3:$BD$3,
      Actuals!$H:$BD
   )
)</f>
        <v>1400000</v>
      </c>
      <c r="H23" s="270" cm="1">
        <f t="array" ref="H23">_xlfn.XLOOKUP(
   $B$4&amp;" "&amp;$B23,
   Actuals!$D:$D,
   _xlfn.XLOOKUP(
      H$6,
      Actuals!$H$3:$BD$3,
      Actuals!$H:$BD
   )
)</f>
        <v>1711000</v>
      </c>
      <c r="I23" s="270" cm="1">
        <f t="array" ref="I23">_xlfn.XLOOKUP(
   $B$4&amp;" "&amp;$B23,
   Actuals!$D:$D,
   _xlfn.XLOOKUP(
      I$6,
      Actuals!$H$3:$BD$3,
      Actuals!$H:$BD
   )
)</f>
        <v>1984000</v>
      </c>
      <c r="J23" s="270" cm="1">
        <f t="array" ref="J23">_xlfn.XLOOKUP(
   $B$4&amp;" "&amp;$B23,
   Actuals!$D:$D,
   _xlfn.XLOOKUP(
      J$6,
      Actuals!$H$3:$BD$3,
      Actuals!$H:$BD
   )
)</f>
        <v>1760000</v>
      </c>
      <c r="K23" s="270" cm="1">
        <f t="array" ref="K23">_xlfn.XLOOKUP(
   $B$4&amp;" "&amp;$B23,
   Actuals!$D:$D,
   _xlfn.XLOOKUP(
      K$6,
      Actuals!$H$3:$BD$3,
      Actuals!$H:$BD
   )
)</f>
        <v>2232000</v>
      </c>
      <c r="L23" s="270" cm="1">
        <f t="array" ref="L23">_xlfn.XLOOKUP(
   $B$4&amp;" "&amp;$B23,
   Actuals!$D:$D,
   _xlfn.XLOOKUP(
      L$6,
      Actuals!$H$3:$BD$3,
      Actuals!$H:$BD
   )
)</f>
        <v>2250000</v>
      </c>
      <c r="M23" s="270" cm="1">
        <f t="array" ref="M23">_xlfn.XLOOKUP(
   $B$4&amp;" "&amp;$B23,
   Actuals!$D:$D,
   _xlfn.XLOOKUP(
      M$6,
      Actuals!$H$3:$BD$3,
      Actuals!$H:$BD
   )
)</f>
        <v>1942000</v>
      </c>
      <c r="N23" s="270" cm="1">
        <f t="array" ref="N23">_xlfn.XLOOKUP(
   $B$4&amp;" "&amp;$B23,
   Actuals!$D:$D,
   _xlfn.XLOOKUP(
      N$6,
      Actuals!$H$3:$BD$3,
      Actuals!$H:$BD
   )
)</f>
        <v>1063000</v>
      </c>
      <c r="O23" s="324" cm="1">
        <f t="array" ref="O23">_xlfn.XLOOKUP(
   $B$4&amp;" "&amp;$B23,
   Actuals!$D:$D,
   _xlfn.XLOOKUP(
      O$6,
      Actuals!$H$3:$BD$3,
      Actuals!$H:$BD
   )
)</f>
        <v>0</v>
      </c>
      <c r="P23" s="324" cm="1">
        <f t="array" ref="P23">_xlfn.XLOOKUP(
   $B$4&amp;" "&amp;$B23,
   Actuals!$D:$D,
   _xlfn.XLOOKUP(
      P$6,
      Actuals!$H$3:$BD$3,
      Actuals!$H:$BD
   )
)</f>
        <v>0</v>
      </c>
      <c r="Q23" s="324" cm="1">
        <f t="array" ref="Q23">_xlfn.XLOOKUP(
   $B$4&amp;" "&amp;$B23,
   Actuals!$D:$D,
   _xlfn.XLOOKUP(
      Q$6,
      Actuals!$H$3:$BD$3,
      Actuals!$H:$BD
   )
)</f>
        <v>0</v>
      </c>
      <c r="R23" s="324" cm="1">
        <f t="array" ref="R23">_xlfn.XLOOKUP(
   $B$4&amp;" "&amp;$B23,
   Actuals!$D:$D,
   _xlfn.XLOOKUP(
      R$6,
      Actuals!$H$3:$BD$3,
      Actuals!$H:$BD
   )
)</f>
        <v>0</v>
      </c>
      <c r="S23" s="324" cm="1">
        <f t="array" ref="S23">_xlfn.XLOOKUP(
   $B$4&amp;" "&amp;$B23,
   Actuals!$D:$D,
   _xlfn.XLOOKUP(
      S$6,
      Actuals!$H$3:$BD$3,
      Actuals!$H:$BD
   )
)</f>
        <v>0</v>
      </c>
      <c r="T23" s="324" cm="1">
        <f t="array" ref="T23">_xlfn.XLOOKUP(
   $B$4&amp;" "&amp;$B23,
   Actuals!$D:$D,
   _xlfn.XLOOKUP(
      T$6,
      Actuals!$H$3:$BD$3,
      Actuals!$H:$BD
   )
)</f>
        <v>0</v>
      </c>
      <c r="U23" s="324" cm="1">
        <f t="array" ref="U23">_xlfn.XLOOKUP(
   $B$4&amp;" "&amp;$B23,
   Actuals!$D:$D,
   _xlfn.XLOOKUP(
      U$6,
      Actuals!$H$3:$BD$3,
      Actuals!$H:$BD
   )
)</f>
        <v>0</v>
      </c>
      <c r="V23" s="324" cm="1">
        <f t="array" ref="V23">_xlfn.XLOOKUP(
   $B$4&amp;" "&amp;$B23,
   Actuals!$D:$D,
   _xlfn.XLOOKUP(
      V$6,
      Actuals!$H$3:$BD$3,
      Actuals!$H:$BD
   )
)</f>
        <v>0</v>
      </c>
      <c r="W23" s="324" cm="1">
        <f t="array" ref="W23">_xlfn.XLOOKUP(
   $B$4&amp;" "&amp;$B23,
   Actuals!$D:$D,
   _xlfn.XLOOKUP(
      W$6,
      Actuals!$H$3:$BD$3,
      Actuals!$H:$BD
   )
)</f>
        <v>0</v>
      </c>
      <c r="X23" s="324" cm="1">
        <f t="array" ref="X23">_xlfn.XLOOKUP(
   $B$4&amp;" "&amp;$B23,
   Actuals!$D:$D,
   _xlfn.XLOOKUP(
      X$6,
      Actuals!$H$3:$BD$3,
      Actuals!$H:$BD
   )
)</f>
        <v>0</v>
      </c>
      <c r="Y23" s="324" cm="1">
        <f t="array" ref="Y23">_xlfn.XLOOKUP(
   $B$4&amp;" "&amp;$B23,
   Actuals!$D:$D,
   _xlfn.XLOOKUP(
      Y$6,
      Actuals!$H$3:$BD$3,
      Actuals!$H:$BD
   )
)</f>
        <v>0</v>
      </c>
      <c r="Z23" s="324" cm="1">
        <f t="array" ref="Z23">_xlfn.XLOOKUP(
   $B$4&amp;" "&amp;$B23,
   Actuals!$D:$D,
   _xlfn.XLOOKUP(
      Z$6,
      Actuals!$H$3:$BD$3,
      Actuals!$H:$BD
   )
)</f>
        <v>0</v>
      </c>
      <c r="AA23" s="324" cm="1">
        <f t="array" ref="AA23">_xlfn.XLOOKUP(
   $B$4&amp;" "&amp;$B23,
   Actuals!$D:$D,
   _xlfn.XLOOKUP(
      AA$6,
      Actuals!$H$3:$BD$3,
      Actuals!$H:$BD
   )
)</f>
        <v>0</v>
      </c>
      <c r="AB23" s="324" cm="1">
        <f t="array" ref="AB23">_xlfn.XLOOKUP(
   $B$4&amp;" "&amp;$B23,
   Actuals!$D:$D,
   _xlfn.XLOOKUP(
      AB$6,
      Actuals!$H$3:$BD$3,
      Actuals!$H:$BD
   )
)</f>
        <v>0</v>
      </c>
      <c r="AC23" s="324" cm="1">
        <f t="array" ref="AC23">_xlfn.XLOOKUP(
   $B$4&amp;" "&amp;$B23,
   Actuals!$D:$D,
   _xlfn.XLOOKUP(
      AC$6,
      Actuals!$H$3:$BD$3,
      Actuals!$H:$BD
   )
)</f>
        <v>0</v>
      </c>
      <c r="AD23" s="324" cm="1">
        <f t="array" ref="AD23">_xlfn.XLOOKUP(
   $B$4&amp;" "&amp;$B23,
   Actuals!$D:$D,
   _xlfn.XLOOKUP(
      AD$6,
      Actuals!$H$3:$BD$3,
      Actuals!$H:$BD
   )
)</f>
        <v>0</v>
      </c>
      <c r="AE23" s="324" cm="1">
        <f t="array" ref="AE23">_xlfn.XLOOKUP(
   $B$4&amp;" "&amp;$B23,
   Actuals!$D:$D,
   _xlfn.XLOOKUP(
      AE$6,
      Actuals!$H$3:$BD$3,
      Actuals!$H:$BD
   )
)</f>
        <v>0</v>
      </c>
      <c r="AF23" s="324" cm="1">
        <f t="array" ref="AF23">_xlfn.XLOOKUP(
   $B$4&amp;" "&amp;$B23,
   Actuals!$D:$D,
   _xlfn.XLOOKUP(
      AF$6,
      Actuals!$H$3:$BD$3,
      Actuals!$H:$BD
   )
)</f>
        <v>0</v>
      </c>
      <c r="AG23" s="324" cm="1">
        <f t="array" ref="AG23">_xlfn.XLOOKUP(
   $B$4&amp;" "&amp;$B23,
   Actuals!$D:$D,
   _xlfn.XLOOKUP(
      AG$6,
      Actuals!$H$3:$BD$3,
      Actuals!$H:$BD
   )
)</f>
        <v>0</v>
      </c>
      <c r="AH23" s="324" cm="1">
        <f t="array" ref="AH23">_xlfn.XLOOKUP(
   $B$4&amp;" "&amp;$B23,
   Actuals!$D:$D,
   _xlfn.XLOOKUP(
      AH$6,
      Actuals!$H$3:$BD$3,
      Actuals!$H:$BD
   )
)</f>
        <v>0</v>
      </c>
      <c r="AI23" s="324" cm="1">
        <f t="array" ref="AI23">_xlfn.XLOOKUP(
   $B$4&amp;" "&amp;$B23,
   Actuals!$D:$D,
   _xlfn.XLOOKUP(
      AI$6,
      Actuals!$H$3:$BD$3,
      Actuals!$H:$BD
   )
)</f>
        <v>1160000</v>
      </c>
      <c r="AJ23" s="324" cm="1">
        <f t="array" ref="AJ23">_xlfn.XLOOKUP(
   $B$4&amp;" "&amp;$B23,
   Actuals!$D:$D,
   _xlfn.XLOOKUP(
      AJ$6,
      Actuals!$H$3:$BD$3,
      Actuals!$H:$BD
   )
)</f>
        <v>1160000</v>
      </c>
      <c r="AK23" s="324" cm="1">
        <f t="array" ref="AK23">_xlfn.XLOOKUP(
   $B$4&amp;" "&amp;$B23,
   Actuals!$D:$D,
   _xlfn.XLOOKUP(
      AK$6,
      Actuals!$H$3:$BD$3,
      Actuals!$H:$BD
   )
)</f>
        <v>1160000</v>
      </c>
      <c r="AL23" s="324" cm="1">
        <f t="array" ref="AL23">_xlfn.XLOOKUP(
   $B$4&amp;" "&amp;$B23,
   Actuals!$D:$D,
   _xlfn.XLOOKUP(
      AL$6,
      Actuals!$H$3:$BD$3,
      Actuals!$H:$BD
   )
)</f>
        <v>0</v>
      </c>
      <c r="AM23" s="324" cm="1">
        <f t="array" ref="AM23">_xlfn.XLOOKUP(
   $B$4&amp;" "&amp;$B23,
   Actuals!$D:$D,
   _xlfn.XLOOKUP(
      AM$6,
      Actuals!$H$3:$BD$3,
      Actuals!$H:$BD
   )
)</f>
        <v>1150000</v>
      </c>
      <c r="AN23" s="324" cm="1">
        <f t="array" ref="AN23">_xlfn.XLOOKUP(
   $B$4&amp;" "&amp;$B23,
   Actuals!$D:$D,
   _xlfn.XLOOKUP(
      AN$6,
      Actuals!$H$3:$BD$3,
      Actuals!$H:$BD
   )
)</f>
        <v>87000</v>
      </c>
      <c r="AO23" s="324" cm="1">
        <f t="array" ref="AO23">_xlfn.XLOOKUP(
   $B$4&amp;" "&amp;$B23,
   Actuals!$D:$D,
   _xlfn.XLOOKUP(
      AO$6,
      Actuals!$H$3:$BD$3,
      Actuals!$H:$BD
   )
)</f>
        <v>0</v>
      </c>
      <c r="AP23" s="324" cm="1">
        <f t="array" ref="AP23">_xlfn.XLOOKUP(
   $B$4&amp;" "&amp;$B23,
   Actuals!$D:$D,
   _xlfn.XLOOKUP(
      AP$6,
      Actuals!$H$3:$BD$3,
      Actuals!$H:$BD
   )
)</f>
        <v>0</v>
      </c>
      <c r="AQ23" s="324" cm="1">
        <f t="array" ref="AQ23">_xlfn.XLOOKUP(
   $B$4&amp;" "&amp;$B23,
   Actuals!$D:$D,
   _xlfn.XLOOKUP(
      AQ$6,
      Actuals!$H$3:$BD$3,
      Actuals!$H:$BD
   )
)</f>
        <v>0</v>
      </c>
      <c r="AR23" s="324" cm="1">
        <f t="array" ref="AR23">_xlfn.XLOOKUP(
   $B$4&amp;" "&amp;$B23,
   Actuals!$D:$D,
   _xlfn.XLOOKUP(
      AR$6,
      Actuals!$H$3:$BD$3,
      Actuals!$H:$BD
   )
)</f>
        <v>0</v>
      </c>
      <c r="AS23" s="324" cm="1">
        <f t="array" ref="AS23">_xlfn.XLOOKUP(
   $B$4&amp;" "&amp;$B23,
   Actuals!$D:$D,
   _xlfn.XLOOKUP(
      AS$6,
      Actuals!$H$3:$BD$3,
      Actuals!$H:$BD
   )
)</f>
        <v>0</v>
      </c>
      <c r="AT23" s="324" cm="1">
        <f t="array" ref="AT23">_xlfn.XLOOKUP(
   $B$4&amp;" "&amp;$B23,
   Actuals!$D:$D,
   _xlfn.XLOOKUP(
      AT$6,
      Actuals!$H$3:$BD$3,
      Actuals!$H:$BD
   )
)</f>
        <v>0</v>
      </c>
      <c r="AU23" s="324" cm="1">
        <f t="array" ref="AU23">_xlfn.XLOOKUP(
   $B$4&amp;" "&amp;$B23,
   Actuals!$D:$D,
   _xlfn.XLOOKUP(
      AU$6,
      Actuals!$H$3:$BD$3,
      Actuals!$H:$BD
   )
)</f>
        <v>0</v>
      </c>
      <c r="AV23" s="324" cm="1">
        <f t="array" ref="AV23">_xlfn.XLOOKUP(
   $B$4&amp;" "&amp;$B23,
   Actuals!$D:$D,
   _xlfn.XLOOKUP(
      AV$6,
      Actuals!$H$3:$BD$3,
      Actuals!$H:$BD
   )
)</f>
        <v>0</v>
      </c>
      <c r="AW23" s="324" cm="1">
        <f t="array" ref="AW23">_xlfn.XLOOKUP(
   $B$4&amp;" "&amp;$B23,
   Actuals!$D:$D,
   _xlfn.XLOOKUP(
      AW$6,
      Actuals!$H$3:$BD$3,
      Actuals!$H:$BD
   )
)</f>
        <v>0</v>
      </c>
      <c r="AX23" s="324" cm="1">
        <f t="array" ref="AX23">_xlfn.XLOOKUP(
   $B$4&amp;" "&amp;$B23,
   Actuals!$D:$D,
   _xlfn.XLOOKUP(
      AX$6,
      Actuals!$H$3:$BD$3,
      Actuals!$H:$BD
   )
)</f>
        <v>0</v>
      </c>
      <c r="AY23" s="324" cm="1">
        <f t="array" ref="AY23">_xlfn.XLOOKUP(
   $B$4&amp;" "&amp;$B23,
   Actuals!$D:$D,
   _xlfn.XLOOKUP(
      AY$6,
      Actuals!$H$3:$BD$3,
      Actuals!$H:$BD
   )
)</f>
        <v>0</v>
      </c>
      <c r="AZ23" s="324" cm="1">
        <f t="array" ref="AZ23">_xlfn.XLOOKUP(
   $B$4&amp;" "&amp;$B23,
   Actuals!$D:$D,
   _xlfn.XLOOKUP(
      AZ$6,
      Actuals!$H$3:$BD$3,
      Actuals!$H:$BD
   )
)</f>
        <v>0</v>
      </c>
      <c r="BA23" s="324"/>
      <c r="BB23" s="324" cm="1">
        <f t="array" ref="BB23">_xlfn.XLOOKUP(
   $B$4&amp;" "&amp;$B23,
   Actuals!$D:$D,
   _xlfn.XLOOKUP(
      BB$7,
      Actuals!$H$3:$BM$3,
      Actuals!$H:$BM
   )
)</f>
        <v>0</v>
      </c>
      <c r="BC23" s="324">
        <f>VLOOKUP($B$4&amp;" "&amp;$B23,Budget!$AG$4:$AL$132,$BB$5+1,FALSE)</f>
        <v>0</v>
      </c>
      <c r="BD23" s="324">
        <f>BB23-BC23</f>
        <v>0</v>
      </c>
      <c r="BE23" s="324"/>
      <c r="BF23" s="324" cm="1">
        <f t="array" ref="BF23">_xlfn.XLOOKUP(
   $B$4&amp;" "&amp;$B23,
   Actuals!$D:$D,
   _xlfn.XLOOKUP(
      BF$7,
      Actuals!$H$3:$BM$3,
      Actuals!$H:$BM
   )
)</f>
        <v>0</v>
      </c>
      <c r="BG23" s="324">
        <f>VLOOKUP($B$4&amp;" "&amp;$B23,Budget!$AG$4:$AL$132,BF$5+1,FALSE)</f>
        <v>0</v>
      </c>
      <c r="BH23" s="324">
        <f>BF23-BG23</f>
        <v>0</v>
      </c>
      <c r="BI23" s="324"/>
      <c r="BJ23" s="324" cm="1">
        <f t="array" ref="BJ23">_xlfn.XLOOKUP(
   $B$4&amp;" "&amp;$B23,
   Actuals!$D:$D,
   _xlfn.XLOOKUP(
      BJ$7,
      Actuals!$H$3:$BM$3,
      Actuals!$H:$BM
   )
)</f>
        <v>0</v>
      </c>
      <c r="BK23" s="324">
        <f>VLOOKUP($B$4&amp;" "&amp;$B23,Budget!$AG$4:$AL$132,BJ$5+1,FALSE)</f>
        <v>0</v>
      </c>
      <c r="BL23" s="324">
        <f>BJ23-BK23</f>
        <v>0</v>
      </c>
      <c r="BM23" s="324"/>
      <c r="BN23" s="324" cm="1">
        <f t="array" ref="BN23">_xlfn.XLOOKUP(
   $B$4&amp;" "&amp;$B23,
   Actuals!$D:$D,
   _xlfn.XLOOKUP(
      BN$7,
      Actuals!$H$3:$BM$3,
      Actuals!$H:$BM
   )
)</f>
        <v>0</v>
      </c>
      <c r="BO23" s="324">
        <f>VLOOKUP($B$4&amp;" "&amp;$B23,Budget!$AG$4:$AL$132,BN$5+1,FALSE)</f>
        <v>0</v>
      </c>
      <c r="BP23" s="324"/>
      <c r="BQ23" s="324"/>
      <c r="BR23" s="324" cm="1">
        <f t="array" aca="1" ref="BR23" ca="1">_xlfn.XLOOKUP(
   $B$4&amp;" "&amp;$B23,
   Actuals!$D:$D,
   _xlfn.XLOOKUP(
      BR$6,
      Actuals!$H$3:$BM$3,
      Actuals!$H:$BM
   )
)</f>
        <v>0</v>
      </c>
      <c r="BS23" s="324">
        <f ca="1">VLOOKUP($B$4&amp;" "&amp;$B23,Budget!$AG$4:$AL$132,6,FALSE)</f>
        <v>0</v>
      </c>
      <c r="BT23" s="324">
        <f ca="1">BR23-BS23</f>
        <v>0</v>
      </c>
      <c r="BU23" s="324"/>
      <c r="BV23" s="324" cm="1">
        <f t="array" ref="BV23">_xlfn.XLOOKUP(
   $B$4&amp;" "&amp;$B23,
   Actuals!$D:$D,
   _xlfn.XLOOKUP(
      BV$6,
      Actuals!$H$3:$BM$3,
      Actuals!$H:$BM
   )
)</f>
        <v>0</v>
      </c>
    </row>
    <row r="24" spans="2:76">
      <c r="B24" s="26" t="s">
        <v>80</v>
      </c>
      <c r="C24" s="139" t="s">
        <v>47</v>
      </c>
      <c r="D24" s="171" t="str">
        <f>VLOOKUP($B$4&amp;" "&amp;$B24,Actuals!$D$4:$AG$131,3,FALSE)</f>
        <v>#</v>
      </c>
      <c r="E24" s="270" cm="1">
        <f t="array" ref="E24">_xlfn.XLOOKUP(
   $B$4&amp;" "&amp;$B24,
   Actuals!$D:$D,
   _xlfn.XLOOKUP(
      E$6,
      Actuals!$H$3:$BD$3,
      Actuals!$H:$BD
   )
)</f>
        <v>1334000</v>
      </c>
      <c r="F24" s="270" cm="1">
        <f t="array" ref="F24">_xlfn.XLOOKUP(
   $B$4&amp;" "&amp;$B24,
   Actuals!$D:$D,
   _xlfn.XLOOKUP(
      F$6,
      Actuals!$H$3:$BD$3,
      Actuals!$H:$BD
   )
)</f>
        <v>1114000</v>
      </c>
      <c r="G24" s="270" cm="1">
        <f t="array" ref="G24">_xlfn.XLOOKUP(
   $B$4&amp;" "&amp;$B24,
   Actuals!$D:$D,
   _xlfn.XLOOKUP(
      G$6,
      Actuals!$H$3:$BD$3,
      Actuals!$H:$BD
   )
)</f>
        <v>644000</v>
      </c>
      <c r="H24" s="270" cm="1">
        <f t="array" ref="H24">_xlfn.XLOOKUP(
   $B$4&amp;" "&amp;$B24,
   Actuals!$D:$D,
   _xlfn.XLOOKUP(
      H$6,
      Actuals!$H$3:$BD$3,
      Actuals!$H:$BD
   )
)</f>
        <v>616000</v>
      </c>
      <c r="I24" s="270" cm="1">
        <f t="array" ref="I24">_xlfn.XLOOKUP(
   $B$4&amp;" "&amp;$B24,
   Actuals!$D:$D,
   _xlfn.XLOOKUP(
      I$6,
      Actuals!$H$3:$BD$3,
      Actuals!$H:$BD
   )
)</f>
        <v>766000</v>
      </c>
      <c r="J24" s="270" cm="1">
        <f t="array" ref="J24">_xlfn.XLOOKUP(
   $B$4&amp;" "&amp;$B24,
   Actuals!$D:$D,
   _xlfn.XLOOKUP(
      J$6,
      Actuals!$H$3:$BD$3,
      Actuals!$H:$BD
   )
)</f>
        <v>1049000</v>
      </c>
      <c r="K24" s="270" cm="1">
        <f t="array" ref="K24">_xlfn.XLOOKUP(
   $B$4&amp;" "&amp;$B24,
   Actuals!$D:$D,
   _xlfn.XLOOKUP(
      K$6,
      Actuals!$H$3:$BD$3,
      Actuals!$H:$BD
   )
)</f>
        <v>1084600</v>
      </c>
      <c r="L24" s="270" cm="1">
        <f t="array" ref="L24">_xlfn.XLOOKUP(
   $B$4&amp;" "&amp;$B24,
   Actuals!$D:$D,
   _xlfn.XLOOKUP(
      L$6,
      Actuals!$H$3:$BD$3,
      Actuals!$H:$BD
   )
)</f>
        <v>523000</v>
      </c>
      <c r="M24" s="270" cm="1">
        <f t="array" ref="M24">_xlfn.XLOOKUP(
   $B$4&amp;" "&amp;$B24,
   Actuals!$D:$D,
   _xlfn.XLOOKUP(
      M$6,
      Actuals!$H$3:$BD$3,
      Actuals!$H:$BD
   )
)</f>
        <v>1540500</v>
      </c>
      <c r="N24" s="270" cm="1">
        <f t="array" ref="N24">_xlfn.XLOOKUP(
   $B$4&amp;" "&amp;$B24,
   Actuals!$D:$D,
   _xlfn.XLOOKUP(
      N$6,
      Actuals!$H$3:$BD$3,
      Actuals!$H:$BD
   )
)</f>
        <v>1470000</v>
      </c>
      <c r="O24" s="324" cm="1">
        <f t="array" ref="O24">_xlfn.XLOOKUP(
   $B$4&amp;" "&amp;$B24,
   Actuals!$D:$D,
   _xlfn.XLOOKUP(
      O$6,
      Actuals!$H$3:$BD$3,
      Actuals!$H:$BD
   )
)</f>
        <v>0</v>
      </c>
      <c r="P24" s="324" cm="1">
        <f t="array" ref="P24">_xlfn.XLOOKUP(
   $B$4&amp;" "&amp;$B24,
   Actuals!$D:$D,
   _xlfn.XLOOKUP(
      P$6,
      Actuals!$H$3:$BD$3,
      Actuals!$H:$BD
   )
)</f>
        <v>0</v>
      </c>
      <c r="Q24" s="324" cm="1">
        <f t="array" ref="Q24">_xlfn.XLOOKUP(
   $B$4&amp;" "&amp;$B24,
   Actuals!$D:$D,
   _xlfn.XLOOKUP(
      Q$6,
      Actuals!$H$3:$BD$3,
      Actuals!$H:$BD
   )
)</f>
        <v>0</v>
      </c>
      <c r="R24" s="324" cm="1">
        <f t="array" ref="R24">_xlfn.XLOOKUP(
   $B$4&amp;" "&amp;$B24,
   Actuals!$D:$D,
   _xlfn.XLOOKUP(
      R$6,
      Actuals!$H$3:$BD$3,
      Actuals!$H:$BD
   )
)</f>
        <v>0</v>
      </c>
      <c r="S24" s="324" cm="1">
        <f t="array" ref="S24">_xlfn.XLOOKUP(
   $B$4&amp;" "&amp;$B24,
   Actuals!$D:$D,
   _xlfn.XLOOKUP(
      S$6,
      Actuals!$H$3:$BD$3,
      Actuals!$H:$BD
   )
)</f>
        <v>0</v>
      </c>
      <c r="T24" s="324" cm="1">
        <f t="array" ref="T24">_xlfn.XLOOKUP(
   $B$4&amp;" "&amp;$B24,
   Actuals!$D:$D,
   _xlfn.XLOOKUP(
      T$6,
      Actuals!$H$3:$BD$3,
      Actuals!$H:$BD
   )
)</f>
        <v>0</v>
      </c>
      <c r="U24" s="324" cm="1">
        <f t="array" ref="U24">_xlfn.XLOOKUP(
   $B$4&amp;" "&amp;$B24,
   Actuals!$D:$D,
   _xlfn.XLOOKUP(
      U$6,
      Actuals!$H$3:$BD$3,
      Actuals!$H:$BD
   )
)</f>
        <v>0</v>
      </c>
      <c r="V24" s="324" cm="1">
        <f t="array" ref="V24">_xlfn.XLOOKUP(
   $B$4&amp;" "&amp;$B24,
   Actuals!$D:$D,
   _xlfn.XLOOKUP(
      V$6,
      Actuals!$H$3:$BD$3,
      Actuals!$H:$BD
   )
)</f>
        <v>0</v>
      </c>
      <c r="W24" s="324" cm="1">
        <f t="array" ref="W24">_xlfn.XLOOKUP(
   $B$4&amp;" "&amp;$B24,
   Actuals!$D:$D,
   _xlfn.XLOOKUP(
      W$6,
      Actuals!$H$3:$BD$3,
      Actuals!$H:$BD
   )
)</f>
        <v>0</v>
      </c>
      <c r="X24" s="324" cm="1">
        <f t="array" ref="X24">_xlfn.XLOOKUP(
   $B$4&amp;" "&amp;$B24,
   Actuals!$D:$D,
   _xlfn.XLOOKUP(
      X$6,
      Actuals!$H$3:$BD$3,
      Actuals!$H:$BD
   )
)</f>
        <v>0</v>
      </c>
      <c r="Y24" s="324" cm="1">
        <f t="array" ref="Y24">_xlfn.XLOOKUP(
   $B$4&amp;" "&amp;$B24,
   Actuals!$D:$D,
   _xlfn.XLOOKUP(
      Y$6,
      Actuals!$H$3:$BD$3,
      Actuals!$H:$BD
   )
)</f>
        <v>0</v>
      </c>
      <c r="Z24" s="324" cm="1">
        <f t="array" ref="Z24">_xlfn.XLOOKUP(
   $B$4&amp;" "&amp;$B24,
   Actuals!$D:$D,
   _xlfn.XLOOKUP(
      Z$6,
      Actuals!$H$3:$BD$3,
      Actuals!$H:$BD
   )
)</f>
        <v>0</v>
      </c>
      <c r="AA24" s="324" cm="1">
        <f t="array" ref="AA24">_xlfn.XLOOKUP(
   $B$4&amp;" "&amp;$B24,
   Actuals!$D:$D,
   _xlfn.XLOOKUP(
      AA$6,
      Actuals!$H$3:$BD$3,
      Actuals!$H:$BD
   )
)</f>
        <v>0</v>
      </c>
      <c r="AB24" s="324" cm="1">
        <f t="array" ref="AB24">_xlfn.XLOOKUP(
   $B$4&amp;" "&amp;$B24,
   Actuals!$D:$D,
   _xlfn.XLOOKUP(
      AB$6,
      Actuals!$H$3:$BD$3,
      Actuals!$H:$BD
   )
)</f>
        <v>0</v>
      </c>
      <c r="AC24" s="324" cm="1">
        <f t="array" ref="AC24">_xlfn.XLOOKUP(
   $B$4&amp;" "&amp;$B24,
   Actuals!$D:$D,
   _xlfn.XLOOKUP(
      AC$6,
      Actuals!$H$3:$BD$3,
      Actuals!$H:$BD
   )
)</f>
        <v>0</v>
      </c>
      <c r="AD24" s="324" cm="1">
        <f t="array" ref="AD24">_xlfn.XLOOKUP(
   $B$4&amp;" "&amp;$B24,
   Actuals!$D:$D,
   _xlfn.XLOOKUP(
      AD$6,
      Actuals!$H$3:$BD$3,
      Actuals!$H:$BD
   )
)</f>
        <v>0</v>
      </c>
      <c r="AE24" s="324" cm="1">
        <f t="array" ref="AE24">_xlfn.XLOOKUP(
   $B$4&amp;" "&amp;$B24,
   Actuals!$D:$D,
   _xlfn.XLOOKUP(
      AE$6,
      Actuals!$H$3:$BD$3,
      Actuals!$H:$BD
   )
)</f>
        <v>0</v>
      </c>
      <c r="AF24" s="324" cm="1">
        <f t="array" ref="AF24">_xlfn.XLOOKUP(
   $B$4&amp;" "&amp;$B24,
   Actuals!$D:$D,
   _xlfn.XLOOKUP(
      AF$6,
      Actuals!$H$3:$BD$3,
      Actuals!$H:$BD
   )
)</f>
        <v>0</v>
      </c>
      <c r="AG24" s="324" cm="1">
        <f t="array" ref="AG24">_xlfn.XLOOKUP(
   $B$4&amp;" "&amp;$B24,
   Actuals!$D:$D,
   _xlfn.XLOOKUP(
      AG$6,
      Actuals!$H$3:$BD$3,
      Actuals!$H:$BD
   )
)</f>
        <v>0</v>
      </c>
      <c r="AH24" s="324" cm="1">
        <f t="array" ref="AH24">_xlfn.XLOOKUP(
   $B$4&amp;" "&amp;$B24,
   Actuals!$D:$D,
   _xlfn.XLOOKUP(
      AH$6,
      Actuals!$H$3:$BD$3,
      Actuals!$H:$BD
   )
)</f>
        <v>0</v>
      </c>
      <c r="AI24" s="324" cm="1">
        <f t="array" ref="AI24">_xlfn.XLOOKUP(
   $B$4&amp;" "&amp;$B24,
   Actuals!$D:$D,
   _xlfn.XLOOKUP(
      AI$6,
      Actuals!$H$3:$BD$3,
      Actuals!$H:$BD
   )
)</f>
        <v>295000</v>
      </c>
      <c r="AJ24" s="324" cm="1">
        <f t="array" ref="AJ24">_xlfn.XLOOKUP(
   $B$4&amp;" "&amp;$B24,
   Actuals!$D:$D,
   _xlfn.XLOOKUP(
      AJ$6,
      Actuals!$H$3:$BD$3,
      Actuals!$H:$BD
   )
)</f>
        <v>295000</v>
      </c>
      <c r="AK24" s="324" cm="1">
        <f t="array" ref="AK24">_xlfn.XLOOKUP(
   $B$4&amp;" "&amp;$B24,
   Actuals!$D:$D,
   _xlfn.XLOOKUP(
      AK$6,
      Actuals!$H$3:$BD$3,
      Actuals!$H:$BD
   )
)</f>
        <v>295000</v>
      </c>
      <c r="AL24" s="324" cm="1">
        <f t="array" ref="AL24">_xlfn.XLOOKUP(
   $B$4&amp;" "&amp;$B24,
   Actuals!$D:$D,
   _xlfn.XLOOKUP(
      AL$6,
      Actuals!$H$3:$BD$3,
      Actuals!$H:$BD
   )
)</f>
        <v>0</v>
      </c>
      <c r="AM24" s="324" cm="1">
        <f t="array" ref="AM24">_xlfn.XLOOKUP(
   $B$4&amp;" "&amp;$B24,
   Actuals!$D:$D,
   _xlfn.XLOOKUP(
      AM$6,
      Actuals!$H$3:$BD$3,
      Actuals!$H:$BD
   )
)</f>
        <v>1127000</v>
      </c>
      <c r="AN24" s="324" cm="1">
        <f t="array" ref="AN24">_xlfn.XLOOKUP(
   $B$4&amp;" "&amp;$B24,
   Actuals!$D:$D,
   _xlfn.XLOOKUP(
      AN$6,
      Actuals!$H$3:$BD$3,
      Actuals!$H:$BD
   )
)</f>
        <v>42500</v>
      </c>
      <c r="AO24" s="324" cm="1">
        <f t="array" ref="AO24">_xlfn.XLOOKUP(
   $B$4&amp;" "&amp;$B24,
   Actuals!$D:$D,
   _xlfn.XLOOKUP(
      AO$6,
      Actuals!$H$3:$BD$3,
      Actuals!$H:$BD
   )
)</f>
        <v>0</v>
      </c>
      <c r="AP24" s="324" cm="1">
        <f t="array" ref="AP24">_xlfn.XLOOKUP(
   $B$4&amp;" "&amp;$B24,
   Actuals!$D:$D,
   _xlfn.XLOOKUP(
      AP$6,
      Actuals!$H$3:$BD$3,
      Actuals!$H:$BD
   )
)</f>
        <v>0</v>
      </c>
      <c r="AQ24" s="324" cm="1">
        <f t="array" ref="AQ24">_xlfn.XLOOKUP(
   $B$4&amp;" "&amp;$B24,
   Actuals!$D:$D,
   _xlfn.XLOOKUP(
      AQ$6,
      Actuals!$H$3:$BD$3,
      Actuals!$H:$BD
   )
)</f>
        <v>0</v>
      </c>
      <c r="AR24" s="324" cm="1">
        <f t="array" ref="AR24">_xlfn.XLOOKUP(
   $B$4&amp;" "&amp;$B24,
   Actuals!$D:$D,
   _xlfn.XLOOKUP(
      AR$6,
      Actuals!$H$3:$BD$3,
      Actuals!$H:$BD
   )
)</f>
        <v>0</v>
      </c>
      <c r="AS24" s="324" cm="1">
        <f t="array" ref="AS24">_xlfn.XLOOKUP(
   $B$4&amp;" "&amp;$B24,
   Actuals!$D:$D,
   _xlfn.XLOOKUP(
      AS$6,
      Actuals!$H$3:$BD$3,
      Actuals!$H:$BD
   )
)</f>
        <v>0</v>
      </c>
      <c r="AT24" s="324" cm="1">
        <f t="array" ref="AT24">_xlfn.XLOOKUP(
   $B$4&amp;" "&amp;$B24,
   Actuals!$D:$D,
   _xlfn.XLOOKUP(
      AT$6,
      Actuals!$H$3:$BD$3,
      Actuals!$H:$BD
   )
)</f>
        <v>0</v>
      </c>
      <c r="AU24" s="324" cm="1">
        <f t="array" ref="AU24">_xlfn.XLOOKUP(
   $B$4&amp;" "&amp;$B24,
   Actuals!$D:$D,
   _xlfn.XLOOKUP(
      AU$6,
      Actuals!$H$3:$BD$3,
      Actuals!$H:$BD
   )
)</f>
        <v>0</v>
      </c>
      <c r="AV24" s="324" cm="1">
        <f t="array" ref="AV24">_xlfn.XLOOKUP(
   $B$4&amp;" "&amp;$B24,
   Actuals!$D:$D,
   _xlfn.XLOOKUP(
      AV$6,
      Actuals!$H$3:$BD$3,
      Actuals!$H:$BD
   )
)</f>
        <v>0</v>
      </c>
      <c r="AW24" s="324" cm="1">
        <f t="array" ref="AW24">_xlfn.XLOOKUP(
   $B$4&amp;" "&amp;$B24,
   Actuals!$D:$D,
   _xlfn.XLOOKUP(
      AW$6,
      Actuals!$H$3:$BD$3,
      Actuals!$H:$BD
   )
)</f>
        <v>0</v>
      </c>
      <c r="AX24" s="324" cm="1">
        <f t="array" ref="AX24">_xlfn.XLOOKUP(
   $B$4&amp;" "&amp;$B24,
   Actuals!$D:$D,
   _xlfn.XLOOKUP(
      AX$6,
      Actuals!$H$3:$BD$3,
      Actuals!$H:$BD
   )
)</f>
        <v>0</v>
      </c>
      <c r="AY24" s="324" cm="1">
        <f t="array" ref="AY24">_xlfn.XLOOKUP(
   $B$4&amp;" "&amp;$B24,
   Actuals!$D:$D,
   _xlfn.XLOOKUP(
      AY$6,
      Actuals!$H$3:$BD$3,
      Actuals!$H:$BD
   )
)</f>
        <v>0</v>
      </c>
      <c r="AZ24" s="324" cm="1">
        <f t="array" ref="AZ24">_xlfn.XLOOKUP(
   $B$4&amp;" "&amp;$B24,
   Actuals!$D:$D,
   _xlfn.XLOOKUP(
      AZ$6,
      Actuals!$H$3:$BD$3,
      Actuals!$H:$BD
   )
)</f>
        <v>0</v>
      </c>
      <c r="BA24" s="324"/>
      <c r="BB24" s="324" cm="1">
        <f t="array" ref="BB24">_xlfn.XLOOKUP(
   $B$4&amp;" "&amp;$B24,
   Actuals!$D:$D,
   _xlfn.XLOOKUP(
      BB$7,
      Actuals!$H$3:$BM$3,
      Actuals!$H:$BM
   )
)</f>
        <v>0</v>
      </c>
      <c r="BC24" s="324">
        <f>VLOOKUP($B$4&amp;" "&amp;$B24,Budget!$AG$4:$AL$132,$BB$5+1,FALSE)</f>
        <v>0</v>
      </c>
      <c r="BD24" s="324">
        <f>BB24-BC24</f>
        <v>0</v>
      </c>
      <c r="BE24" s="324"/>
      <c r="BF24" s="324" cm="1">
        <f t="array" ref="BF24">_xlfn.XLOOKUP(
   $B$4&amp;" "&amp;$B24,
   Actuals!$D:$D,
   _xlfn.XLOOKUP(
      BF$7,
      Actuals!$H$3:$BM$3,
      Actuals!$H:$BM
   )
)</f>
        <v>0</v>
      </c>
      <c r="BG24" s="324">
        <f>VLOOKUP($B$4&amp;" "&amp;$B24,Budget!$AG$4:$AL$132,BF$5+1,FALSE)</f>
        <v>0</v>
      </c>
      <c r="BH24" s="324">
        <f>BF24-BG24</f>
        <v>0</v>
      </c>
      <c r="BI24" s="324"/>
      <c r="BJ24" s="324" cm="1">
        <f t="array" ref="BJ24">_xlfn.XLOOKUP(
   $B$4&amp;" "&amp;$B24,
   Actuals!$D:$D,
   _xlfn.XLOOKUP(
      BJ$7,
      Actuals!$H$3:$BM$3,
      Actuals!$H:$BM
   )
)</f>
        <v>0</v>
      </c>
      <c r="BK24" s="324">
        <f>VLOOKUP($B$4&amp;" "&amp;$B24,Budget!$AG$4:$AL$132,BJ$5+1,FALSE)</f>
        <v>0</v>
      </c>
      <c r="BL24" s="324">
        <f>BJ24-BK24</f>
        <v>0</v>
      </c>
      <c r="BM24" s="324"/>
      <c r="BN24" s="324" cm="1">
        <f t="array" ref="BN24">_xlfn.XLOOKUP(
   $B$4&amp;" "&amp;$B24,
   Actuals!$D:$D,
   _xlfn.XLOOKUP(
      BN$7,
      Actuals!$H$3:$BM$3,
      Actuals!$H:$BM
   )
)</f>
        <v>0</v>
      </c>
      <c r="BO24" s="324">
        <f>VLOOKUP($B$4&amp;" "&amp;$B24,Budget!$AG$4:$AL$132,BN$5+1,FALSE)</f>
        <v>0</v>
      </c>
      <c r="BP24" s="324"/>
      <c r="BQ24" s="324"/>
      <c r="BR24" s="324" cm="1">
        <f t="array" aca="1" ref="BR24" ca="1">_xlfn.XLOOKUP(
   $B$4&amp;" "&amp;$B24,
   Actuals!$D:$D,
   _xlfn.XLOOKUP(
      BR$6,
      Actuals!$H$3:$BM$3,
      Actuals!$H:$BM
   )
)</f>
        <v>0</v>
      </c>
      <c r="BS24" s="324">
        <f ca="1">VLOOKUP($B$4&amp;" "&amp;$B24,Budget!$AG$4:$AL$132,6,FALSE)</f>
        <v>0</v>
      </c>
      <c r="BT24" s="324">
        <f ca="1">BR24-BS24</f>
        <v>0</v>
      </c>
      <c r="BU24" s="324"/>
      <c r="BV24" s="324" cm="1">
        <f t="array" ref="BV24">_xlfn.XLOOKUP(
   $B$4&amp;" "&amp;$B24,
   Actuals!$D:$D,
   _xlfn.XLOOKUP(
      BV$6,
      Actuals!$H$3:$BM$3,
      Actuals!$H:$BM
   )
)</f>
        <v>0</v>
      </c>
    </row>
    <row r="25" spans="2:76">
      <c r="B25" s="26" t="s">
        <v>81</v>
      </c>
      <c r="C25" s="139" t="s">
        <v>47</v>
      </c>
      <c r="D25" s="171" t="str">
        <f>VLOOKUP($B$4&amp;" "&amp;$B25,Actuals!$D$4:$AG$131,3,FALSE)</f>
        <v>#</v>
      </c>
      <c r="E25" s="270" cm="1">
        <f t="array" ref="E25">_xlfn.XLOOKUP(
   $B$4&amp;" "&amp;$B25,
   Actuals!$D:$D,
   _xlfn.XLOOKUP(
      E$6,
      Actuals!$H$3:$BD$3,
      Actuals!$H:$BD
   )
)</f>
        <v>314000</v>
      </c>
      <c r="F25" s="270" cm="1">
        <f t="array" ref="F25">_xlfn.XLOOKUP(
   $B$4&amp;" "&amp;$B25,
   Actuals!$D:$D,
   _xlfn.XLOOKUP(
      F$6,
      Actuals!$H$3:$BD$3,
      Actuals!$H:$BD
   )
)</f>
        <v>396000</v>
      </c>
      <c r="G25" s="270" cm="1">
        <f t="array" ref="G25">_xlfn.XLOOKUP(
   $B$4&amp;" "&amp;$B25,
   Actuals!$D:$D,
   _xlfn.XLOOKUP(
      G$6,
      Actuals!$H$3:$BD$3,
      Actuals!$H:$BD
   )
)</f>
        <v>396000</v>
      </c>
      <c r="H25" s="270" cm="1">
        <f t="array" ref="H25">_xlfn.XLOOKUP(
   $B$4&amp;" "&amp;$B25,
   Actuals!$D:$D,
   _xlfn.XLOOKUP(
      H$6,
      Actuals!$H$3:$BD$3,
      Actuals!$H:$BD
   )
)</f>
        <v>182000</v>
      </c>
      <c r="I25" s="270" cm="1">
        <f t="array" ref="I25">_xlfn.XLOOKUP(
   $B$4&amp;" "&amp;$B25,
   Actuals!$D:$D,
   _xlfn.XLOOKUP(
      I$6,
      Actuals!$H$3:$BD$3,
      Actuals!$H:$BD
   )
)</f>
        <v>198625</v>
      </c>
      <c r="J25" s="270" cm="1">
        <f t="array" ref="J25">_xlfn.XLOOKUP(
   $B$4&amp;" "&amp;$B25,
   Actuals!$D:$D,
   _xlfn.XLOOKUP(
      J$6,
      Actuals!$H$3:$BD$3,
      Actuals!$H:$BD
   )
)</f>
        <v>0</v>
      </c>
      <c r="K25" s="270" cm="1">
        <f t="array" ref="K25">_xlfn.XLOOKUP(
   $B$4&amp;" "&amp;$B25,
   Actuals!$D:$D,
   _xlfn.XLOOKUP(
      K$6,
      Actuals!$H$3:$BD$3,
      Actuals!$H:$BD
   )
)</f>
        <v>0</v>
      </c>
      <c r="L25" s="270" cm="1">
        <f t="array" ref="L25">_xlfn.XLOOKUP(
   $B$4&amp;" "&amp;$B25,
   Actuals!$D:$D,
   _xlfn.XLOOKUP(
      L$6,
      Actuals!$H$3:$BD$3,
      Actuals!$H:$BD
   )
)</f>
        <v>148000</v>
      </c>
      <c r="M25" s="270" cm="1">
        <f t="array" ref="M25">_xlfn.XLOOKUP(
   $B$4&amp;" "&amp;$B25,
   Actuals!$D:$D,
   _xlfn.XLOOKUP(
      M$6,
      Actuals!$H$3:$BD$3,
      Actuals!$H:$BD
   )
)</f>
        <v>148000</v>
      </c>
      <c r="N25" s="270" cm="1">
        <f t="array" ref="N25">_xlfn.XLOOKUP(
   $B$4&amp;" "&amp;$B25,
   Actuals!$D:$D,
   _xlfn.XLOOKUP(
      N$6,
      Actuals!$H$3:$BD$3,
      Actuals!$H:$BD
   )
)</f>
        <v>323000</v>
      </c>
      <c r="O25" s="324" cm="1">
        <f t="array" ref="O25">_xlfn.XLOOKUP(
   $B$4&amp;" "&amp;$B25,
   Actuals!$D:$D,
   _xlfn.XLOOKUP(
      O$6,
      Actuals!$H$3:$BD$3,
      Actuals!$H:$BD
   )
)</f>
        <v>0</v>
      </c>
      <c r="P25" s="324" cm="1">
        <f t="array" ref="P25">_xlfn.XLOOKUP(
   $B$4&amp;" "&amp;$B25,
   Actuals!$D:$D,
   _xlfn.XLOOKUP(
      P$6,
      Actuals!$H$3:$BD$3,
      Actuals!$H:$BD
   )
)</f>
        <v>0</v>
      </c>
      <c r="Q25" s="324" cm="1">
        <f t="array" ref="Q25">_xlfn.XLOOKUP(
   $B$4&amp;" "&amp;$B25,
   Actuals!$D:$D,
   _xlfn.XLOOKUP(
      Q$6,
      Actuals!$H$3:$BD$3,
      Actuals!$H:$BD
   )
)</f>
        <v>0</v>
      </c>
      <c r="R25" s="324" cm="1">
        <f t="array" ref="R25">_xlfn.XLOOKUP(
   $B$4&amp;" "&amp;$B25,
   Actuals!$D:$D,
   _xlfn.XLOOKUP(
      R$6,
      Actuals!$H$3:$BD$3,
      Actuals!$H:$BD
   )
)</f>
        <v>0</v>
      </c>
      <c r="S25" s="324" cm="1">
        <f t="array" ref="S25">_xlfn.XLOOKUP(
   $B$4&amp;" "&amp;$B25,
   Actuals!$D:$D,
   _xlfn.XLOOKUP(
      S$6,
      Actuals!$H$3:$BD$3,
      Actuals!$H:$BD
   )
)</f>
        <v>0</v>
      </c>
      <c r="T25" s="324" cm="1">
        <f t="array" ref="T25">_xlfn.XLOOKUP(
   $B$4&amp;" "&amp;$B25,
   Actuals!$D:$D,
   _xlfn.XLOOKUP(
      T$6,
      Actuals!$H$3:$BD$3,
      Actuals!$H:$BD
   )
)</f>
        <v>0</v>
      </c>
      <c r="U25" s="324" cm="1">
        <f t="array" ref="U25">_xlfn.XLOOKUP(
   $B$4&amp;" "&amp;$B25,
   Actuals!$D:$D,
   _xlfn.XLOOKUP(
      U$6,
      Actuals!$H$3:$BD$3,
      Actuals!$H:$BD
   )
)</f>
        <v>0</v>
      </c>
      <c r="V25" s="324" cm="1">
        <f t="array" ref="V25">_xlfn.XLOOKUP(
   $B$4&amp;" "&amp;$B25,
   Actuals!$D:$D,
   _xlfn.XLOOKUP(
      V$6,
      Actuals!$H$3:$BD$3,
      Actuals!$H:$BD
   )
)</f>
        <v>0</v>
      </c>
      <c r="W25" s="324" cm="1">
        <f t="array" ref="W25">_xlfn.XLOOKUP(
   $B$4&amp;" "&amp;$B25,
   Actuals!$D:$D,
   _xlfn.XLOOKUP(
      W$6,
      Actuals!$H$3:$BD$3,
      Actuals!$H:$BD
   )
)</f>
        <v>0</v>
      </c>
      <c r="X25" s="324" cm="1">
        <f t="array" ref="X25">_xlfn.XLOOKUP(
   $B$4&amp;" "&amp;$B25,
   Actuals!$D:$D,
   _xlfn.XLOOKUP(
      X$6,
      Actuals!$H$3:$BD$3,
      Actuals!$H:$BD
   )
)</f>
        <v>0</v>
      </c>
      <c r="Y25" s="324" cm="1">
        <f t="array" ref="Y25">_xlfn.XLOOKUP(
   $B$4&amp;" "&amp;$B25,
   Actuals!$D:$D,
   _xlfn.XLOOKUP(
      Y$6,
      Actuals!$H$3:$BD$3,
      Actuals!$H:$BD
   )
)</f>
        <v>0</v>
      </c>
      <c r="Z25" s="324" cm="1">
        <f t="array" ref="Z25">_xlfn.XLOOKUP(
   $B$4&amp;" "&amp;$B25,
   Actuals!$D:$D,
   _xlfn.XLOOKUP(
      Z$6,
      Actuals!$H$3:$BD$3,
      Actuals!$H:$BD
   )
)</f>
        <v>0</v>
      </c>
      <c r="AA25" s="324" cm="1">
        <f t="array" ref="AA25">_xlfn.XLOOKUP(
   $B$4&amp;" "&amp;$B25,
   Actuals!$D:$D,
   _xlfn.XLOOKUP(
      AA$6,
      Actuals!$H$3:$BD$3,
      Actuals!$H:$BD
   )
)</f>
        <v>0</v>
      </c>
      <c r="AB25" s="324" cm="1">
        <f t="array" ref="AB25">_xlfn.XLOOKUP(
   $B$4&amp;" "&amp;$B25,
   Actuals!$D:$D,
   _xlfn.XLOOKUP(
      AB$6,
      Actuals!$H$3:$BD$3,
      Actuals!$H:$BD
   )
)</f>
        <v>0</v>
      </c>
      <c r="AC25" s="324" cm="1">
        <f t="array" ref="AC25">_xlfn.XLOOKUP(
   $B$4&amp;" "&amp;$B25,
   Actuals!$D:$D,
   _xlfn.XLOOKUP(
      AC$6,
      Actuals!$H$3:$BD$3,
      Actuals!$H:$BD
   )
)</f>
        <v>0</v>
      </c>
      <c r="AD25" s="324" cm="1">
        <f t="array" ref="AD25">_xlfn.XLOOKUP(
   $B$4&amp;" "&amp;$B25,
   Actuals!$D:$D,
   _xlfn.XLOOKUP(
      AD$6,
      Actuals!$H$3:$BD$3,
      Actuals!$H:$BD
   )
)</f>
        <v>0</v>
      </c>
      <c r="AE25" s="324" cm="1">
        <f t="array" ref="AE25">_xlfn.XLOOKUP(
   $B$4&amp;" "&amp;$B25,
   Actuals!$D:$D,
   _xlfn.XLOOKUP(
      AE$6,
      Actuals!$H$3:$BD$3,
      Actuals!$H:$BD
   )
)</f>
        <v>0</v>
      </c>
      <c r="AF25" s="324" cm="1">
        <f t="array" ref="AF25">_xlfn.XLOOKUP(
   $B$4&amp;" "&amp;$B25,
   Actuals!$D:$D,
   _xlfn.XLOOKUP(
      AF$6,
      Actuals!$H$3:$BD$3,
      Actuals!$H:$BD
   )
)</f>
        <v>0</v>
      </c>
      <c r="AG25" s="324" cm="1">
        <f t="array" ref="AG25">_xlfn.XLOOKUP(
   $B$4&amp;" "&amp;$B25,
   Actuals!$D:$D,
   _xlfn.XLOOKUP(
      AG$6,
      Actuals!$H$3:$BD$3,
      Actuals!$H:$BD
   )
)</f>
        <v>0</v>
      </c>
      <c r="AH25" s="324" cm="1">
        <f t="array" ref="AH25">_xlfn.XLOOKUP(
   $B$4&amp;" "&amp;$B25,
   Actuals!$D:$D,
   _xlfn.XLOOKUP(
      AH$6,
      Actuals!$H$3:$BD$3,
      Actuals!$H:$BD
   )
)</f>
        <v>0</v>
      </c>
      <c r="AI25" s="324" cm="1">
        <f t="array" ref="AI25">_xlfn.XLOOKUP(
   $B$4&amp;" "&amp;$B25,
   Actuals!$D:$D,
   _xlfn.XLOOKUP(
      AI$6,
      Actuals!$H$3:$BD$3,
      Actuals!$H:$BD
   )
)</f>
        <v>80000</v>
      </c>
      <c r="AJ25" s="324" cm="1">
        <f t="array" ref="AJ25">_xlfn.XLOOKUP(
   $B$4&amp;" "&amp;$B25,
   Actuals!$D:$D,
   _xlfn.XLOOKUP(
      AJ$6,
      Actuals!$H$3:$BD$3,
      Actuals!$H:$BD
   )
)</f>
        <v>80000</v>
      </c>
      <c r="AK25" s="324" cm="1">
        <f t="array" ref="AK25">_xlfn.XLOOKUP(
   $B$4&amp;" "&amp;$B25,
   Actuals!$D:$D,
   _xlfn.XLOOKUP(
      AK$6,
      Actuals!$H$3:$BD$3,
      Actuals!$H:$BD
   )
)</f>
        <v>80000</v>
      </c>
      <c r="AL25" s="324" cm="1">
        <f t="array" ref="AL25">_xlfn.XLOOKUP(
   $B$4&amp;" "&amp;$B25,
   Actuals!$D:$D,
   _xlfn.XLOOKUP(
      AL$6,
      Actuals!$H$3:$BD$3,
      Actuals!$H:$BD
   )
)</f>
        <v>0</v>
      </c>
      <c r="AM25" s="324" cm="1">
        <f t="array" ref="AM25">_xlfn.XLOOKUP(
   $B$4&amp;" "&amp;$B25,
   Actuals!$D:$D,
   _xlfn.XLOOKUP(
      AM$6,
      Actuals!$H$3:$BD$3,
      Actuals!$H:$BD
   )
)</f>
        <v>235000</v>
      </c>
      <c r="AN25" s="324" cm="1">
        <f t="array" ref="AN25">_xlfn.XLOOKUP(
   $B$4&amp;" "&amp;$B25,
   Actuals!$D:$D,
   _xlfn.XLOOKUP(
      AN$6,
      Actuals!$H$3:$BD$3,
      Actuals!$H:$BD
   )
)</f>
        <v>199500</v>
      </c>
      <c r="AO25" s="324" cm="1">
        <f t="array" ref="AO25">_xlfn.XLOOKUP(
   $B$4&amp;" "&amp;$B25,
   Actuals!$D:$D,
   _xlfn.XLOOKUP(
      AO$6,
      Actuals!$H$3:$BD$3,
      Actuals!$H:$BD
   )
)</f>
        <v>0</v>
      </c>
      <c r="AP25" s="324" cm="1">
        <f t="array" ref="AP25">_xlfn.XLOOKUP(
   $B$4&amp;" "&amp;$B25,
   Actuals!$D:$D,
   _xlfn.XLOOKUP(
      AP$6,
      Actuals!$H$3:$BD$3,
      Actuals!$H:$BD
   )
)</f>
        <v>0</v>
      </c>
      <c r="AQ25" s="324" cm="1">
        <f t="array" ref="AQ25">_xlfn.XLOOKUP(
   $B$4&amp;" "&amp;$B25,
   Actuals!$D:$D,
   _xlfn.XLOOKUP(
      AQ$6,
      Actuals!$H$3:$BD$3,
      Actuals!$H:$BD
   )
)</f>
        <v>0</v>
      </c>
      <c r="AR25" s="324" cm="1">
        <f t="array" ref="AR25">_xlfn.XLOOKUP(
   $B$4&amp;" "&amp;$B25,
   Actuals!$D:$D,
   _xlfn.XLOOKUP(
      AR$6,
      Actuals!$H$3:$BD$3,
      Actuals!$H:$BD
   )
)</f>
        <v>0</v>
      </c>
      <c r="AS25" s="324" cm="1">
        <f t="array" ref="AS25">_xlfn.XLOOKUP(
   $B$4&amp;" "&amp;$B25,
   Actuals!$D:$D,
   _xlfn.XLOOKUP(
      AS$6,
      Actuals!$H$3:$BD$3,
      Actuals!$H:$BD
   )
)</f>
        <v>0</v>
      </c>
      <c r="AT25" s="324" cm="1">
        <f t="array" ref="AT25">_xlfn.XLOOKUP(
   $B$4&amp;" "&amp;$B25,
   Actuals!$D:$D,
   _xlfn.XLOOKUP(
      AT$6,
      Actuals!$H$3:$BD$3,
      Actuals!$H:$BD
   )
)</f>
        <v>0</v>
      </c>
      <c r="AU25" s="324" cm="1">
        <f t="array" ref="AU25">_xlfn.XLOOKUP(
   $B$4&amp;" "&amp;$B25,
   Actuals!$D:$D,
   _xlfn.XLOOKUP(
      AU$6,
      Actuals!$H$3:$BD$3,
      Actuals!$H:$BD
   )
)</f>
        <v>0</v>
      </c>
      <c r="AV25" s="324" cm="1">
        <f t="array" ref="AV25">_xlfn.XLOOKUP(
   $B$4&amp;" "&amp;$B25,
   Actuals!$D:$D,
   _xlfn.XLOOKUP(
      AV$6,
      Actuals!$H$3:$BD$3,
      Actuals!$H:$BD
   )
)</f>
        <v>0</v>
      </c>
      <c r="AW25" s="324" cm="1">
        <f t="array" ref="AW25">_xlfn.XLOOKUP(
   $B$4&amp;" "&amp;$B25,
   Actuals!$D:$D,
   _xlfn.XLOOKUP(
      AW$6,
      Actuals!$H$3:$BD$3,
      Actuals!$H:$BD
   )
)</f>
        <v>0</v>
      </c>
      <c r="AX25" s="324" cm="1">
        <f t="array" ref="AX25">_xlfn.XLOOKUP(
   $B$4&amp;" "&amp;$B25,
   Actuals!$D:$D,
   _xlfn.XLOOKUP(
      AX$6,
      Actuals!$H$3:$BD$3,
      Actuals!$H:$BD
   )
)</f>
        <v>0</v>
      </c>
      <c r="AY25" s="324" cm="1">
        <f t="array" ref="AY25">_xlfn.XLOOKUP(
   $B$4&amp;" "&amp;$B25,
   Actuals!$D:$D,
   _xlfn.XLOOKUP(
      AY$6,
      Actuals!$H$3:$BD$3,
      Actuals!$H:$BD
   )
)</f>
        <v>0</v>
      </c>
      <c r="AZ25" s="324" cm="1">
        <f t="array" ref="AZ25">_xlfn.XLOOKUP(
   $B$4&amp;" "&amp;$B25,
   Actuals!$D:$D,
   _xlfn.XLOOKUP(
      AZ$6,
      Actuals!$H$3:$BD$3,
      Actuals!$H:$BD
   )
)</f>
        <v>0</v>
      </c>
      <c r="BA25" s="324"/>
      <c r="BB25" s="324" cm="1">
        <f t="array" ref="BB25">_xlfn.XLOOKUP(
   $B$4&amp;" "&amp;$B25,
   Actuals!$D:$D,
   _xlfn.XLOOKUP(
      BB$7,
      Actuals!$H$3:$BM$3,
      Actuals!$H:$BM
   )
)</f>
        <v>0</v>
      </c>
      <c r="BC25" s="324">
        <f>VLOOKUP($B$4&amp;" "&amp;$B25,Budget!$AG$4:$AL$132,$BB$5+1,FALSE)</f>
        <v>0</v>
      </c>
      <c r="BD25" s="324">
        <f>BB25-BC25</f>
        <v>0</v>
      </c>
      <c r="BE25" s="324"/>
      <c r="BF25" s="324" cm="1">
        <f t="array" ref="BF25">_xlfn.XLOOKUP(
   $B$4&amp;" "&amp;$B25,
   Actuals!$D:$D,
   _xlfn.XLOOKUP(
      BF$7,
      Actuals!$H$3:$BM$3,
      Actuals!$H:$BM
   )
)</f>
        <v>0</v>
      </c>
      <c r="BG25" s="324">
        <f>VLOOKUP($B$4&amp;" "&amp;$B25,Budget!$AG$4:$AL$132,BF$5+1,FALSE)</f>
        <v>0</v>
      </c>
      <c r="BH25" s="324">
        <f>BF25-BG25</f>
        <v>0</v>
      </c>
      <c r="BI25" s="324"/>
      <c r="BJ25" s="324" cm="1">
        <f t="array" ref="BJ25">_xlfn.XLOOKUP(
   $B$4&amp;" "&amp;$B25,
   Actuals!$D:$D,
   _xlfn.XLOOKUP(
      BJ$7,
      Actuals!$H$3:$BM$3,
      Actuals!$H:$BM
   )
)</f>
        <v>0</v>
      </c>
      <c r="BK25" s="324">
        <f>VLOOKUP($B$4&amp;" "&amp;$B25,Budget!$AG$4:$AL$132,BJ$5+1,FALSE)</f>
        <v>0</v>
      </c>
      <c r="BL25" s="324">
        <f>BJ25-BK25</f>
        <v>0</v>
      </c>
      <c r="BM25" s="324"/>
      <c r="BN25" s="324" cm="1">
        <f t="array" ref="BN25">_xlfn.XLOOKUP(
   $B$4&amp;" "&amp;$B25,
   Actuals!$D:$D,
   _xlfn.XLOOKUP(
      BN$7,
      Actuals!$H$3:$BM$3,
      Actuals!$H:$BM
   )
)</f>
        <v>0</v>
      </c>
      <c r="BO25" s="324">
        <f>VLOOKUP($B$4&amp;" "&amp;$B25,Budget!$AG$4:$AL$132,BN$5+1,FALSE)</f>
        <v>0</v>
      </c>
      <c r="BP25" s="324"/>
      <c r="BQ25" s="324"/>
      <c r="BR25" s="324" cm="1">
        <f t="array" aca="1" ref="BR25" ca="1">_xlfn.XLOOKUP(
   $B$4&amp;" "&amp;$B25,
   Actuals!$D:$D,
   _xlfn.XLOOKUP(
      BR$6,
      Actuals!$H$3:$BM$3,
      Actuals!$H:$BM
   )
)</f>
        <v>0</v>
      </c>
      <c r="BS25" s="324">
        <f ca="1">VLOOKUP($B$4&amp;" "&amp;$B25,Budget!$AG$4:$AL$132,6,FALSE)</f>
        <v>0</v>
      </c>
      <c r="BT25" s="324">
        <f ca="1">BR25-BS25</f>
        <v>0</v>
      </c>
      <c r="BU25" s="324"/>
      <c r="BV25" s="324" cm="1">
        <f t="array" ref="BV25">_xlfn.XLOOKUP(
   $B$4&amp;" "&amp;$B25,
   Actuals!$D:$D,
   _xlfn.XLOOKUP(
      BV$6,
      Actuals!$H$3:$BM$3,
      Actuals!$H:$BM
   )
)</f>
        <v>0</v>
      </c>
    </row>
    <row r="26" spans="2:76">
      <c r="B26" s="29" t="s">
        <v>82</v>
      </c>
      <c r="C26" s="142" t="s">
        <v>47</v>
      </c>
      <c r="D26" s="172" t="str">
        <f>VLOOKUP($B$4&amp;" "&amp;$B26,Actuals!$D$4:$AG$131,3,FALSE)</f>
        <v>#</v>
      </c>
      <c r="E26" s="271" cm="1">
        <f t="array" ref="E26">_xlfn.XLOOKUP(
   $B$4&amp;" "&amp;$B26,
   Actuals!$D:$D,
   _xlfn.XLOOKUP(
      E$6,
      Actuals!$H$3:$BD$3,
      Actuals!$H:$BD
   )
)</f>
        <v>4023783</v>
      </c>
      <c r="F26" s="271" cm="1">
        <f t="array" ref="F26">_xlfn.XLOOKUP(
   $B$4&amp;" "&amp;$B26,
   Actuals!$D:$D,
   _xlfn.XLOOKUP(
      F$6,
      Actuals!$H$3:$BD$3,
      Actuals!$H:$BD
   )
)</f>
        <v>3289783</v>
      </c>
      <c r="G26" s="271" cm="1">
        <f t="array" ref="G26">_xlfn.XLOOKUP(
   $B$4&amp;" "&amp;$B26,
   Actuals!$D:$D,
   _xlfn.XLOOKUP(
      G$6,
      Actuals!$H$3:$BD$3,
      Actuals!$H:$BD
   )
)</f>
        <v>2440000</v>
      </c>
      <c r="H26" s="271" cm="1">
        <f t="array" ref="H26">_xlfn.XLOOKUP(
   $B$4&amp;" "&amp;$B26,
   Actuals!$D:$D,
   _xlfn.XLOOKUP(
      H$6,
      Actuals!$H$3:$BD$3,
      Actuals!$H:$BD
   )
)</f>
        <v>2509000</v>
      </c>
      <c r="I26" s="271" cm="1">
        <f t="array" ref="I26">_xlfn.XLOOKUP(
   $B$4&amp;" "&amp;$B26,
   Actuals!$D:$D,
   _xlfn.XLOOKUP(
      I$6,
      Actuals!$H$3:$BD$3,
      Actuals!$H:$BD
   )
)</f>
        <v>2948625</v>
      </c>
      <c r="J26" s="271" cm="1">
        <f t="array" ref="J26">_xlfn.XLOOKUP(
   $B$4&amp;" "&amp;$B26,
   Actuals!$D:$D,
   _xlfn.XLOOKUP(
      J$6,
      Actuals!$H$3:$BD$3,
      Actuals!$H:$BD
   )
)</f>
        <v>2809000</v>
      </c>
      <c r="K26" s="271" cm="1">
        <f t="array" ref="K26">_xlfn.XLOOKUP(
   $B$4&amp;" "&amp;$B26,
   Actuals!$D:$D,
   _xlfn.XLOOKUP(
      K$6,
      Actuals!$H$3:$BD$3,
      Actuals!$H:$BD
   )
)</f>
        <v>3316600</v>
      </c>
      <c r="L26" s="271" cm="1">
        <f t="array" ref="L26">_xlfn.XLOOKUP(
   $B$4&amp;" "&amp;$B26,
   Actuals!$D:$D,
   _xlfn.XLOOKUP(
      L$6,
      Actuals!$H$3:$BD$3,
      Actuals!$H:$BD
   )
)</f>
        <v>2921000</v>
      </c>
      <c r="M26" s="271" cm="1">
        <f t="array" ref="M26">_xlfn.XLOOKUP(
   $B$4&amp;" "&amp;$B26,
   Actuals!$D:$D,
   _xlfn.XLOOKUP(
      M$6,
      Actuals!$H$3:$BD$3,
      Actuals!$H:$BD
   )
)</f>
        <v>3630500</v>
      </c>
      <c r="N26" s="271" cm="1">
        <f t="array" ref="N26">_xlfn.XLOOKUP(
   $B$4&amp;" "&amp;$B26,
   Actuals!$D:$D,
   _xlfn.XLOOKUP(
      N$6,
      Actuals!$H$3:$BD$3,
      Actuals!$H:$BD
   )
)</f>
        <v>2856000</v>
      </c>
      <c r="O26" s="325" cm="1">
        <f t="array" ref="O26">_xlfn.XLOOKUP(
   $B$4&amp;" "&amp;$B26,
   Actuals!$D:$D,
   _xlfn.XLOOKUP(
      O$6,
      Actuals!$H$3:$BD$3,
      Actuals!$H:$BD
   )
)</f>
        <v>0</v>
      </c>
      <c r="P26" s="325" cm="1">
        <f t="array" ref="P26">_xlfn.XLOOKUP(
   $B$4&amp;" "&amp;$B26,
   Actuals!$D:$D,
   _xlfn.XLOOKUP(
      P$6,
      Actuals!$H$3:$BD$3,
      Actuals!$H:$BD
   )
)</f>
        <v>0</v>
      </c>
      <c r="Q26" s="325" cm="1">
        <f t="array" ref="Q26">_xlfn.XLOOKUP(
   $B$4&amp;" "&amp;$B26,
   Actuals!$D:$D,
   _xlfn.XLOOKUP(
      Q$6,
      Actuals!$H$3:$BD$3,
      Actuals!$H:$BD
   )
)</f>
        <v>0</v>
      </c>
      <c r="R26" s="325" cm="1">
        <f t="array" ref="R26">_xlfn.XLOOKUP(
   $B$4&amp;" "&amp;$B26,
   Actuals!$D:$D,
   _xlfn.XLOOKUP(
      R$6,
      Actuals!$H$3:$BD$3,
      Actuals!$H:$BD
   )
)</f>
        <v>0</v>
      </c>
      <c r="S26" s="325" cm="1">
        <f t="array" ref="S26">_xlfn.XLOOKUP(
   $B$4&amp;" "&amp;$B26,
   Actuals!$D:$D,
   _xlfn.XLOOKUP(
      S$6,
      Actuals!$H$3:$BD$3,
      Actuals!$H:$BD
   )
)</f>
        <v>0</v>
      </c>
      <c r="T26" s="325" cm="1">
        <f t="array" ref="T26">_xlfn.XLOOKUP(
   $B$4&amp;" "&amp;$B26,
   Actuals!$D:$D,
   _xlfn.XLOOKUP(
      T$6,
      Actuals!$H$3:$BD$3,
      Actuals!$H:$BD
   )
)</f>
        <v>0</v>
      </c>
      <c r="U26" s="325" cm="1">
        <f t="array" ref="U26">_xlfn.XLOOKUP(
   $B$4&amp;" "&amp;$B26,
   Actuals!$D:$D,
   _xlfn.XLOOKUP(
      U$6,
      Actuals!$H$3:$BD$3,
      Actuals!$H:$BD
   )
)</f>
        <v>0</v>
      </c>
      <c r="V26" s="325" cm="1">
        <f t="array" ref="V26">_xlfn.XLOOKUP(
   $B$4&amp;" "&amp;$B26,
   Actuals!$D:$D,
   _xlfn.XLOOKUP(
      V$6,
      Actuals!$H$3:$BD$3,
      Actuals!$H:$BD
   )
)</f>
        <v>0</v>
      </c>
      <c r="W26" s="325" cm="1">
        <f t="array" ref="W26">_xlfn.XLOOKUP(
   $B$4&amp;" "&amp;$B26,
   Actuals!$D:$D,
   _xlfn.XLOOKUP(
      W$6,
      Actuals!$H$3:$BD$3,
      Actuals!$H:$BD
   )
)</f>
        <v>0</v>
      </c>
      <c r="X26" s="325" cm="1">
        <f t="array" ref="X26">_xlfn.XLOOKUP(
   $B$4&amp;" "&amp;$B26,
   Actuals!$D:$D,
   _xlfn.XLOOKUP(
      X$6,
      Actuals!$H$3:$BD$3,
      Actuals!$H:$BD
   )
)</f>
        <v>0</v>
      </c>
      <c r="Y26" s="325" cm="1">
        <f t="array" ref="Y26">_xlfn.XLOOKUP(
   $B$4&amp;" "&amp;$B26,
   Actuals!$D:$D,
   _xlfn.XLOOKUP(
      Y$6,
      Actuals!$H$3:$BD$3,
      Actuals!$H:$BD
   )
)</f>
        <v>0</v>
      </c>
      <c r="Z26" s="325" cm="1">
        <f t="array" ref="Z26">_xlfn.XLOOKUP(
   $B$4&amp;" "&amp;$B26,
   Actuals!$D:$D,
   _xlfn.XLOOKUP(
      Z$6,
      Actuals!$H$3:$BD$3,
      Actuals!$H:$BD
   )
)</f>
        <v>0</v>
      </c>
      <c r="AA26" s="325" cm="1">
        <f t="array" ref="AA26">_xlfn.XLOOKUP(
   $B$4&amp;" "&amp;$B26,
   Actuals!$D:$D,
   _xlfn.XLOOKUP(
      AA$6,
      Actuals!$H$3:$BD$3,
      Actuals!$H:$BD
   )
)</f>
        <v>0</v>
      </c>
      <c r="AB26" s="325" cm="1">
        <f t="array" ref="AB26">_xlfn.XLOOKUP(
   $B$4&amp;" "&amp;$B26,
   Actuals!$D:$D,
   _xlfn.XLOOKUP(
      AB$6,
      Actuals!$H$3:$BD$3,
      Actuals!$H:$BD
   )
)</f>
        <v>0</v>
      </c>
      <c r="AC26" s="325" cm="1">
        <f t="array" ref="AC26">_xlfn.XLOOKUP(
   $B$4&amp;" "&amp;$B26,
   Actuals!$D:$D,
   _xlfn.XLOOKUP(
      AC$6,
      Actuals!$H$3:$BD$3,
      Actuals!$H:$BD
   )
)</f>
        <v>0</v>
      </c>
      <c r="AD26" s="325" cm="1">
        <f t="array" ref="AD26">_xlfn.XLOOKUP(
   $B$4&amp;" "&amp;$B26,
   Actuals!$D:$D,
   _xlfn.XLOOKUP(
      AD$6,
      Actuals!$H$3:$BD$3,
      Actuals!$H:$BD
   )
)</f>
        <v>0</v>
      </c>
      <c r="AE26" s="325" cm="1">
        <f t="array" ref="AE26">_xlfn.XLOOKUP(
   $B$4&amp;" "&amp;$B26,
   Actuals!$D:$D,
   _xlfn.XLOOKUP(
      AE$6,
      Actuals!$H$3:$BD$3,
      Actuals!$H:$BD
   )
)</f>
        <v>0</v>
      </c>
      <c r="AF26" s="325" cm="1">
        <f t="array" ref="AF26">_xlfn.XLOOKUP(
   $B$4&amp;" "&amp;$B26,
   Actuals!$D:$D,
   _xlfn.XLOOKUP(
      AF$6,
      Actuals!$H$3:$BD$3,
      Actuals!$H:$BD
   )
)</f>
        <v>0</v>
      </c>
      <c r="AG26" s="325" cm="1">
        <f t="array" ref="AG26">_xlfn.XLOOKUP(
   $B$4&amp;" "&amp;$B26,
   Actuals!$D:$D,
   _xlfn.XLOOKUP(
      AG$6,
      Actuals!$H$3:$BD$3,
      Actuals!$H:$BD
   )
)</f>
        <v>0</v>
      </c>
      <c r="AH26" s="325" cm="1">
        <f t="array" ref="AH26">_xlfn.XLOOKUP(
   $B$4&amp;" "&amp;$B26,
   Actuals!$D:$D,
   _xlfn.XLOOKUP(
      AH$6,
      Actuals!$H$3:$BD$3,
      Actuals!$H:$BD
   )
)</f>
        <v>0</v>
      </c>
      <c r="AI26" s="325" cm="1">
        <f t="array" ref="AI26">_xlfn.XLOOKUP(
   $B$4&amp;" "&amp;$B26,
   Actuals!$D:$D,
   _xlfn.XLOOKUP(
      AI$6,
      Actuals!$H$3:$BD$3,
      Actuals!$H:$BD
   )
)</f>
        <v>1535000</v>
      </c>
      <c r="AJ26" s="325" cm="1">
        <f t="array" ref="AJ26">_xlfn.XLOOKUP(
   $B$4&amp;" "&amp;$B26,
   Actuals!$D:$D,
   _xlfn.XLOOKUP(
      AJ$6,
      Actuals!$H$3:$BD$3,
      Actuals!$H:$BD
   )
)</f>
        <v>1535000</v>
      </c>
      <c r="AK26" s="325" cm="1">
        <f t="array" ref="AK26">_xlfn.XLOOKUP(
   $B$4&amp;" "&amp;$B26,
   Actuals!$D:$D,
   _xlfn.XLOOKUP(
      AK$6,
      Actuals!$H$3:$BD$3,
      Actuals!$H:$BD
   )
)</f>
        <v>1535000</v>
      </c>
      <c r="AL26" s="325" cm="1">
        <f t="array" ref="AL26">_xlfn.XLOOKUP(
   $B$4&amp;" "&amp;$B26,
   Actuals!$D:$D,
   _xlfn.XLOOKUP(
      AL$6,
      Actuals!$H$3:$BD$3,
      Actuals!$H:$BD
   )
)</f>
        <v>0</v>
      </c>
      <c r="AM26" s="325" cm="1">
        <f t="array" ref="AM26">_xlfn.XLOOKUP(
   $B$4&amp;" "&amp;$B26,
   Actuals!$D:$D,
   _xlfn.XLOOKUP(
      AM$6,
      Actuals!$H$3:$BD$3,
      Actuals!$H:$BD
   )
)</f>
        <v>2512000</v>
      </c>
      <c r="AN26" s="325" cm="1">
        <f t="array" ref="AN26">_xlfn.XLOOKUP(
   $B$4&amp;" "&amp;$B26,
   Actuals!$D:$D,
   _xlfn.XLOOKUP(
      AN$6,
      Actuals!$H$3:$BD$3,
      Actuals!$H:$BD
   )
)</f>
        <v>329000</v>
      </c>
      <c r="AO26" s="325" cm="1">
        <f t="array" ref="AO26">_xlfn.XLOOKUP(
   $B$4&amp;" "&amp;$B26,
   Actuals!$D:$D,
   _xlfn.XLOOKUP(
      AO$6,
      Actuals!$H$3:$BD$3,
      Actuals!$H:$BD
   )
)</f>
        <v>0</v>
      </c>
      <c r="AP26" s="325" cm="1">
        <f t="array" ref="AP26">_xlfn.XLOOKUP(
   $B$4&amp;" "&amp;$B26,
   Actuals!$D:$D,
   _xlfn.XLOOKUP(
      AP$6,
      Actuals!$H$3:$BD$3,
      Actuals!$H:$BD
   )
)</f>
        <v>0</v>
      </c>
      <c r="AQ26" s="325" cm="1">
        <f t="array" ref="AQ26">_xlfn.XLOOKUP(
   $B$4&amp;" "&amp;$B26,
   Actuals!$D:$D,
   _xlfn.XLOOKUP(
      AQ$6,
      Actuals!$H$3:$BD$3,
      Actuals!$H:$BD
   )
)</f>
        <v>0</v>
      </c>
      <c r="AR26" s="325" cm="1">
        <f t="array" ref="AR26">_xlfn.XLOOKUP(
   $B$4&amp;" "&amp;$B26,
   Actuals!$D:$D,
   _xlfn.XLOOKUP(
      AR$6,
      Actuals!$H$3:$BD$3,
      Actuals!$H:$BD
   )
)</f>
        <v>0</v>
      </c>
      <c r="AS26" s="325" cm="1">
        <f t="array" ref="AS26">_xlfn.XLOOKUP(
   $B$4&amp;" "&amp;$B26,
   Actuals!$D:$D,
   _xlfn.XLOOKUP(
      AS$6,
      Actuals!$H$3:$BD$3,
      Actuals!$H:$BD
   )
)</f>
        <v>0</v>
      </c>
      <c r="AT26" s="325" cm="1">
        <f t="array" ref="AT26">_xlfn.XLOOKUP(
   $B$4&amp;" "&amp;$B26,
   Actuals!$D:$D,
   _xlfn.XLOOKUP(
      AT$6,
      Actuals!$H$3:$BD$3,
      Actuals!$H:$BD
   )
)</f>
        <v>0</v>
      </c>
      <c r="AU26" s="325" cm="1">
        <f t="array" ref="AU26">_xlfn.XLOOKUP(
   $B$4&amp;" "&amp;$B26,
   Actuals!$D:$D,
   _xlfn.XLOOKUP(
      AU$6,
      Actuals!$H$3:$BD$3,
      Actuals!$H:$BD
   )
)</f>
        <v>0</v>
      </c>
      <c r="AV26" s="325" cm="1">
        <f t="array" ref="AV26">_xlfn.XLOOKUP(
   $B$4&amp;" "&amp;$B26,
   Actuals!$D:$D,
   _xlfn.XLOOKUP(
      AV$6,
      Actuals!$H$3:$BD$3,
      Actuals!$H:$BD
   )
)</f>
        <v>0</v>
      </c>
      <c r="AW26" s="325" cm="1">
        <f t="array" ref="AW26">_xlfn.XLOOKUP(
   $B$4&amp;" "&amp;$B26,
   Actuals!$D:$D,
   _xlfn.XLOOKUP(
      AW$6,
      Actuals!$H$3:$BD$3,
      Actuals!$H:$BD
   )
)</f>
        <v>0</v>
      </c>
      <c r="AX26" s="325" cm="1">
        <f t="array" ref="AX26">_xlfn.XLOOKUP(
   $B$4&amp;" "&amp;$B26,
   Actuals!$D:$D,
   _xlfn.XLOOKUP(
      AX$6,
      Actuals!$H$3:$BD$3,
      Actuals!$H:$BD
   )
)</f>
        <v>0</v>
      </c>
      <c r="AY26" s="325" cm="1">
        <f t="array" ref="AY26">_xlfn.XLOOKUP(
   $B$4&amp;" "&amp;$B26,
   Actuals!$D:$D,
   _xlfn.XLOOKUP(
      AY$6,
      Actuals!$H$3:$BD$3,
      Actuals!$H:$BD
   )
)</f>
        <v>0</v>
      </c>
      <c r="AZ26" s="325" cm="1">
        <f t="array" ref="AZ26">_xlfn.XLOOKUP(
   $B$4&amp;" "&amp;$B26,
   Actuals!$D:$D,
   _xlfn.XLOOKUP(
      AZ$6,
      Actuals!$H$3:$BD$3,
      Actuals!$H:$BD
   )
)</f>
        <v>0</v>
      </c>
      <c r="BA26" s="325"/>
      <c r="BB26" s="325" cm="1">
        <f t="array" ref="BB26">_xlfn.XLOOKUP(
   $B$4&amp;" "&amp;$B26,
   Actuals!$D:$D,
   _xlfn.XLOOKUP(
      BB$7,
      Actuals!$H$3:$BM$3,
      Actuals!$H:$BM
   )
)</f>
        <v>0</v>
      </c>
      <c r="BC26" s="325">
        <f>VLOOKUP($B$4&amp;" "&amp;$B26,Budget!$AG$4:$AL$132,$BB$5+1,FALSE)</f>
        <v>0</v>
      </c>
      <c r="BD26" s="325">
        <f>BB26-BC26</f>
        <v>0</v>
      </c>
      <c r="BE26" s="325"/>
      <c r="BF26" s="325" cm="1">
        <f t="array" ref="BF26">_xlfn.XLOOKUP(
   $B$4&amp;" "&amp;$B26,
   Actuals!$D:$D,
   _xlfn.XLOOKUP(
      BF$7,
      Actuals!$H$3:$BM$3,
      Actuals!$H:$BM
   )
)</f>
        <v>0</v>
      </c>
      <c r="BG26" s="325">
        <f>VLOOKUP($B$4&amp;" "&amp;$B26,Budget!$AG$4:$AL$132,BF$5+1,FALSE)</f>
        <v>0</v>
      </c>
      <c r="BH26" s="325">
        <f>BF26-BG26</f>
        <v>0</v>
      </c>
      <c r="BI26" s="325"/>
      <c r="BJ26" s="325" cm="1">
        <f t="array" ref="BJ26">_xlfn.XLOOKUP(
   $B$4&amp;" "&amp;$B26,
   Actuals!$D:$D,
   _xlfn.XLOOKUP(
      BJ$7,
      Actuals!$H$3:$BM$3,
      Actuals!$H:$BM
   )
)</f>
        <v>0</v>
      </c>
      <c r="BK26" s="325">
        <f>VLOOKUP($B$4&amp;" "&amp;$B26,Budget!$AG$4:$AL$132,BJ$5+1,FALSE)</f>
        <v>0</v>
      </c>
      <c r="BL26" s="325">
        <f>BJ26-BK26</f>
        <v>0</v>
      </c>
      <c r="BM26" s="325"/>
      <c r="BN26" s="325" cm="1">
        <f t="array" ref="BN26">_xlfn.XLOOKUP(
   $B$4&amp;" "&amp;$B26,
   Actuals!$D:$D,
   _xlfn.XLOOKUP(
      BN$7,
      Actuals!$H$3:$BM$3,
      Actuals!$H:$BM
   )
)</f>
        <v>0</v>
      </c>
      <c r="BO26" s="325">
        <f>VLOOKUP($B$4&amp;" "&amp;$B26,Budget!$AG$4:$AL$132,BN$5+1,FALSE)</f>
        <v>0</v>
      </c>
      <c r="BP26" s="325"/>
      <c r="BQ26" s="325"/>
      <c r="BR26" s="325" cm="1">
        <f t="array" aca="1" ref="BR26" ca="1">_xlfn.XLOOKUP(
   $B$4&amp;" "&amp;$B26,
   Actuals!$D:$D,
   _xlfn.XLOOKUP(
      BR$6,
      Actuals!$H$3:$BM$3,
      Actuals!$H:$BM
   )
)</f>
        <v>0</v>
      </c>
      <c r="BS26" s="325">
        <f ca="1">VLOOKUP($B$4&amp;" "&amp;$B26,Budget!$AG$4:$AL$132,6,FALSE)</f>
        <v>0</v>
      </c>
      <c r="BT26" s="325">
        <f ca="1">BR26-BS26</f>
        <v>0</v>
      </c>
      <c r="BU26" s="325"/>
      <c r="BV26" s="325" cm="1">
        <f t="array" ref="BV26">_xlfn.XLOOKUP(
   $B$4&amp;" "&amp;$B26,
   Actuals!$D:$D,
   _xlfn.XLOOKUP(
      BV$6,
      Actuals!$H$3:$BM$3,
      Actuals!$H:$BM
   )
)</f>
        <v>0</v>
      </c>
    </row>
    <row r="27" spans="2:76">
      <c r="C27" s="139"/>
      <c r="D27" s="171"/>
      <c r="E27" s="168"/>
      <c r="F27" s="168"/>
      <c r="G27" s="168"/>
      <c r="H27" s="168"/>
      <c r="I27" s="168"/>
      <c r="J27" s="168"/>
      <c r="K27" s="168"/>
      <c r="L27" s="168"/>
      <c r="M27" s="168"/>
      <c r="N27" s="168"/>
      <c r="O27" s="292"/>
      <c r="P27" s="292"/>
      <c r="Q27" s="292"/>
      <c r="R27" s="292"/>
      <c r="S27" s="292"/>
      <c r="T27" s="292"/>
      <c r="U27" s="292"/>
      <c r="V27" s="292"/>
      <c r="W27" s="292"/>
      <c r="X27" s="292"/>
      <c r="Y27" s="292"/>
      <c r="Z27" s="292"/>
      <c r="AA27" s="292"/>
      <c r="AB27" s="292"/>
      <c r="AC27" s="292"/>
      <c r="AD27" s="292"/>
      <c r="AE27" s="292"/>
      <c r="AF27" s="292"/>
      <c r="AG27" s="292"/>
      <c r="AH27" s="292"/>
      <c r="AI27" s="292"/>
      <c r="AJ27" s="292"/>
      <c r="AK27" s="292"/>
      <c r="AL27" s="292"/>
      <c r="AM27" s="292"/>
      <c r="AN27" s="292"/>
      <c r="AO27" s="292"/>
      <c r="AP27" s="292"/>
      <c r="AQ27" s="292"/>
      <c r="AR27" s="292"/>
      <c r="AS27" s="292"/>
      <c r="AT27" s="292"/>
      <c r="AU27" s="292"/>
      <c r="AV27" s="292"/>
      <c r="AW27" s="292"/>
      <c r="AX27" s="292"/>
      <c r="AY27" s="292"/>
      <c r="AZ27" s="292"/>
      <c r="BA27" s="292"/>
      <c r="BB27" s="292"/>
      <c r="BC27" s="292"/>
      <c r="BD27" s="292"/>
      <c r="BE27" s="292"/>
      <c r="BF27" s="292"/>
      <c r="BG27" s="292"/>
      <c r="BH27" s="292"/>
      <c r="BI27" s="292"/>
      <c r="BJ27" s="292"/>
      <c r="BK27" s="292"/>
      <c r="BL27" s="292"/>
      <c r="BM27" s="292"/>
      <c r="BN27" s="292"/>
      <c r="BO27" s="292"/>
      <c r="BP27" s="292"/>
      <c r="BQ27" s="292"/>
      <c r="BR27" s="292"/>
      <c r="BS27" s="292"/>
      <c r="BT27" s="292"/>
      <c r="BU27" s="292"/>
      <c r="BV27" s="292"/>
    </row>
    <row r="28" spans="2:76" ht="13">
      <c r="B28" s="126" t="s">
        <v>83</v>
      </c>
      <c r="C28" s="145"/>
      <c r="D28" s="176"/>
      <c r="E28" s="272"/>
      <c r="F28" s="272"/>
      <c r="G28" s="272"/>
      <c r="H28" s="272"/>
      <c r="I28" s="272"/>
      <c r="J28" s="272"/>
      <c r="K28" s="272"/>
      <c r="L28" s="272"/>
      <c r="M28" s="272"/>
      <c r="N28" s="272"/>
      <c r="O28" s="294"/>
      <c r="P28" s="294"/>
      <c r="Q28" s="294"/>
      <c r="R28" s="294"/>
      <c r="S28" s="294"/>
      <c r="T28" s="294"/>
      <c r="U28" s="294"/>
      <c r="V28" s="294"/>
      <c r="W28" s="294"/>
      <c r="X28" s="294"/>
      <c r="Y28" s="294"/>
      <c r="Z28" s="294"/>
      <c r="AA28" s="294"/>
      <c r="AB28" s="294"/>
      <c r="AC28" s="294"/>
      <c r="AD28" s="294"/>
      <c r="AE28" s="294"/>
      <c r="AF28" s="294"/>
      <c r="AG28" s="294"/>
      <c r="AH28" s="294"/>
      <c r="AI28" s="294"/>
      <c r="AJ28" s="294"/>
      <c r="AK28" s="294"/>
      <c r="AL28" s="294"/>
      <c r="AM28" s="294"/>
      <c r="AN28" s="294"/>
      <c r="AO28" s="294"/>
      <c r="AP28" s="294"/>
      <c r="AQ28" s="294"/>
      <c r="AR28" s="294"/>
      <c r="AS28" s="294"/>
      <c r="AT28" s="294"/>
      <c r="AU28" s="294"/>
      <c r="AV28" s="294"/>
      <c r="AW28" s="294"/>
      <c r="AX28" s="294"/>
      <c r="AY28" s="294"/>
      <c r="AZ28" s="294"/>
      <c r="BA28" s="294"/>
      <c r="BB28" s="294"/>
      <c r="BC28" s="294"/>
      <c r="BD28" s="294"/>
      <c r="BE28" s="294"/>
      <c r="BF28" s="294"/>
      <c r="BG28" s="294"/>
      <c r="BH28" s="294"/>
      <c r="BI28" s="294"/>
      <c r="BJ28" s="294"/>
      <c r="BK28" s="294"/>
      <c r="BL28" s="294"/>
      <c r="BM28" s="294"/>
      <c r="BN28" s="294"/>
      <c r="BO28" s="294"/>
      <c r="BP28" s="294"/>
      <c r="BQ28" s="294"/>
      <c r="BR28" s="294"/>
      <c r="BS28" s="294"/>
      <c r="BT28" s="294"/>
      <c r="BU28" s="294"/>
      <c r="BV28" s="294"/>
    </row>
    <row r="29" spans="2:76">
      <c r="B29" s="26" t="s">
        <v>84</v>
      </c>
      <c r="C29" s="139" t="s">
        <v>47</v>
      </c>
      <c r="D29" s="171" t="str">
        <f>VLOOKUP($B$4&amp;" "&amp;$B29,Actuals!$D$4:$AG$131,3,FALSE)</f>
        <v>#</v>
      </c>
      <c r="E29" s="292" cm="1">
        <f t="array" ref="E29">_xlfn.XLOOKUP(
   $B$4&amp;" "&amp;$B29,
   Actuals!$D:$D,
   _xlfn.XLOOKUP(
      E$6,
      Actuals!$H$3:$BD$3,
      Actuals!$H:$BD
   )
)</f>
        <v>45</v>
      </c>
      <c r="F29" s="292" cm="1">
        <f t="array" ref="F29">_xlfn.XLOOKUP(
   $B$4&amp;" "&amp;$B29,
   Actuals!$D:$D,
   _xlfn.XLOOKUP(
      F$6,
      Actuals!$H$3:$BD$3,
      Actuals!$H:$BD
   )
)</f>
        <v>40</v>
      </c>
      <c r="G29" s="292" cm="1">
        <f t="array" ref="G29">_xlfn.XLOOKUP(
   $B$4&amp;" "&amp;$B29,
   Actuals!$D:$D,
   _xlfn.XLOOKUP(
      G$6,
      Actuals!$H$3:$BD$3,
      Actuals!$H:$BD
   )
)</f>
        <v>28</v>
      </c>
      <c r="H29" s="292" cm="1">
        <f t="array" ref="H29">_xlfn.XLOOKUP(
   $B$4&amp;" "&amp;$B29,
   Actuals!$D:$D,
   _xlfn.XLOOKUP(
      H$6,
      Actuals!$H$3:$BD$3,
      Actuals!$H:$BD
   )
)</f>
        <v>34</v>
      </c>
      <c r="I29" s="292" cm="1">
        <f t="array" ref="I29">_xlfn.XLOOKUP(
   $B$4&amp;" "&amp;$B29,
   Actuals!$D:$D,
   _xlfn.XLOOKUP(
      I$6,
      Actuals!$H$3:$BD$3,
      Actuals!$H:$BD
   )
)</f>
        <v>48</v>
      </c>
      <c r="J29" s="292" cm="1">
        <f t="array" ref="J29">_xlfn.XLOOKUP(
   $B$4&amp;" "&amp;$B29,
   Actuals!$D:$D,
   _xlfn.XLOOKUP(
      J$6,
      Actuals!$H$3:$BD$3,
      Actuals!$H:$BD
   )
)</f>
        <v>41</v>
      </c>
      <c r="K29" s="292" cm="1">
        <f t="array" ref="K29">_xlfn.XLOOKUP(
   $B$4&amp;" "&amp;$B29,
   Actuals!$D:$D,
   _xlfn.XLOOKUP(
      K$6,
      Actuals!$H$3:$BD$3,
      Actuals!$H:$BD
   )
)</f>
        <v>50</v>
      </c>
      <c r="L29" s="292" cm="1">
        <f t="array" ref="L29">_xlfn.XLOOKUP(
   $B$4&amp;" "&amp;$B29,
   Actuals!$D:$D,
   _xlfn.XLOOKUP(
      L$6,
      Actuals!$H$3:$BD$3,
      Actuals!$H:$BD
   )
)</f>
        <v>48</v>
      </c>
      <c r="M29" s="292" cm="1">
        <f t="array" ref="M29">_xlfn.XLOOKUP(
   $B$4&amp;" "&amp;$B29,
   Actuals!$D:$D,
   _xlfn.XLOOKUP(
      M$6,
      Actuals!$H$3:$BD$3,
      Actuals!$H:$BD
   )
)</f>
        <v>44</v>
      </c>
      <c r="N29" s="292" cm="1">
        <f t="array" ref="N29">_xlfn.XLOOKUP(
   $B$4&amp;" "&amp;$B29,
   Actuals!$D:$D,
   _xlfn.XLOOKUP(
      N$6,
      Actuals!$H$3:$BD$3,
      Actuals!$H:$BD
   )
)</f>
        <v>28</v>
      </c>
      <c r="O29" s="292" cm="1">
        <f t="array" ref="O29">_xlfn.XLOOKUP(
   $B$4&amp;" "&amp;$B29,
   Actuals!$D:$D,
   _xlfn.XLOOKUP(
      O$6,
      Actuals!$H$3:$BD$3,
      Actuals!$H:$BD
   )
)</f>
        <v>0</v>
      </c>
      <c r="P29" s="292" cm="1">
        <f t="array" ref="P29">_xlfn.XLOOKUP(
   $B$4&amp;" "&amp;$B29,
   Actuals!$D:$D,
   _xlfn.XLOOKUP(
      P$6,
      Actuals!$H$3:$BD$3,
      Actuals!$H:$BD
   )
)</f>
        <v>0</v>
      </c>
      <c r="Q29" s="292" cm="1">
        <f t="array" ref="Q29">_xlfn.XLOOKUP(
   $B$4&amp;" "&amp;$B29,
   Actuals!$D:$D,
   _xlfn.XLOOKUP(
      Q$6,
      Actuals!$H$3:$BD$3,
      Actuals!$H:$BD
   )
)</f>
        <v>0</v>
      </c>
      <c r="R29" s="292" cm="1">
        <f t="array" ref="R29">_xlfn.XLOOKUP(
   $B$4&amp;" "&amp;$B29,
   Actuals!$D:$D,
   _xlfn.XLOOKUP(
      R$6,
      Actuals!$H$3:$BD$3,
      Actuals!$H:$BD
   )
)</f>
        <v>0</v>
      </c>
      <c r="S29" s="292" cm="1">
        <f t="array" ref="S29">_xlfn.XLOOKUP(
   $B$4&amp;" "&amp;$B29,
   Actuals!$D:$D,
   _xlfn.XLOOKUP(
      S$6,
      Actuals!$H$3:$BD$3,
      Actuals!$H:$BD
   )
)</f>
        <v>0</v>
      </c>
      <c r="T29" s="292" cm="1">
        <f t="array" ref="T29">_xlfn.XLOOKUP(
   $B$4&amp;" "&amp;$B29,
   Actuals!$D:$D,
   _xlfn.XLOOKUP(
      T$6,
      Actuals!$H$3:$BD$3,
      Actuals!$H:$BD
   )
)</f>
        <v>0</v>
      </c>
      <c r="U29" s="292" cm="1">
        <f t="array" ref="U29">_xlfn.XLOOKUP(
   $B$4&amp;" "&amp;$B29,
   Actuals!$D:$D,
   _xlfn.XLOOKUP(
      U$6,
      Actuals!$H$3:$BD$3,
      Actuals!$H:$BD
   )
)</f>
        <v>0</v>
      </c>
      <c r="V29" s="292" cm="1">
        <f t="array" ref="V29">_xlfn.XLOOKUP(
   $B$4&amp;" "&amp;$B29,
   Actuals!$D:$D,
   _xlfn.XLOOKUP(
      V$6,
      Actuals!$H$3:$BD$3,
      Actuals!$H:$BD
   )
)</f>
        <v>0</v>
      </c>
      <c r="W29" s="292" cm="1">
        <f t="array" ref="W29">_xlfn.XLOOKUP(
   $B$4&amp;" "&amp;$B29,
   Actuals!$D:$D,
   _xlfn.XLOOKUP(
      W$6,
      Actuals!$H$3:$BD$3,
      Actuals!$H:$BD
   )
)</f>
        <v>0</v>
      </c>
      <c r="X29" s="292" cm="1">
        <f t="array" ref="X29">_xlfn.XLOOKUP(
   $B$4&amp;" "&amp;$B29,
   Actuals!$D:$D,
   _xlfn.XLOOKUP(
      X$6,
      Actuals!$H$3:$BD$3,
      Actuals!$H:$BD
   )
)</f>
        <v>0</v>
      </c>
      <c r="Y29" s="292" cm="1">
        <f t="array" ref="Y29">_xlfn.XLOOKUP(
   $B$4&amp;" "&amp;$B29,
   Actuals!$D:$D,
   _xlfn.XLOOKUP(
      Y$6,
      Actuals!$H$3:$BD$3,
      Actuals!$H:$BD
   )
)</f>
        <v>0</v>
      </c>
      <c r="Z29" s="292" cm="1">
        <f t="array" ref="Z29">_xlfn.XLOOKUP(
   $B$4&amp;" "&amp;$B29,
   Actuals!$D:$D,
   _xlfn.XLOOKUP(
      Z$6,
      Actuals!$H$3:$BD$3,
      Actuals!$H:$BD
   )
)</f>
        <v>0</v>
      </c>
      <c r="AA29" s="292" cm="1">
        <f t="array" ref="AA29">_xlfn.XLOOKUP(
   $B$4&amp;" "&amp;$B29,
   Actuals!$D:$D,
   _xlfn.XLOOKUP(
      AA$6,
      Actuals!$H$3:$BD$3,
      Actuals!$H:$BD
   )
)</f>
        <v>0</v>
      </c>
      <c r="AB29" s="292" cm="1">
        <f t="array" ref="AB29">_xlfn.XLOOKUP(
   $B$4&amp;" "&amp;$B29,
   Actuals!$D:$D,
   _xlfn.XLOOKUP(
      AB$6,
      Actuals!$H$3:$BD$3,
      Actuals!$H:$BD
   )
)</f>
        <v>0</v>
      </c>
      <c r="AC29" s="292" cm="1">
        <f t="array" ref="AC29">_xlfn.XLOOKUP(
   $B$4&amp;" "&amp;$B29,
   Actuals!$D:$D,
   _xlfn.XLOOKUP(
      AC$6,
      Actuals!$H$3:$BD$3,
      Actuals!$H:$BD
   )
)</f>
        <v>0</v>
      </c>
      <c r="AD29" s="292" cm="1">
        <f t="array" ref="AD29">_xlfn.XLOOKUP(
   $B$4&amp;" "&amp;$B29,
   Actuals!$D:$D,
   _xlfn.XLOOKUP(
      AD$6,
      Actuals!$H$3:$BD$3,
      Actuals!$H:$BD
   )
)</f>
        <v>0</v>
      </c>
      <c r="AE29" s="292" cm="1">
        <f t="array" ref="AE29">_xlfn.XLOOKUP(
   $B$4&amp;" "&amp;$B29,
   Actuals!$D:$D,
   _xlfn.XLOOKUP(
      AE$6,
      Actuals!$H$3:$BD$3,
      Actuals!$H:$BD
   )
)</f>
        <v>0</v>
      </c>
      <c r="AF29" s="292" cm="1">
        <f t="array" ref="AF29">_xlfn.XLOOKUP(
   $B$4&amp;" "&amp;$B29,
   Actuals!$D:$D,
   _xlfn.XLOOKUP(
      AF$6,
      Actuals!$H$3:$BD$3,
      Actuals!$H:$BD
   )
)</f>
        <v>0</v>
      </c>
      <c r="AG29" s="292" cm="1">
        <f t="array" ref="AG29">_xlfn.XLOOKUP(
   $B$4&amp;" "&amp;$B29,
   Actuals!$D:$D,
   _xlfn.XLOOKUP(
      AG$6,
      Actuals!$H$3:$BD$3,
      Actuals!$H:$BD
   )
)</f>
        <v>0</v>
      </c>
      <c r="AH29" s="292" cm="1">
        <f t="array" ref="AH29">_xlfn.XLOOKUP(
   $B$4&amp;" "&amp;$B29,
   Actuals!$D:$D,
   _xlfn.XLOOKUP(
      AH$6,
      Actuals!$H$3:$BD$3,
      Actuals!$H:$BD
   )
)</f>
        <v>0</v>
      </c>
      <c r="AI29" s="292" cm="1">
        <f t="array" ref="AI29">_xlfn.XLOOKUP(
   $B$4&amp;" "&amp;$B29,
   Actuals!$D:$D,
   _xlfn.XLOOKUP(
      AI$6,
      Actuals!$H$3:$BD$3,
      Actuals!$H:$BD
   )
)</f>
        <v>26</v>
      </c>
      <c r="AJ29" s="292" cm="1">
        <f t="array" ref="AJ29">_xlfn.XLOOKUP(
   $B$4&amp;" "&amp;$B29,
   Actuals!$D:$D,
   _xlfn.XLOOKUP(
      AJ$6,
      Actuals!$H$3:$BD$3,
      Actuals!$H:$BD
   )
)</f>
        <v>26</v>
      </c>
      <c r="AK29" s="292" cm="1">
        <f t="array" ref="AK29">_xlfn.XLOOKUP(
   $B$4&amp;" "&amp;$B29,
   Actuals!$D:$D,
   _xlfn.XLOOKUP(
      AK$6,
      Actuals!$H$3:$BD$3,
      Actuals!$H:$BD
   )
)</f>
        <v>26</v>
      </c>
      <c r="AL29" s="292" cm="1">
        <f t="array" ref="AL29">_xlfn.XLOOKUP(
   $B$4&amp;" "&amp;$B29,
   Actuals!$D:$D,
   _xlfn.XLOOKUP(
      AL$6,
      Actuals!$H$3:$BD$3,
      Actuals!$H:$BD
   )
)</f>
        <v>0</v>
      </c>
      <c r="AM29" s="292" cm="1">
        <f t="array" ref="AM29">_xlfn.XLOOKUP(
   $B$4&amp;" "&amp;$B29,
   Actuals!$D:$D,
   _xlfn.XLOOKUP(
      AM$6,
      Actuals!$H$3:$BD$3,
      Actuals!$H:$BD
   )
)</f>
        <v>34</v>
      </c>
      <c r="AN29" s="292" cm="1">
        <f t="array" ref="AN29">_xlfn.XLOOKUP(
   $B$4&amp;" "&amp;$B29,
   Actuals!$D:$D,
   _xlfn.XLOOKUP(
      AN$6,
      Actuals!$H$3:$BD$3,
      Actuals!$H:$BD
   )
)</f>
        <v>7</v>
      </c>
      <c r="AO29" s="292" cm="1">
        <f t="array" ref="AO29">_xlfn.XLOOKUP(
   $B$4&amp;" "&amp;$B29,
   Actuals!$D:$D,
   _xlfn.XLOOKUP(
      AO$6,
      Actuals!$H$3:$BD$3,
      Actuals!$H:$BD
   )
)</f>
        <v>0</v>
      </c>
      <c r="AP29" s="292" cm="1">
        <f t="array" ref="AP29">_xlfn.XLOOKUP(
   $B$4&amp;" "&amp;$B29,
   Actuals!$D:$D,
   _xlfn.XLOOKUP(
      AP$6,
      Actuals!$H$3:$BD$3,
      Actuals!$H:$BD
   )
)</f>
        <v>0</v>
      </c>
      <c r="AQ29" s="292" cm="1">
        <f t="array" ref="AQ29">_xlfn.XLOOKUP(
   $B$4&amp;" "&amp;$B29,
   Actuals!$D:$D,
   _xlfn.XLOOKUP(
      AQ$6,
      Actuals!$H$3:$BD$3,
      Actuals!$H:$BD
   )
)</f>
        <v>0</v>
      </c>
      <c r="AR29" s="292" cm="1">
        <f t="array" ref="AR29">_xlfn.XLOOKUP(
   $B$4&amp;" "&amp;$B29,
   Actuals!$D:$D,
   _xlfn.XLOOKUP(
      AR$6,
      Actuals!$H$3:$BD$3,
      Actuals!$H:$BD
   )
)</f>
        <v>0</v>
      </c>
      <c r="AS29" s="292" cm="1">
        <f t="array" ref="AS29">_xlfn.XLOOKUP(
   $B$4&amp;" "&amp;$B29,
   Actuals!$D:$D,
   _xlfn.XLOOKUP(
      AS$6,
      Actuals!$H$3:$BD$3,
      Actuals!$H:$BD
   )
)</f>
        <v>0</v>
      </c>
      <c r="AT29" s="292" cm="1">
        <f t="array" ref="AT29">_xlfn.XLOOKUP(
   $B$4&amp;" "&amp;$B29,
   Actuals!$D:$D,
   _xlfn.XLOOKUP(
      AT$6,
      Actuals!$H$3:$BD$3,
      Actuals!$H:$BD
   )
)</f>
        <v>0</v>
      </c>
      <c r="AU29" s="292" cm="1">
        <f t="array" ref="AU29">_xlfn.XLOOKUP(
   $B$4&amp;" "&amp;$B29,
   Actuals!$D:$D,
   _xlfn.XLOOKUP(
      AU$6,
      Actuals!$H$3:$BD$3,
      Actuals!$H:$BD
   )
)</f>
        <v>0</v>
      </c>
      <c r="AV29" s="292" cm="1">
        <f t="array" ref="AV29">_xlfn.XLOOKUP(
   $B$4&amp;" "&amp;$B29,
   Actuals!$D:$D,
   _xlfn.XLOOKUP(
      AV$6,
      Actuals!$H$3:$BD$3,
      Actuals!$H:$BD
   )
)</f>
        <v>0</v>
      </c>
      <c r="AW29" s="292" cm="1">
        <f t="array" ref="AW29">_xlfn.XLOOKUP(
   $B$4&amp;" "&amp;$B29,
   Actuals!$D:$D,
   _xlfn.XLOOKUP(
      AW$6,
      Actuals!$H$3:$BD$3,
      Actuals!$H:$BD
   )
)</f>
        <v>0</v>
      </c>
      <c r="AX29" s="292" cm="1">
        <f t="array" ref="AX29">_xlfn.XLOOKUP(
   $B$4&amp;" "&amp;$B29,
   Actuals!$D:$D,
   _xlfn.XLOOKUP(
      AX$6,
      Actuals!$H$3:$BD$3,
      Actuals!$H:$BD
   )
)</f>
        <v>0</v>
      </c>
      <c r="AY29" s="292" cm="1">
        <f t="array" ref="AY29">_xlfn.XLOOKUP(
   $B$4&amp;" "&amp;$B29,
   Actuals!$D:$D,
   _xlfn.XLOOKUP(
      AY$6,
      Actuals!$H$3:$BD$3,
      Actuals!$H:$BD
   )
)</f>
        <v>0</v>
      </c>
      <c r="AZ29" s="292" cm="1">
        <f t="array" ref="AZ29">_xlfn.XLOOKUP(
   $B$4&amp;" "&amp;$B29,
   Actuals!$D:$D,
   _xlfn.XLOOKUP(
      AZ$6,
      Actuals!$H$3:$BD$3,
      Actuals!$H:$BD
   )
)</f>
        <v>0</v>
      </c>
      <c r="BA29" s="292"/>
      <c r="BB29" s="292" cm="1">
        <f t="array" ref="BB29">_xlfn.XLOOKUP(
   $B$4&amp;" "&amp;$B29,
   Actuals!$D:$D,
   _xlfn.XLOOKUP(
      BB$7,
      Actuals!$H$3:$BM$3,
      Actuals!$H:$BM
   )
)</f>
        <v>0</v>
      </c>
      <c r="BC29" s="292">
        <f>VLOOKUP($B$4&amp;" "&amp;$B29,Budget!$AG$4:$AL$132,$BB$5+1,FALSE)</f>
        <v>0</v>
      </c>
      <c r="BD29" s="292">
        <f>BB29-BC29</f>
        <v>0</v>
      </c>
      <c r="BE29" s="292"/>
      <c r="BF29" s="292" cm="1">
        <f t="array" ref="BF29">_xlfn.XLOOKUP(
   $B$4&amp;" "&amp;$B29,
   Actuals!$D:$D,
   _xlfn.XLOOKUP(
      BF$7,
      Actuals!$H$3:$BM$3,
      Actuals!$H:$BM
   )
)</f>
        <v>0</v>
      </c>
      <c r="BG29" s="292">
        <f>VLOOKUP($B$4&amp;" "&amp;$B29,Budget!$AG$4:$AL$132,BF$5+1,FALSE)</f>
        <v>0</v>
      </c>
      <c r="BH29" s="292">
        <f>BF29-BG29</f>
        <v>0</v>
      </c>
      <c r="BI29" s="292"/>
      <c r="BJ29" s="292" cm="1">
        <f t="array" ref="BJ29">_xlfn.XLOOKUP(
   $B$4&amp;" "&amp;$B29,
   Actuals!$D:$D,
   _xlfn.XLOOKUP(
      BJ$7,
      Actuals!$H$3:$BM$3,
      Actuals!$H:$BM
   )
)</f>
        <v>0</v>
      </c>
      <c r="BK29" s="292">
        <f>VLOOKUP($B$4&amp;" "&amp;$B29,Budget!$AG$4:$AL$132,BJ$5+1,FALSE)</f>
        <v>0</v>
      </c>
      <c r="BL29" s="292">
        <f>BJ29-BK29</f>
        <v>0</v>
      </c>
      <c r="BM29" s="292"/>
      <c r="BN29" s="292" cm="1">
        <f t="array" ref="BN29">_xlfn.XLOOKUP(
   $B$4&amp;" "&amp;$B29,
   Actuals!$D:$D,
   _xlfn.XLOOKUP(
      BN$7,
      Actuals!$H$3:$BM$3,
      Actuals!$H:$BM
   )
)</f>
        <v>0</v>
      </c>
      <c r="BO29" s="292">
        <f>VLOOKUP($B$4&amp;" "&amp;$B29,Budget!$AG$4:$AL$132,BN$5+1,FALSE)</f>
        <v>0</v>
      </c>
      <c r="BP29" s="292"/>
      <c r="BQ29" s="292"/>
      <c r="BR29" s="292" cm="1">
        <f t="array" aca="1" ref="BR29" ca="1">_xlfn.XLOOKUP(
   $B$4&amp;" "&amp;$B29,
   Actuals!$D:$D,
   _xlfn.XLOOKUP(
      BR$6,
      Actuals!$H$3:$BM$3,
      Actuals!$H:$BM
   )
)</f>
        <v>0</v>
      </c>
      <c r="BS29" s="292">
        <f ca="1">VLOOKUP($B$4&amp;" "&amp;$B29,Budget!$AG$4:$AL$132,6,FALSE)</f>
        <v>0</v>
      </c>
      <c r="BT29" s="292">
        <f ca="1">BR29-BS29</f>
        <v>0</v>
      </c>
      <c r="BU29" s="292"/>
      <c r="BV29" s="292" cm="1">
        <f t="array" ref="BV29">_xlfn.XLOOKUP(
   $B$4&amp;" "&amp;$B29,
   Actuals!$D:$D,
   _xlfn.XLOOKUP(
      BV$6,
      Actuals!$H$3:$BM$3,
      Actuals!$H:$BM
   )
)</f>
        <v>0</v>
      </c>
    </row>
    <row r="30" spans="2:76">
      <c r="B30" s="26" t="s">
        <v>85</v>
      </c>
      <c r="C30" s="139" t="s">
        <v>47</v>
      </c>
      <c r="D30" s="171" t="str">
        <f>VLOOKUP($B$4&amp;" "&amp;$B30,Actuals!$D$4:$AG$131,3,FALSE)</f>
        <v>#</v>
      </c>
      <c r="E30" s="292" cm="1">
        <f t="array" ref="E30">_xlfn.XLOOKUP(
   $B$4&amp;" "&amp;$B30,
   Actuals!$D:$D,
   _xlfn.XLOOKUP(
      E$6,
      Actuals!$H$3:$BD$3,
      Actuals!$H:$BD
   )
)</f>
        <v>14</v>
      </c>
      <c r="F30" s="292" cm="1">
        <f t="array" ref="F30">_xlfn.XLOOKUP(
   $B$4&amp;" "&amp;$B30,
   Actuals!$D:$D,
   _xlfn.XLOOKUP(
      F$6,
      Actuals!$H$3:$BD$3,
      Actuals!$H:$BD
   )
)</f>
        <v>10</v>
      </c>
      <c r="G30" s="292" cm="1">
        <f t="array" ref="G30">_xlfn.XLOOKUP(
   $B$4&amp;" "&amp;$B30,
   Actuals!$D:$D,
   _xlfn.XLOOKUP(
      G$6,
      Actuals!$H$3:$BD$3,
      Actuals!$H:$BD
   )
)</f>
        <v>6</v>
      </c>
      <c r="H30" s="292" cm="1">
        <f t="array" ref="H30">_xlfn.XLOOKUP(
   $B$4&amp;" "&amp;$B30,
   Actuals!$D:$D,
   _xlfn.XLOOKUP(
      H$6,
      Actuals!$H$3:$BD$3,
      Actuals!$H:$BD
   )
)</f>
        <v>5</v>
      </c>
      <c r="I30" s="292" cm="1">
        <f t="array" ref="I30">_xlfn.XLOOKUP(
   $B$4&amp;" "&amp;$B30,
   Actuals!$D:$D,
   _xlfn.XLOOKUP(
      I$6,
      Actuals!$H$3:$BD$3,
      Actuals!$H:$BD
   )
)</f>
        <v>6</v>
      </c>
      <c r="J30" s="292" cm="1">
        <f t="array" ref="J30">_xlfn.XLOOKUP(
   $B$4&amp;" "&amp;$B30,
   Actuals!$D:$D,
   _xlfn.XLOOKUP(
      J$6,
      Actuals!$H$3:$BD$3,
      Actuals!$H:$BD
   )
)</f>
        <v>13</v>
      </c>
      <c r="K30" s="292" cm="1">
        <f t="array" ref="K30">_xlfn.XLOOKUP(
   $B$4&amp;" "&amp;$B30,
   Actuals!$D:$D,
   _xlfn.XLOOKUP(
      K$6,
      Actuals!$H$3:$BD$3,
      Actuals!$H:$BD
   )
)</f>
        <v>10</v>
      </c>
      <c r="L30" s="292" cm="1">
        <f t="array" ref="L30">_xlfn.XLOOKUP(
   $B$4&amp;" "&amp;$B30,
   Actuals!$D:$D,
   _xlfn.XLOOKUP(
      L$6,
      Actuals!$H$3:$BD$3,
      Actuals!$H:$BD
   )
)</f>
        <v>6</v>
      </c>
      <c r="M30" s="292" cm="1">
        <f t="array" ref="M30">_xlfn.XLOOKUP(
   $B$4&amp;" "&amp;$B30,
   Actuals!$D:$D,
   _xlfn.XLOOKUP(
      M$6,
      Actuals!$H$3:$BD$3,
      Actuals!$H:$BD
   )
)</f>
        <v>8</v>
      </c>
      <c r="N30" s="292" cm="1">
        <f t="array" ref="N30">_xlfn.XLOOKUP(
   $B$4&amp;" "&amp;$B30,
   Actuals!$D:$D,
   _xlfn.XLOOKUP(
      N$6,
      Actuals!$H$3:$BD$3,
      Actuals!$H:$BD
   )
)</f>
        <v>9</v>
      </c>
      <c r="O30" s="292" cm="1">
        <f t="array" ref="O30">_xlfn.XLOOKUP(
   $B$4&amp;" "&amp;$B30,
   Actuals!$D:$D,
   _xlfn.XLOOKUP(
      O$6,
      Actuals!$H$3:$BD$3,
      Actuals!$H:$BD
   )
)</f>
        <v>0</v>
      </c>
      <c r="P30" s="292" cm="1">
        <f t="array" ref="P30">_xlfn.XLOOKUP(
   $B$4&amp;" "&amp;$B30,
   Actuals!$D:$D,
   _xlfn.XLOOKUP(
      P$6,
      Actuals!$H$3:$BD$3,
      Actuals!$H:$BD
   )
)</f>
        <v>0</v>
      </c>
      <c r="Q30" s="292" cm="1">
        <f t="array" ref="Q30">_xlfn.XLOOKUP(
   $B$4&amp;" "&amp;$B30,
   Actuals!$D:$D,
   _xlfn.XLOOKUP(
      Q$6,
      Actuals!$H$3:$BD$3,
      Actuals!$H:$BD
   )
)</f>
        <v>0</v>
      </c>
      <c r="R30" s="292" cm="1">
        <f t="array" ref="R30">_xlfn.XLOOKUP(
   $B$4&amp;" "&amp;$B30,
   Actuals!$D:$D,
   _xlfn.XLOOKUP(
      R$6,
      Actuals!$H$3:$BD$3,
      Actuals!$H:$BD
   )
)</f>
        <v>0</v>
      </c>
      <c r="S30" s="292" cm="1">
        <f t="array" ref="S30">_xlfn.XLOOKUP(
   $B$4&amp;" "&amp;$B30,
   Actuals!$D:$D,
   _xlfn.XLOOKUP(
      S$6,
      Actuals!$H$3:$BD$3,
      Actuals!$H:$BD
   )
)</f>
        <v>0</v>
      </c>
      <c r="T30" s="292" cm="1">
        <f t="array" ref="T30">_xlfn.XLOOKUP(
   $B$4&amp;" "&amp;$B30,
   Actuals!$D:$D,
   _xlfn.XLOOKUP(
      T$6,
      Actuals!$H$3:$BD$3,
      Actuals!$H:$BD
   )
)</f>
        <v>0</v>
      </c>
      <c r="U30" s="292" cm="1">
        <f t="array" ref="U30">_xlfn.XLOOKUP(
   $B$4&amp;" "&amp;$B30,
   Actuals!$D:$D,
   _xlfn.XLOOKUP(
      U$6,
      Actuals!$H$3:$BD$3,
      Actuals!$H:$BD
   )
)</f>
        <v>0</v>
      </c>
      <c r="V30" s="292" cm="1">
        <f t="array" ref="V30">_xlfn.XLOOKUP(
   $B$4&amp;" "&amp;$B30,
   Actuals!$D:$D,
   _xlfn.XLOOKUP(
      V$6,
      Actuals!$H$3:$BD$3,
      Actuals!$H:$BD
   )
)</f>
        <v>0</v>
      </c>
      <c r="W30" s="292" cm="1">
        <f t="array" ref="W30">_xlfn.XLOOKUP(
   $B$4&amp;" "&amp;$B30,
   Actuals!$D:$D,
   _xlfn.XLOOKUP(
      W$6,
      Actuals!$H$3:$BD$3,
      Actuals!$H:$BD
   )
)</f>
        <v>0</v>
      </c>
      <c r="X30" s="292" cm="1">
        <f t="array" ref="X30">_xlfn.XLOOKUP(
   $B$4&amp;" "&amp;$B30,
   Actuals!$D:$D,
   _xlfn.XLOOKUP(
      X$6,
      Actuals!$H$3:$BD$3,
      Actuals!$H:$BD
   )
)</f>
        <v>0</v>
      </c>
      <c r="Y30" s="292" cm="1">
        <f t="array" ref="Y30">_xlfn.XLOOKUP(
   $B$4&amp;" "&amp;$B30,
   Actuals!$D:$D,
   _xlfn.XLOOKUP(
      Y$6,
      Actuals!$H$3:$BD$3,
      Actuals!$H:$BD
   )
)</f>
        <v>0</v>
      </c>
      <c r="Z30" s="292" cm="1">
        <f t="array" ref="Z30">_xlfn.XLOOKUP(
   $B$4&amp;" "&amp;$B30,
   Actuals!$D:$D,
   _xlfn.XLOOKUP(
      Z$6,
      Actuals!$H$3:$BD$3,
      Actuals!$H:$BD
   )
)</f>
        <v>0</v>
      </c>
      <c r="AA30" s="292" cm="1">
        <f t="array" ref="AA30">_xlfn.XLOOKUP(
   $B$4&amp;" "&amp;$B30,
   Actuals!$D:$D,
   _xlfn.XLOOKUP(
      AA$6,
      Actuals!$H$3:$BD$3,
      Actuals!$H:$BD
   )
)</f>
        <v>0</v>
      </c>
      <c r="AB30" s="292" cm="1">
        <f t="array" ref="AB30">_xlfn.XLOOKUP(
   $B$4&amp;" "&amp;$B30,
   Actuals!$D:$D,
   _xlfn.XLOOKUP(
      AB$6,
      Actuals!$H$3:$BD$3,
      Actuals!$H:$BD
   )
)</f>
        <v>0</v>
      </c>
      <c r="AC30" s="292" cm="1">
        <f t="array" ref="AC30">_xlfn.XLOOKUP(
   $B$4&amp;" "&amp;$B30,
   Actuals!$D:$D,
   _xlfn.XLOOKUP(
      AC$6,
      Actuals!$H$3:$BD$3,
      Actuals!$H:$BD
   )
)</f>
        <v>0</v>
      </c>
      <c r="AD30" s="292" cm="1">
        <f t="array" ref="AD30">_xlfn.XLOOKUP(
   $B$4&amp;" "&amp;$B30,
   Actuals!$D:$D,
   _xlfn.XLOOKUP(
      AD$6,
      Actuals!$H$3:$BD$3,
      Actuals!$H:$BD
   )
)</f>
        <v>0</v>
      </c>
      <c r="AE30" s="292" cm="1">
        <f t="array" ref="AE30">_xlfn.XLOOKUP(
   $B$4&amp;" "&amp;$B30,
   Actuals!$D:$D,
   _xlfn.XLOOKUP(
      AE$6,
      Actuals!$H$3:$BD$3,
      Actuals!$H:$BD
   )
)</f>
        <v>0</v>
      </c>
      <c r="AF30" s="292" cm="1">
        <f t="array" ref="AF30">_xlfn.XLOOKUP(
   $B$4&amp;" "&amp;$B30,
   Actuals!$D:$D,
   _xlfn.XLOOKUP(
      AF$6,
      Actuals!$H$3:$BD$3,
      Actuals!$H:$BD
   )
)</f>
        <v>0</v>
      </c>
      <c r="AG30" s="292" cm="1">
        <f t="array" ref="AG30">_xlfn.XLOOKUP(
   $B$4&amp;" "&amp;$B30,
   Actuals!$D:$D,
   _xlfn.XLOOKUP(
      AG$6,
      Actuals!$H$3:$BD$3,
      Actuals!$H:$BD
   )
)</f>
        <v>0</v>
      </c>
      <c r="AH30" s="292" cm="1">
        <f t="array" ref="AH30">_xlfn.XLOOKUP(
   $B$4&amp;" "&amp;$B30,
   Actuals!$D:$D,
   _xlfn.XLOOKUP(
      AH$6,
      Actuals!$H$3:$BD$3,
      Actuals!$H:$BD
   )
)</f>
        <v>0</v>
      </c>
      <c r="AI30" s="292" cm="1">
        <f t="array" ref="AI30">_xlfn.XLOOKUP(
   $B$4&amp;" "&amp;$B30,
   Actuals!$D:$D,
   _xlfn.XLOOKUP(
      AI$6,
      Actuals!$H$3:$BD$3,
      Actuals!$H:$BD
   )
)</f>
        <v>8</v>
      </c>
      <c r="AJ30" s="292" cm="1">
        <f t="array" ref="AJ30">_xlfn.XLOOKUP(
   $B$4&amp;" "&amp;$B30,
   Actuals!$D:$D,
   _xlfn.XLOOKUP(
      AJ$6,
      Actuals!$H$3:$BD$3,
      Actuals!$H:$BD
   )
)</f>
        <v>8</v>
      </c>
      <c r="AK30" s="292" cm="1">
        <f t="array" ref="AK30">_xlfn.XLOOKUP(
   $B$4&amp;" "&amp;$B30,
   Actuals!$D:$D,
   _xlfn.XLOOKUP(
      AK$6,
      Actuals!$H$3:$BD$3,
      Actuals!$H:$BD
   )
)</f>
        <v>8</v>
      </c>
      <c r="AL30" s="292" cm="1">
        <f t="array" ref="AL30">_xlfn.XLOOKUP(
   $B$4&amp;" "&amp;$B30,
   Actuals!$D:$D,
   _xlfn.XLOOKUP(
      AL$6,
      Actuals!$H$3:$BD$3,
      Actuals!$H:$BD
   )
)</f>
        <v>0</v>
      </c>
      <c r="AM30" s="292" cm="1">
        <f t="array" ref="AM30">_xlfn.XLOOKUP(
   $B$4&amp;" "&amp;$B30,
   Actuals!$D:$D,
   _xlfn.XLOOKUP(
      AM$6,
      Actuals!$H$3:$BD$3,
      Actuals!$H:$BD
   )
)</f>
        <v>11</v>
      </c>
      <c r="AN30" s="292" cm="1">
        <f t="array" ref="AN30">_xlfn.XLOOKUP(
   $B$4&amp;" "&amp;$B30,
   Actuals!$D:$D,
   _xlfn.XLOOKUP(
      AN$6,
      Actuals!$H$3:$BD$3,
      Actuals!$H:$BD
   )
)</f>
        <v>2</v>
      </c>
      <c r="AO30" s="292" cm="1">
        <f t="array" ref="AO30">_xlfn.XLOOKUP(
   $B$4&amp;" "&amp;$B30,
   Actuals!$D:$D,
   _xlfn.XLOOKUP(
      AO$6,
      Actuals!$H$3:$BD$3,
      Actuals!$H:$BD
   )
)</f>
        <v>0</v>
      </c>
      <c r="AP30" s="292" cm="1">
        <f t="array" ref="AP30">_xlfn.XLOOKUP(
   $B$4&amp;" "&amp;$B30,
   Actuals!$D:$D,
   _xlfn.XLOOKUP(
      AP$6,
      Actuals!$H$3:$BD$3,
      Actuals!$H:$BD
   )
)</f>
        <v>0</v>
      </c>
      <c r="AQ30" s="292" cm="1">
        <f t="array" ref="AQ30">_xlfn.XLOOKUP(
   $B$4&amp;" "&amp;$B30,
   Actuals!$D:$D,
   _xlfn.XLOOKUP(
      AQ$6,
      Actuals!$H$3:$BD$3,
      Actuals!$H:$BD
   )
)</f>
        <v>0</v>
      </c>
      <c r="AR30" s="292" cm="1">
        <f t="array" ref="AR30">_xlfn.XLOOKUP(
   $B$4&amp;" "&amp;$B30,
   Actuals!$D:$D,
   _xlfn.XLOOKUP(
      AR$6,
      Actuals!$H$3:$BD$3,
      Actuals!$H:$BD
   )
)</f>
        <v>0</v>
      </c>
      <c r="AS30" s="292" cm="1">
        <f t="array" ref="AS30">_xlfn.XLOOKUP(
   $B$4&amp;" "&amp;$B30,
   Actuals!$D:$D,
   _xlfn.XLOOKUP(
      AS$6,
      Actuals!$H$3:$BD$3,
      Actuals!$H:$BD
   )
)</f>
        <v>0</v>
      </c>
      <c r="AT30" s="292" cm="1">
        <f t="array" ref="AT30">_xlfn.XLOOKUP(
   $B$4&amp;" "&amp;$B30,
   Actuals!$D:$D,
   _xlfn.XLOOKUP(
      AT$6,
      Actuals!$H$3:$BD$3,
      Actuals!$H:$BD
   )
)</f>
        <v>0</v>
      </c>
      <c r="AU30" s="292" cm="1">
        <f t="array" ref="AU30">_xlfn.XLOOKUP(
   $B$4&amp;" "&amp;$B30,
   Actuals!$D:$D,
   _xlfn.XLOOKUP(
      AU$6,
      Actuals!$H$3:$BD$3,
      Actuals!$H:$BD
   )
)</f>
        <v>0</v>
      </c>
      <c r="AV30" s="292" cm="1">
        <f t="array" ref="AV30">_xlfn.XLOOKUP(
   $B$4&amp;" "&amp;$B30,
   Actuals!$D:$D,
   _xlfn.XLOOKUP(
      AV$6,
      Actuals!$H$3:$BD$3,
      Actuals!$H:$BD
   )
)</f>
        <v>0</v>
      </c>
      <c r="AW30" s="292" cm="1">
        <f t="array" ref="AW30">_xlfn.XLOOKUP(
   $B$4&amp;" "&amp;$B30,
   Actuals!$D:$D,
   _xlfn.XLOOKUP(
      AW$6,
      Actuals!$H$3:$BD$3,
      Actuals!$H:$BD
   )
)</f>
        <v>0</v>
      </c>
      <c r="AX30" s="292" cm="1">
        <f t="array" ref="AX30">_xlfn.XLOOKUP(
   $B$4&amp;" "&amp;$B30,
   Actuals!$D:$D,
   _xlfn.XLOOKUP(
      AX$6,
      Actuals!$H$3:$BD$3,
      Actuals!$H:$BD
   )
)</f>
        <v>0</v>
      </c>
      <c r="AY30" s="292" cm="1">
        <f t="array" ref="AY30">_xlfn.XLOOKUP(
   $B$4&amp;" "&amp;$B30,
   Actuals!$D:$D,
   _xlfn.XLOOKUP(
      AY$6,
      Actuals!$H$3:$BD$3,
      Actuals!$H:$BD
   )
)</f>
        <v>0</v>
      </c>
      <c r="AZ30" s="292" cm="1">
        <f t="array" ref="AZ30">_xlfn.XLOOKUP(
   $B$4&amp;" "&amp;$B30,
   Actuals!$D:$D,
   _xlfn.XLOOKUP(
      AZ$6,
      Actuals!$H$3:$BD$3,
      Actuals!$H:$BD
   )
)</f>
        <v>0</v>
      </c>
      <c r="BA30" s="292"/>
      <c r="BB30" s="292" cm="1">
        <f t="array" ref="BB30">_xlfn.XLOOKUP(
   $B$4&amp;" "&amp;$B30,
   Actuals!$D:$D,
   _xlfn.XLOOKUP(
      BB$7,
      Actuals!$H$3:$BM$3,
      Actuals!$H:$BM
   )
)</f>
        <v>0</v>
      </c>
      <c r="BC30" s="292">
        <f>VLOOKUP($B$4&amp;" "&amp;$B30,Budget!$AG$4:$AL$132,$BB$5+1,FALSE)</f>
        <v>0</v>
      </c>
      <c r="BD30" s="292">
        <f>BB30-BC30</f>
        <v>0</v>
      </c>
      <c r="BE30" s="292"/>
      <c r="BF30" s="292" cm="1">
        <f t="array" ref="BF30">_xlfn.XLOOKUP(
   $B$4&amp;" "&amp;$B30,
   Actuals!$D:$D,
   _xlfn.XLOOKUP(
      BF$7,
      Actuals!$H$3:$BM$3,
      Actuals!$H:$BM
   )
)</f>
        <v>0</v>
      </c>
      <c r="BG30" s="292">
        <f>VLOOKUP($B$4&amp;" "&amp;$B30,Budget!$AG$4:$AL$132,BF$5+1,FALSE)</f>
        <v>0</v>
      </c>
      <c r="BH30" s="292">
        <f>BF30-BG30</f>
        <v>0</v>
      </c>
      <c r="BI30" s="292"/>
      <c r="BJ30" s="292" cm="1">
        <f t="array" ref="BJ30">_xlfn.XLOOKUP(
   $B$4&amp;" "&amp;$B30,
   Actuals!$D:$D,
   _xlfn.XLOOKUP(
      BJ$7,
      Actuals!$H$3:$BM$3,
      Actuals!$H:$BM
   )
)</f>
        <v>0</v>
      </c>
      <c r="BK30" s="292">
        <f>VLOOKUP($B$4&amp;" "&amp;$B30,Budget!$AG$4:$AL$132,BJ$5+1,FALSE)</f>
        <v>0</v>
      </c>
      <c r="BL30" s="292">
        <f>BJ30-BK30</f>
        <v>0</v>
      </c>
      <c r="BM30" s="292"/>
      <c r="BN30" s="292" cm="1">
        <f t="array" ref="BN30">_xlfn.XLOOKUP(
   $B$4&amp;" "&amp;$B30,
   Actuals!$D:$D,
   _xlfn.XLOOKUP(
      BN$7,
      Actuals!$H$3:$BM$3,
      Actuals!$H:$BM
   )
)</f>
        <v>0</v>
      </c>
      <c r="BO30" s="292">
        <f>VLOOKUP($B$4&amp;" "&amp;$B30,Budget!$AG$4:$AL$132,BN$5+1,FALSE)</f>
        <v>0</v>
      </c>
      <c r="BP30" s="292"/>
      <c r="BQ30" s="292"/>
      <c r="BR30" s="292" cm="1">
        <f t="array" aca="1" ref="BR30" ca="1">_xlfn.XLOOKUP(
   $B$4&amp;" "&amp;$B30,
   Actuals!$D:$D,
   _xlfn.XLOOKUP(
      BR$6,
      Actuals!$H$3:$BM$3,
      Actuals!$H:$BM
   )
)</f>
        <v>0</v>
      </c>
      <c r="BS30" s="292">
        <f ca="1">VLOOKUP($B$4&amp;" "&amp;$B30,Budget!$AG$4:$AL$132,6,FALSE)</f>
        <v>0</v>
      </c>
      <c r="BT30" s="292">
        <f ca="1">BR30-BS30</f>
        <v>0</v>
      </c>
      <c r="BU30" s="292"/>
      <c r="BV30" s="292" cm="1">
        <f t="array" ref="BV30">_xlfn.XLOOKUP(
   $B$4&amp;" "&amp;$B30,
   Actuals!$D:$D,
   _xlfn.XLOOKUP(
      BV$6,
      Actuals!$H$3:$BM$3,
      Actuals!$H:$BM
   )
)</f>
        <v>0</v>
      </c>
    </row>
    <row r="31" spans="2:76">
      <c r="B31" s="26" t="s">
        <v>86</v>
      </c>
      <c r="C31" s="139" t="s">
        <v>47</v>
      </c>
      <c r="D31" s="171" t="str">
        <f>VLOOKUP($B$4&amp;" "&amp;$B31,Actuals!$D$4:$AG$131,3,FALSE)</f>
        <v>#</v>
      </c>
      <c r="E31" s="292" cm="1">
        <f t="array" ref="E31">_xlfn.XLOOKUP(
   $B$4&amp;" "&amp;$B31,
   Actuals!$D:$D,
   _xlfn.XLOOKUP(
      E$6,
      Actuals!$H$3:$BD$3,
      Actuals!$H:$BD
   )
)</f>
        <v>2</v>
      </c>
      <c r="F31" s="292" cm="1">
        <f t="array" ref="F31">_xlfn.XLOOKUP(
   $B$4&amp;" "&amp;$B31,
   Actuals!$D:$D,
   _xlfn.XLOOKUP(
      F$6,
      Actuals!$H$3:$BD$3,
      Actuals!$H:$BD
   )
)</f>
        <v>3</v>
      </c>
      <c r="G31" s="292" cm="1">
        <f t="array" ref="G31">_xlfn.XLOOKUP(
   $B$4&amp;" "&amp;$B31,
   Actuals!$D:$D,
   _xlfn.XLOOKUP(
      G$6,
      Actuals!$H$3:$BD$3,
      Actuals!$H:$BD
   )
)</f>
        <v>4</v>
      </c>
      <c r="H31" s="292" cm="1">
        <f t="array" ref="H31">_xlfn.XLOOKUP(
   $B$4&amp;" "&amp;$B31,
   Actuals!$D:$D,
   _xlfn.XLOOKUP(
      H$6,
      Actuals!$H$3:$BD$3,
      Actuals!$H:$BD
   )
)</f>
        <v>1</v>
      </c>
      <c r="I31" s="292" cm="1">
        <f t="array" ref="I31">_xlfn.XLOOKUP(
   $B$4&amp;" "&amp;$B31,
   Actuals!$D:$D,
   _xlfn.XLOOKUP(
      I$6,
      Actuals!$H$3:$BD$3,
      Actuals!$H:$BD
   )
)</f>
        <v>1</v>
      </c>
      <c r="J31" s="292" cm="1">
        <f t="array" ref="J31">_xlfn.XLOOKUP(
   $B$4&amp;" "&amp;$B31,
   Actuals!$D:$D,
   _xlfn.XLOOKUP(
      J$6,
      Actuals!$H$3:$BD$3,
      Actuals!$H:$BD
   )
)</f>
        <v>0</v>
      </c>
      <c r="K31" s="292" cm="1">
        <f t="array" ref="K31">_xlfn.XLOOKUP(
   $B$4&amp;" "&amp;$B31,
   Actuals!$D:$D,
   _xlfn.XLOOKUP(
      K$6,
      Actuals!$H$3:$BD$3,
      Actuals!$H:$BD
   )
)</f>
        <v>0</v>
      </c>
      <c r="L31" s="292" cm="1">
        <f t="array" ref="L31">_xlfn.XLOOKUP(
   $B$4&amp;" "&amp;$B31,
   Actuals!$D:$D,
   _xlfn.XLOOKUP(
      L$6,
      Actuals!$H$3:$BD$3,
      Actuals!$H:$BD
   )
)</f>
        <v>1</v>
      </c>
      <c r="M31" s="292" cm="1">
        <f t="array" ref="M31">_xlfn.XLOOKUP(
   $B$4&amp;" "&amp;$B31,
   Actuals!$D:$D,
   _xlfn.XLOOKUP(
      M$6,
      Actuals!$H$3:$BD$3,
      Actuals!$H:$BD
   )
)</f>
        <v>1</v>
      </c>
      <c r="N31" s="292" cm="1">
        <f t="array" ref="N31">_xlfn.XLOOKUP(
   $B$4&amp;" "&amp;$B31,
   Actuals!$D:$D,
   _xlfn.XLOOKUP(
      N$6,
      Actuals!$H$3:$BD$3,
      Actuals!$H:$BD
   )
)</f>
        <v>2</v>
      </c>
      <c r="O31" s="292" cm="1">
        <f t="array" ref="O31">_xlfn.XLOOKUP(
   $B$4&amp;" "&amp;$B31,
   Actuals!$D:$D,
   _xlfn.XLOOKUP(
      O$6,
      Actuals!$H$3:$BD$3,
      Actuals!$H:$BD
   )
)</f>
        <v>0</v>
      </c>
      <c r="P31" s="292" cm="1">
        <f t="array" ref="P31">_xlfn.XLOOKUP(
   $B$4&amp;" "&amp;$B31,
   Actuals!$D:$D,
   _xlfn.XLOOKUP(
      P$6,
      Actuals!$H$3:$BD$3,
      Actuals!$H:$BD
   )
)</f>
        <v>0</v>
      </c>
      <c r="Q31" s="292" cm="1">
        <f t="array" ref="Q31">_xlfn.XLOOKUP(
   $B$4&amp;" "&amp;$B31,
   Actuals!$D:$D,
   _xlfn.XLOOKUP(
      Q$6,
      Actuals!$H$3:$BD$3,
      Actuals!$H:$BD
   )
)</f>
        <v>0</v>
      </c>
      <c r="R31" s="292" cm="1">
        <f t="array" ref="R31">_xlfn.XLOOKUP(
   $B$4&amp;" "&amp;$B31,
   Actuals!$D:$D,
   _xlfn.XLOOKUP(
      R$6,
      Actuals!$H$3:$BD$3,
      Actuals!$H:$BD
   )
)</f>
        <v>0</v>
      </c>
      <c r="S31" s="292" cm="1">
        <f t="array" ref="S31">_xlfn.XLOOKUP(
   $B$4&amp;" "&amp;$B31,
   Actuals!$D:$D,
   _xlfn.XLOOKUP(
      S$6,
      Actuals!$H$3:$BD$3,
      Actuals!$H:$BD
   )
)</f>
        <v>0</v>
      </c>
      <c r="T31" s="292" cm="1">
        <f t="array" ref="T31">_xlfn.XLOOKUP(
   $B$4&amp;" "&amp;$B31,
   Actuals!$D:$D,
   _xlfn.XLOOKUP(
      T$6,
      Actuals!$H$3:$BD$3,
      Actuals!$H:$BD
   )
)</f>
        <v>0</v>
      </c>
      <c r="U31" s="292" cm="1">
        <f t="array" ref="U31">_xlfn.XLOOKUP(
   $B$4&amp;" "&amp;$B31,
   Actuals!$D:$D,
   _xlfn.XLOOKUP(
      U$6,
      Actuals!$H$3:$BD$3,
      Actuals!$H:$BD
   )
)</f>
        <v>0</v>
      </c>
      <c r="V31" s="292" cm="1">
        <f t="array" ref="V31">_xlfn.XLOOKUP(
   $B$4&amp;" "&amp;$B31,
   Actuals!$D:$D,
   _xlfn.XLOOKUP(
      V$6,
      Actuals!$H$3:$BD$3,
      Actuals!$H:$BD
   )
)</f>
        <v>0</v>
      </c>
      <c r="W31" s="292" cm="1">
        <f t="array" ref="W31">_xlfn.XLOOKUP(
   $B$4&amp;" "&amp;$B31,
   Actuals!$D:$D,
   _xlfn.XLOOKUP(
      W$6,
      Actuals!$H$3:$BD$3,
      Actuals!$H:$BD
   )
)</f>
        <v>0</v>
      </c>
      <c r="X31" s="292" cm="1">
        <f t="array" ref="X31">_xlfn.XLOOKUP(
   $B$4&amp;" "&amp;$B31,
   Actuals!$D:$D,
   _xlfn.XLOOKUP(
      X$6,
      Actuals!$H$3:$BD$3,
      Actuals!$H:$BD
   )
)</f>
        <v>0</v>
      </c>
      <c r="Y31" s="292" cm="1">
        <f t="array" ref="Y31">_xlfn.XLOOKUP(
   $B$4&amp;" "&amp;$B31,
   Actuals!$D:$D,
   _xlfn.XLOOKUP(
      Y$6,
      Actuals!$H$3:$BD$3,
      Actuals!$H:$BD
   )
)</f>
        <v>0</v>
      </c>
      <c r="Z31" s="292" cm="1">
        <f t="array" ref="Z31">_xlfn.XLOOKUP(
   $B$4&amp;" "&amp;$B31,
   Actuals!$D:$D,
   _xlfn.XLOOKUP(
      Z$6,
      Actuals!$H$3:$BD$3,
      Actuals!$H:$BD
   )
)</f>
        <v>0</v>
      </c>
      <c r="AA31" s="292" cm="1">
        <f t="array" ref="AA31">_xlfn.XLOOKUP(
   $B$4&amp;" "&amp;$B31,
   Actuals!$D:$D,
   _xlfn.XLOOKUP(
      AA$6,
      Actuals!$H$3:$BD$3,
      Actuals!$H:$BD
   )
)</f>
        <v>0</v>
      </c>
      <c r="AB31" s="292" cm="1">
        <f t="array" ref="AB31">_xlfn.XLOOKUP(
   $B$4&amp;" "&amp;$B31,
   Actuals!$D:$D,
   _xlfn.XLOOKUP(
      AB$6,
      Actuals!$H$3:$BD$3,
      Actuals!$H:$BD
   )
)</f>
        <v>0</v>
      </c>
      <c r="AC31" s="292" cm="1">
        <f t="array" ref="AC31">_xlfn.XLOOKUP(
   $B$4&amp;" "&amp;$B31,
   Actuals!$D:$D,
   _xlfn.XLOOKUP(
      AC$6,
      Actuals!$H$3:$BD$3,
      Actuals!$H:$BD
   )
)</f>
        <v>0</v>
      </c>
      <c r="AD31" s="292" cm="1">
        <f t="array" ref="AD31">_xlfn.XLOOKUP(
   $B$4&amp;" "&amp;$B31,
   Actuals!$D:$D,
   _xlfn.XLOOKUP(
      AD$6,
      Actuals!$H$3:$BD$3,
      Actuals!$H:$BD
   )
)</f>
        <v>0</v>
      </c>
      <c r="AE31" s="292" cm="1">
        <f t="array" ref="AE31">_xlfn.XLOOKUP(
   $B$4&amp;" "&amp;$B31,
   Actuals!$D:$D,
   _xlfn.XLOOKUP(
      AE$6,
      Actuals!$H$3:$BD$3,
      Actuals!$H:$BD
   )
)</f>
        <v>0</v>
      </c>
      <c r="AF31" s="292" cm="1">
        <f t="array" ref="AF31">_xlfn.XLOOKUP(
   $B$4&amp;" "&amp;$B31,
   Actuals!$D:$D,
   _xlfn.XLOOKUP(
      AF$6,
      Actuals!$H$3:$BD$3,
      Actuals!$H:$BD
   )
)</f>
        <v>0</v>
      </c>
      <c r="AG31" s="292" cm="1">
        <f t="array" ref="AG31">_xlfn.XLOOKUP(
   $B$4&amp;" "&amp;$B31,
   Actuals!$D:$D,
   _xlfn.XLOOKUP(
      AG$6,
      Actuals!$H$3:$BD$3,
      Actuals!$H:$BD
   )
)</f>
        <v>0</v>
      </c>
      <c r="AH31" s="292" cm="1">
        <f t="array" ref="AH31">_xlfn.XLOOKUP(
   $B$4&amp;" "&amp;$B31,
   Actuals!$D:$D,
   _xlfn.XLOOKUP(
      AH$6,
      Actuals!$H$3:$BD$3,
      Actuals!$H:$BD
   )
)</f>
        <v>0</v>
      </c>
      <c r="AI31" s="292" cm="1">
        <f t="array" ref="AI31">_xlfn.XLOOKUP(
   $B$4&amp;" "&amp;$B31,
   Actuals!$D:$D,
   _xlfn.XLOOKUP(
      AI$6,
      Actuals!$H$3:$BD$3,
      Actuals!$H:$BD
   )
)</f>
        <v>5</v>
      </c>
      <c r="AJ31" s="292" cm="1">
        <f t="array" ref="AJ31">_xlfn.XLOOKUP(
   $B$4&amp;" "&amp;$B31,
   Actuals!$D:$D,
   _xlfn.XLOOKUP(
      AJ$6,
      Actuals!$H$3:$BD$3,
      Actuals!$H:$BD
   )
)</f>
        <v>5</v>
      </c>
      <c r="AK31" s="292" cm="1">
        <f t="array" ref="AK31">_xlfn.XLOOKUP(
   $B$4&amp;" "&amp;$B31,
   Actuals!$D:$D,
   _xlfn.XLOOKUP(
      AK$6,
      Actuals!$H$3:$BD$3,
      Actuals!$H:$BD
   )
)</f>
        <v>5</v>
      </c>
      <c r="AL31" s="292" cm="1">
        <f t="array" ref="AL31">_xlfn.XLOOKUP(
   $B$4&amp;" "&amp;$B31,
   Actuals!$D:$D,
   _xlfn.XLOOKUP(
      AL$6,
      Actuals!$H$3:$BD$3,
      Actuals!$H:$BD
   )
)</f>
        <v>0</v>
      </c>
      <c r="AM31" s="292" cm="1">
        <f t="array" ref="AM31">_xlfn.XLOOKUP(
   $B$4&amp;" "&amp;$B31,
   Actuals!$D:$D,
   _xlfn.XLOOKUP(
      AM$6,
      Actuals!$H$3:$BD$3,
      Actuals!$H:$BD
   )
)</f>
        <v>7</v>
      </c>
      <c r="AN31" s="292" cm="1">
        <f t="array" ref="AN31">_xlfn.XLOOKUP(
   $B$4&amp;" "&amp;$B31,
   Actuals!$D:$D,
   _xlfn.XLOOKUP(
      AN$6,
      Actuals!$H$3:$BD$3,
      Actuals!$H:$BD
   )
)</f>
        <v>7</v>
      </c>
      <c r="AO31" s="292" cm="1">
        <f t="array" ref="AO31">_xlfn.XLOOKUP(
   $B$4&amp;" "&amp;$B31,
   Actuals!$D:$D,
   _xlfn.XLOOKUP(
      AO$6,
      Actuals!$H$3:$BD$3,
      Actuals!$H:$BD
   )
)</f>
        <v>0</v>
      </c>
      <c r="AP31" s="292" cm="1">
        <f t="array" ref="AP31">_xlfn.XLOOKUP(
   $B$4&amp;" "&amp;$B31,
   Actuals!$D:$D,
   _xlfn.XLOOKUP(
      AP$6,
      Actuals!$H$3:$BD$3,
      Actuals!$H:$BD
   )
)</f>
        <v>0</v>
      </c>
      <c r="AQ31" s="292" cm="1">
        <f t="array" ref="AQ31">_xlfn.XLOOKUP(
   $B$4&amp;" "&amp;$B31,
   Actuals!$D:$D,
   _xlfn.XLOOKUP(
      AQ$6,
      Actuals!$H$3:$BD$3,
      Actuals!$H:$BD
   )
)</f>
        <v>0</v>
      </c>
      <c r="AR31" s="292" cm="1">
        <f t="array" ref="AR31">_xlfn.XLOOKUP(
   $B$4&amp;" "&amp;$B31,
   Actuals!$D:$D,
   _xlfn.XLOOKUP(
      AR$6,
      Actuals!$H$3:$BD$3,
      Actuals!$H:$BD
   )
)</f>
        <v>0</v>
      </c>
      <c r="AS31" s="292" cm="1">
        <f t="array" ref="AS31">_xlfn.XLOOKUP(
   $B$4&amp;" "&amp;$B31,
   Actuals!$D:$D,
   _xlfn.XLOOKUP(
      AS$6,
      Actuals!$H$3:$BD$3,
      Actuals!$H:$BD
   )
)</f>
        <v>0</v>
      </c>
      <c r="AT31" s="292" cm="1">
        <f t="array" ref="AT31">_xlfn.XLOOKUP(
   $B$4&amp;" "&amp;$B31,
   Actuals!$D:$D,
   _xlfn.XLOOKUP(
      AT$6,
      Actuals!$H$3:$BD$3,
      Actuals!$H:$BD
   )
)</f>
        <v>0</v>
      </c>
      <c r="AU31" s="292" cm="1">
        <f t="array" ref="AU31">_xlfn.XLOOKUP(
   $B$4&amp;" "&amp;$B31,
   Actuals!$D:$D,
   _xlfn.XLOOKUP(
      AU$6,
      Actuals!$H$3:$BD$3,
      Actuals!$H:$BD
   )
)</f>
        <v>0</v>
      </c>
      <c r="AV31" s="292" cm="1">
        <f t="array" ref="AV31">_xlfn.XLOOKUP(
   $B$4&amp;" "&amp;$B31,
   Actuals!$D:$D,
   _xlfn.XLOOKUP(
      AV$6,
      Actuals!$H$3:$BD$3,
      Actuals!$H:$BD
   )
)</f>
        <v>0</v>
      </c>
      <c r="AW31" s="292" cm="1">
        <f t="array" ref="AW31">_xlfn.XLOOKUP(
   $B$4&amp;" "&amp;$B31,
   Actuals!$D:$D,
   _xlfn.XLOOKUP(
      AW$6,
      Actuals!$H$3:$BD$3,
      Actuals!$H:$BD
   )
)</f>
        <v>0</v>
      </c>
      <c r="AX31" s="292" cm="1">
        <f t="array" ref="AX31">_xlfn.XLOOKUP(
   $B$4&amp;" "&amp;$B31,
   Actuals!$D:$D,
   _xlfn.XLOOKUP(
      AX$6,
      Actuals!$H$3:$BD$3,
      Actuals!$H:$BD
   )
)</f>
        <v>0</v>
      </c>
      <c r="AY31" s="292" cm="1">
        <f t="array" ref="AY31">_xlfn.XLOOKUP(
   $B$4&amp;" "&amp;$B31,
   Actuals!$D:$D,
   _xlfn.XLOOKUP(
      AY$6,
      Actuals!$H$3:$BD$3,
      Actuals!$H:$BD
   )
)</f>
        <v>0</v>
      </c>
      <c r="AZ31" s="292" cm="1">
        <f t="array" ref="AZ31">_xlfn.XLOOKUP(
   $B$4&amp;" "&amp;$B31,
   Actuals!$D:$D,
   _xlfn.XLOOKUP(
      AZ$6,
      Actuals!$H$3:$BD$3,
      Actuals!$H:$BD
   )
)</f>
        <v>0</v>
      </c>
      <c r="BA31" s="292"/>
      <c r="BB31" s="292" cm="1">
        <f t="array" ref="BB31">_xlfn.XLOOKUP(
   $B$4&amp;" "&amp;$B31,
   Actuals!$D:$D,
   _xlfn.XLOOKUP(
      BB$7,
      Actuals!$H$3:$BM$3,
      Actuals!$H:$BM
   )
)</f>
        <v>0</v>
      </c>
      <c r="BC31" s="292">
        <f>VLOOKUP($B$4&amp;" "&amp;$B31,Budget!$AG$4:$AL$132,$BB$5+1,FALSE)</f>
        <v>0</v>
      </c>
      <c r="BD31" s="292">
        <f>BB31-BC31</f>
        <v>0</v>
      </c>
      <c r="BE31" s="292"/>
      <c r="BF31" s="292" cm="1">
        <f t="array" ref="BF31">_xlfn.XLOOKUP(
   $B$4&amp;" "&amp;$B31,
   Actuals!$D:$D,
   _xlfn.XLOOKUP(
      BF$7,
      Actuals!$H$3:$BM$3,
      Actuals!$H:$BM
   )
)</f>
        <v>0</v>
      </c>
      <c r="BG31" s="292">
        <f>VLOOKUP($B$4&amp;" "&amp;$B31,Budget!$AG$4:$AL$132,BF$5+1,FALSE)</f>
        <v>0</v>
      </c>
      <c r="BH31" s="292">
        <f>BF31-BG31</f>
        <v>0</v>
      </c>
      <c r="BI31" s="292"/>
      <c r="BJ31" s="292" cm="1">
        <f t="array" ref="BJ31">_xlfn.XLOOKUP(
   $B$4&amp;" "&amp;$B31,
   Actuals!$D:$D,
   _xlfn.XLOOKUP(
      BJ$7,
      Actuals!$H$3:$BM$3,
      Actuals!$H:$BM
   )
)</f>
        <v>0</v>
      </c>
      <c r="BK31" s="292">
        <f>VLOOKUP($B$4&amp;" "&amp;$B31,Budget!$AG$4:$AL$132,BJ$5+1,FALSE)</f>
        <v>0</v>
      </c>
      <c r="BL31" s="292">
        <f>BJ31-BK31</f>
        <v>0</v>
      </c>
      <c r="BM31" s="292"/>
      <c r="BN31" s="292" cm="1">
        <f t="array" ref="BN31">_xlfn.XLOOKUP(
   $B$4&amp;" "&amp;$B31,
   Actuals!$D:$D,
   _xlfn.XLOOKUP(
      BN$7,
      Actuals!$H$3:$BM$3,
      Actuals!$H:$BM
   )
)</f>
        <v>0</v>
      </c>
      <c r="BO31" s="292">
        <f>VLOOKUP($B$4&amp;" "&amp;$B31,Budget!$AG$4:$AL$132,BN$5+1,FALSE)</f>
        <v>0</v>
      </c>
      <c r="BP31" s="292"/>
      <c r="BQ31" s="292"/>
      <c r="BR31" s="292" cm="1">
        <f t="array" aca="1" ref="BR31" ca="1">_xlfn.XLOOKUP(
   $B$4&amp;" "&amp;$B31,
   Actuals!$D:$D,
   _xlfn.XLOOKUP(
      BR$6,
      Actuals!$H$3:$BM$3,
      Actuals!$H:$BM
   )
)</f>
        <v>0</v>
      </c>
      <c r="BS31" s="292">
        <f ca="1">VLOOKUP($B$4&amp;" "&amp;$B31,Budget!$AG$4:$AL$132,6,FALSE)</f>
        <v>0</v>
      </c>
      <c r="BT31" s="292">
        <f ca="1">BR31-BS31</f>
        <v>0</v>
      </c>
      <c r="BU31" s="292"/>
      <c r="BV31" s="292" cm="1">
        <f t="array" ref="BV31">_xlfn.XLOOKUP(
   $B$4&amp;" "&amp;$B31,
   Actuals!$D:$D,
   _xlfn.XLOOKUP(
      BV$6,
      Actuals!$H$3:$BM$3,
      Actuals!$H:$BM
   )
)</f>
        <v>0</v>
      </c>
    </row>
    <row r="32" spans="2:76">
      <c r="B32" s="29" t="s">
        <v>87</v>
      </c>
      <c r="C32" s="142" t="s">
        <v>47</v>
      </c>
      <c r="D32" s="172" t="str">
        <f>VLOOKUP($B$4&amp;" "&amp;$B32,Actuals!$D$4:$AG$131,3,FALSE)</f>
        <v>#</v>
      </c>
      <c r="E32" s="293" cm="1">
        <f t="array" ref="E32">_xlfn.XLOOKUP(
   $B$4&amp;" "&amp;$B32,
   Actuals!$D:$D,
   _xlfn.XLOOKUP(
      E$6,
      Actuals!$H$3:$BD$3,
      Actuals!$H:$BD
   )
)</f>
        <v>61</v>
      </c>
      <c r="F32" s="293" cm="1">
        <f t="array" ref="F32">_xlfn.XLOOKUP(
   $B$4&amp;" "&amp;$B32,
   Actuals!$D:$D,
   _xlfn.XLOOKUP(
      F$6,
      Actuals!$H$3:$BD$3,
      Actuals!$H:$BD
   )
)</f>
        <v>53</v>
      </c>
      <c r="G32" s="293" cm="1">
        <f t="array" ref="G32">_xlfn.XLOOKUP(
   $B$4&amp;" "&amp;$B32,
   Actuals!$D:$D,
   _xlfn.XLOOKUP(
      G$6,
      Actuals!$H$3:$BD$3,
      Actuals!$H:$BD
   )
)</f>
        <v>38</v>
      </c>
      <c r="H32" s="293" cm="1">
        <f t="array" ref="H32">_xlfn.XLOOKUP(
   $B$4&amp;" "&amp;$B32,
   Actuals!$D:$D,
   _xlfn.XLOOKUP(
      H$6,
      Actuals!$H$3:$BD$3,
      Actuals!$H:$BD
   )
)</f>
        <v>40</v>
      </c>
      <c r="I32" s="293" cm="1">
        <f t="array" ref="I32">_xlfn.XLOOKUP(
   $B$4&amp;" "&amp;$B32,
   Actuals!$D:$D,
   _xlfn.XLOOKUP(
      I$6,
      Actuals!$H$3:$BD$3,
      Actuals!$H:$BD
   )
)</f>
        <v>55</v>
      </c>
      <c r="J32" s="293" cm="1">
        <f t="array" ref="J32">_xlfn.XLOOKUP(
   $B$4&amp;" "&amp;$B32,
   Actuals!$D:$D,
   _xlfn.XLOOKUP(
      J$6,
      Actuals!$H$3:$BD$3,
      Actuals!$H:$BD
   )
)</f>
        <v>54</v>
      </c>
      <c r="K32" s="293" cm="1">
        <f t="array" ref="K32">_xlfn.XLOOKUP(
   $B$4&amp;" "&amp;$B32,
   Actuals!$D:$D,
   _xlfn.XLOOKUP(
      K$6,
      Actuals!$H$3:$BD$3,
      Actuals!$H:$BD
   )
)</f>
        <v>60</v>
      </c>
      <c r="L32" s="293" cm="1">
        <f t="array" ref="L32">_xlfn.XLOOKUP(
   $B$4&amp;" "&amp;$B32,
   Actuals!$D:$D,
   _xlfn.XLOOKUP(
      L$6,
      Actuals!$H$3:$BD$3,
      Actuals!$H:$BD
   )
)</f>
        <v>55</v>
      </c>
      <c r="M32" s="293" cm="1">
        <f t="array" ref="M32">_xlfn.XLOOKUP(
   $B$4&amp;" "&amp;$B32,
   Actuals!$D:$D,
   _xlfn.XLOOKUP(
      M$6,
      Actuals!$H$3:$BD$3,
      Actuals!$H:$BD
   )
)</f>
        <v>53</v>
      </c>
      <c r="N32" s="293" cm="1">
        <f t="array" ref="N32">_xlfn.XLOOKUP(
   $B$4&amp;" "&amp;$B32,
   Actuals!$D:$D,
   _xlfn.XLOOKUP(
      N$6,
      Actuals!$H$3:$BD$3,
      Actuals!$H:$BD
   )
)</f>
        <v>39</v>
      </c>
      <c r="O32" s="293" cm="1">
        <f t="array" ref="O32">_xlfn.XLOOKUP(
   $B$4&amp;" "&amp;$B32,
   Actuals!$D:$D,
   _xlfn.XLOOKUP(
      O$6,
      Actuals!$H$3:$BD$3,
      Actuals!$H:$BD
   )
)</f>
        <v>0</v>
      </c>
      <c r="P32" s="293" cm="1">
        <f t="array" ref="P32">_xlfn.XLOOKUP(
   $B$4&amp;" "&amp;$B32,
   Actuals!$D:$D,
   _xlfn.XLOOKUP(
      P$6,
      Actuals!$H$3:$BD$3,
      Actuals!$H:$BD
   )
)</f>
        <v>0</v>
      </c>
      <c r="Q32" s="293" cm="1">
        <f t="array" ref="Q32">_xlfn.XLOOKUP(
   $B$4&amp;" "&amp;$B32,
   Actuals!$D:$D,
   _xlfn.XLOOKUP(
      Q$6,
      Actuals!$H$3:$BD$3,
      Actuals!$H:$BD
   )
)</f>
        <v>0</v>
      </c>
      <c r="R32" s="293" cm="1">
        <f t="array" ref="R32">_xlfn.XLOOKUP(
   $B$4&amp;" "&amp;$B32,
   Actuals!$D:$D,
   _xlfn.XLOOKUP(
      R$6,
      Actuals!$H$3:$BD$3,
      Actuals!$H:$BD
   )
)</f>
        <v>0</v>
      </c>
      <c r="S32" s="293" cm="1">
        <f t="array" ref="S32">_xlfn.XLOOKUP(
   $B$4&amp;" "&amp;$B32,
   Actuals!$D:$D,
   _xlfn.XLOOKUP(
      S$6,
      Actuals!$H$3:$BD$3,
      Actuals!$H:$BD
   )
)</f>
        <v>0</v>
      </c>
      <c r="T32" s="293" cm="1">
        <f t="array" ref="T32">_xlfn.XLOOKUP(
   $B$4&amp;" "&amp;$B32,
   Actuals!$D:$D,
   _xlfn.XLOOKUP(
      T$6,
      Actuals!$H$3:$BD$3,
      Actuals!$H:$BD
   )
)</f>
        <v>0</v>
      </c>
      <c r="U32" s="293" cm="1">
        <f t="array" ref="U32">_xlfn.XLOOKUP(
   $B$4&amp;" "&amp;$B32,
   Actuals!$D:$D,
   _xlfn.XLOOKUP(
      U$6,
      Actuals!$H$3:$BD$3,
      Actuals!$H:$BD
   )
)</f>
        <v>0</v>
      </c>
      <c r="V32" s="293" cm="1">
        <f t="array" ref="V32">_xlfn.XLOOKUP(
   $B$4&amp;" "&amp;$B32,
   Actuals!$D:$D,
   _xlfn.XLOOKUP(
      V$6,
      Actuals!$H$3:$BD$3,
      Actuals!$H:$BD
   )
)</f>
        <v>0</v>
      </c>
      <c r="W32" s="293" cm="1">
        <f t="array" ref="W32">_xlfn.XLOOKUP(
   $B$4&amp;" "&amp;$B32,
   Actuals!$D:$D,
   _xlfn.XLOOKUP(
      W$6,
      Actuals!$H$3:$BD$3,
      Actuals!$H:$BD
   )
)</f>
        <v>0</v>
      </c>
      <c r="X32" s="293" cm="1">
        <f t="array" ref="X32">_xlfn.XLOOKUP(
   $B$4&amp;" "&amp;$B32,
   Actuals!$D:$D,
   _xlfn.XLOOKUP(
      X$6,
      Actuals!$H$3:$BD$3,
      Actuals!$H:$BD
   )
)</f>
        <v>0</v>
      </c>
      <c r="Y32" s="293" cm="1">
        <f t="array" ref="Y32">_xlfn.XLOOKUP(
   $B$4&amp;" "&amp;$B32,
   Actuals!$D:$D,
   _xlfn.XLOOKUP(
      Y$6,
      Actuals!$H$3:$BD$3,
      Actuals!$H:$BD
   )
)</f>
        <v>0</v>
      </c>
      <c r="Z32" s="293" cm="1">
        <f t="array" ref="Z32">_xlfn.XLOOKUP(
   $B$4&amp;" "&amp;$B32,
   Actuals!$D:$D,
   _xlfn.XLOOKUP(
      Z$6,
      Actuals!$H$3:$BD$3,
      Actuals!$H:$BD
   )
)</f>
        <v>0</v>
      </c>
      <c r="AA32" s="293" cm="1">
        <f t="array" ref="AA32">_xlfn.XLOOKUP(
   $B$4&amp;" "&amp;$B32,
   Actuals!$D:$D,
   _xlfn.XLOOKUP(
      AA$6,
      Actuals!$H$3:$BD$3,
      Actuals!$H:$BD
   )
)</f>
        <v>0</v>
      </c>
      <c r="AB32" s="293" cm="1">
        <f t="array" ref="AB32">_xlfn.XLOOKUP(
   $B$4&amp;" "&amp;$B32,
   Actuals!$D:$D,
   _xlfn.XLOOKUP(
      AB$6,
      Actuals!$H$3:$BD$3,
      Actuals!$H:$BD
   )
)</f>
        <v>0</v>
      </c>
      <c r="AC32" s="293" cm="1">
        <f t="array" ref="AC32">_xlfn.XLOOKUP(
   $B$4&amp;" "&amp;$B32,
   Actuals!$D:$D,
   _xlfn.XLOOKUP(
      AC$6,
      Actuals!$H$3:$BD$3,
      Actuals!$H:$BD
   )
)</f>
        <v>0</v>
      </c>
      <c r="AD32" s="293" cm="1">
        <f t="array" ref="AD32">_xlfn.XLOOKUP(
   $B$4&amp;" "&amp;$B32,
   Actuals!$D:$D,
   _xlfn.XLOOKUP(
      AD$6,
      Actuals!$H$3:$BD$3,
      Actuals!$H:$BD
   )
)</f>
        <v>0</v>
      </c>
      <c r="AE32" s="293" cm="1">
        <f t="array" ref="AE32">_xlfn.XLOOKUP(
   $B$4&amp;" "&amp;$B32,
   Actuals!$D:$D,
   _xlfn.XLOOKUP(
      AE$6,
      Actuals!$H$3:$BD$3,
      Actuals!$H:$BD
   )
)</f>
        <v>0</v>
      </c>
      <c r="AF32" s="293" cm="1">
        <f t="array" ref="AF32">_xlfn.XLOOKUP(
   $B$4&amp;" "&amp;$B32,
   Actuals!$D:$D,
   _xlfn.XLOOKUP(
      AF$6,
      Actuals!$H$3:$BD$3,
      Actuals!$H:$BD
   )
)</f>
        <v>0</v>
      </c>
      <c r="AG32" s="293" cm="1">
        <f t="array" ref="AG32">_xlfn.XLOOKUP(
   $B$4&amp;" "&amp;$B32,
   Actuals!$D:$D,
   _xlfn.XLOOKUP(
      AG$6,
      Actuals!$H$3:$BD$3,
      Actuals!$H:$BD
   )
)</f>
        <v>0</v>
      </c>
      <c r="AH32" s="293" cm="1">
        <f t="array" ref="AH32">_xlfn.XLOOKUP(
   $B$4&amp;" "&amp;$B32,
   Actuals!$D:$D,
   _xlfn.XLOOKUP(
      AH$6,
      Actuals!$H$3:$BD$3,
      Actuals!$H:$BD
   )
)</f>
        <v>0</v>
      </c>
      <c r="AI32" s="293" cm="1">
        <f t="array" ref="AI32">_xlfn.XLOOKUP(
   $B$4&amp;" "&amp;$B32,
   Actuals!$D:$D,
   _xlfn.XLOOKUP(
      AI$6,
      Actuals!$H$3:$BD$3,
      Actuals!$H:$BD
   )
)</f>
        <v>39</v>
      </c>
      <c r="AJ32" s="293" cm="1">
        <f t="array" ref="AJ32">_xlfn.XLOOKUP(
   $B$4&amp;" "&amp;$B32,
   Actuals!$D:$D,
   _xlfn.XLOOKUP(
      AJ$6,
      Actuals!$H$3:$BD$3,
      Actuals!$H:$BD
   )
)</f>
        <v>39</v>
      </c>
      <c r="AK32" s="293" cm="1">
        <f t="array" ref="AK32">_xlfn.XLOOKUP(
   $B$4&amp;" "&amp;$B32,
   Actuals!$D:$D,
   _xlfn.XLOOKUP(
      AK$6,
      Actuals!$H$3:$BD$3,
      Actuals!$H:$BD
   )
)</f>
        <v>39</v>
      </c>
      <c r="AL32" s="293" cm="1">
        <f t="array" ref="AL32">_xlfn.XLOOKUP(
   $B$4&amp;" "&amp;$B32,
   Actuals!$D:$D,
   _xlfn.XLOOKUP(
      AL$6,
      Actuals!$H$3:$BD$3,
      Actuals!$H:$BD
   )
)</f>
        <v>0</v>
      </c>
      <c r="AM32" s="293" cm="1">
        <f t="array" ref="AM32">_xlfn.XLOOKUP(
   $B$4&amp;" "&amp;$B32,
   Actuals!$D:$D,
   _xlfn.XLOOKUP(
      AM$6,
      Actuals!$H$3:$BD$3,
      Actuals!$H:$BD
   )
)</f>
        <v>52</v>
      </c>
      <c r="AN32" s="293" cm="1">
        <f t="array" ref="AN32">_xlfn.XLOOKUP(
   $B$4&amp;" "&amp;$B32,
   Actuals!$D:$D,
   _xlfn.XLOOKUP(
      AN$6,
      Actuals!$H$3:$BD$3,
      Actuals!$H:$BD
   )
)</f>
        <v>16</v>
      </c>
      <c r="AO32" s="293" cm="1">
        <f t="array" ref="AO32">_xlfn.XLOOKUP(
   $B$4&amp;" "&amp;$B32,
   Actuals!$D:$D,
   _xlfn.XLOOKUP(
      AO$6,
      Actuals!$H$3:$BD$3,
      Actuals!$H:$BD
   )
)</f>
        <v>0</v>
      </c>
      <c r="AP32" s="293" cm="1">
        <f t="array" ref="AP32">_xlfn.XLOOKUP(
   $B$4&amp;" "&amp;$B32,
   Actuals!$D:$D,
   _xlfn.XLOOKUP(
      AP$6,
      Actuals!$H$3:$BD$3,
      Actuals!$H:$BD
   )
)</f>
        <v>0</v>
      </c>
      <c r="AQ32" s="293" cm="1">
        <f t="array" ref="AQ32">_xlfn.XLOOKUP(
   $B$4&amp;" "&amp;$B32,
   Actuals!$D:$D,
   _xlfn.XLOOKUP(
      AQ$6,
      Actuals!$H$3:$BD$3,
      Actuals!$H:$BD
   )
)</f>
        <v>0</v>
      </c>
      <c r="AR32" s="293" cm="1">
        <f t="array" ref="AR32">_xlfn.XLOOKUP(
   $B$4&amp;" "&amp;$B32,
   Actuals!$D:$D,
   _xlfn.XLOOKUP(
      AR$6,
      Actuals!$H$3:$BD$3,
      Actuals!$H:$BD
   )
)</f>
        <v>0</v>
      </c>
      <c r="AS32" s="293" cm="1">
        <f t="array" ref="AS32">_xlfn.XLOOKUP(
   $B$4&amp;" "&amp;$B32,
   Actuals!$D:$D,
   _xlfn.XLOOKUP(
      AS$6,
      Actuals!$H$3:$BD$3,
      Actuals!$H:$BD
   )
)</f>
        <v>0</v>
      </c>
      <c r="AT32" s="293" cm="1">
        <f t="array" ref="AT32">_xlfn.XLOOKUP(
   $B$4&amp;" "&amp;$B32,
   Actuals!$D:$D,
   _xlfn.XLOOKUP(
      AT$6,
      Actuals!$H$3:$BD$3,
      Actuals!$H:$BD
   )
)</f>
        <v>0</v>
      </c>
      <c r="AU32" s="293" cm="1">
        <f t="array" ref="AU32">_xlfn.XLOOKUP(
   $B$4&amp;" "&amp;$B32,
   Actuals!$D:$D,
   _xlfn.XLOOKUP(
      AU$6,
      Actuals!$H$3:$BD$3,
      Actuals!$H:$BD
   )
)</f>
        <v>0</v>
      </c>
      <c r="AV32" s="293" cm="1">
        <f t="array" ref="AV32">_xlfn.XLOOKUP(
   $B$4&amp;" "&amp;$B32,
   Actuals!$D:$D,
   _xlfn.XLOOKUP(
      AV$6,
      Actuals!$H$3:$BD$3,
      Actuals!$H:$BD
   )
)</f>
        <v>0</v>
      </c>
      <c r="AW32" s="293" cm="1">
        <f t="array" ref="AW32">_xlfn.XLOOKUP(
   $B$4&amp;" "&amp;$B32,
   Actuals!$D:$D,
   _xlfn.XLOOKUP(
      AW$6,
      Actuals!$H$3:$BD$3,
      Actuals!$H:$BD
   )
)</f>
        <v>0</v>
      </c>
      <c r="AX32" s="293" cm="1">
        <f t="array" ref="AX32">_xlfn.XLOOKUP(
   $B$4&amp;" "&amp;$B32,
   Actuals!$D:$D,
   _xlfn.XLOOKUP(
      AX$6,
      Actuals!$H$3:$BD$3,
      Actuals!$H:$BD
   )
)</f>
        <v>0</v>
      </c>
      <c r="AY32" s="293" cm="1">
        <f t="array" ref="AY32">_xlfn.XLOOKUP(
   $B$4&amp;" "&amp;$B32,
   Actuals!$D:$D,
   _xlfn.XLOOKUP(
      AY$6,
      Actuals!$H$3:$BD$3,
      Actuals!$H:$BD
   )
)</f>
        <v>0</v>
      </c>
      <c r="AZ32" s="293" cm="1">
        <f t="array" ref="AZ32">_xlfn.XLOOKUP(
   $B$4&amp;" "&amp;$B32,
   Actuals!$D:$D,
   _xlfn.XLOOKUP(
      AZ$6,
      Actuals!$H$3:$BD$3,
      Actuals!$H:$BD
   )
)</f>
        <v>0</v>
      </c>
      <c r="BA32" s="293"/>
      <c r="BB32" s="293" cm="1">
        <f t="array" ref="BB32">_xlfn.XLOOKUP(
   $B$4&amp;" "&amp;$B32,
   Actuals!$D:$D,
   _xlfn.XLOOKUP(
      BB$7,
      Actuals!$H$3:$BM$3,
      Actuals!$H:$BM
   )
)</f>
        <v>0</v>
      </c>
      <c r="BC32" s="293">
        <f>VLOOKUP($B$4&amp;" "&amp;$B32,Budget!$AG$4:$AL$132,$BB$5+1,FALSE)</f>
        <v>0</v>
      </c>
      <c r="BD32" s="293">
        <f>BB32-BC32</f>
        <v>0</v>
      </c>
      <c r="BE32" s="293"/>
      <c r="BF32" s="293" cm="1">
        <f t="array" ref="BF32">_xlfn.XLOOKUP(
   $B$4&amp;" "&amp;$B32,
   Actuals!$D:$D,
   _xlfn.XLOOKUP(
      BF$7,
      Actuals!$H$3:$BM$3,
      Actuals!$H:$BM
   )
)</f>
        <v>0</v>
      </c>
      <c r="BG32" s="293">
        <f>VLOOKUP($B$4&amp;" "&amp;$B32,Budget!$AG$4:$AL$132,BF$5+1,FALSE)</f>
        <v>0</v>
      </c>
      <c r="BH32" s="293">
        <f>BF32-BG32</f>
        <v>0</v>
      </c>
      <c r="BI32" s="293"/>
      <c r="BJ32" s="293" cm="1">
        <f t="array" ref="BJ32">_xlfn.XLOOKUP(
   $B$4&amp;" "&amp;$B32,
   Actuals!$D:$D,
   _xlfn.XLOOKUP(
      BJ$7,
      Actuals!$H$3:$BM$3,
      Actuals!$H:$BM
   )
)</f>
        <v>0</v>
      </c>
      <c r="BK32" s="293">
        <f>VLOOKUP($B$4&amp;" "&amp;$B32,Budget!$AG$4:$AL$132,BJ$5+1,FALSE)</f>
        <v>0</v>
      </c>
      <c r="BL32" s="293">
        <f>BJ32-BK32</f>
        <v>0</v>
      </c>
      <c r="BM32" s="293"/>
      <c r="BN32" s="293" cm="1">
        <f t="array" ref="BN32">_xlfn.XLOOKUP(
   $B$4&amp;" "&amp;$B32,
   Actuals!$D:$D,
   _xlfn.XLOOKUP(
      BN$7,
      Actuals!$H$3:$BM$3,
      Actuals!$H:$BM
   )
)</f>
        <v>0</v>
      </c>
      <c r="BO32" s="293">
        <f>VLOOKUP($B$4&amp;" "&amp;$B32,Budget!$AG$4:$AL$132,BN$5+1,FALSE)</f>
        <v>0</v>
      </c>
      <c r="BP32" s="293"/>
      <c r="BQ32" s="293"/>
      <c r="BR32" s="293" cm="1">
        <f t="array" aca="1" ref="BR32" ca="1">_xlfn.XLOOKUP(
   $B$4&amp;" "&amp;$B32,
   Actuals!$D:$D,
   _xlfn.XLOOKUP(
      BR$6,
      Actuals!$H$3:$BM$3,
      Actuals!$H:$BM
   )
)</f>
        <v>0</v>
      </c>
      <c r="BS32" s="293">
        <f ca="1">VLOOKUP($B$4&amp;" "&amp;$B32,Budget!$AG$4:$AL$132,6,FALSE)</f>
        <v>0</v>
      </c>
      <c r="BT32" s="293">
        <f ca="1">BR32-BS32</f>
        <v>0</v>
      </c>
      <c r="BU32" s="293"/>
      <c r="BV32" s="293" cm="1">
        <f t="array" ref="BV32">_xlfn.XLOOKUP(
   $B$4&amp;" "&amp;$B32,
   Actuals!$D:$D,
   _xlfn.XLOOKUP(
      BV$6,
      Actuals!$H$3:$BM$3,
      Actuals!$H:$BM
   )
)</f>
        <v>0</v>
      </c>
    </row>
    <row r="33" spans="2:74">
      <c r="C33" s="139"/>
      <c r="D33" s="171"/>
      <c r="E33" s="292"/>
      <c r="F33" s="292"/>
      <c r="G33" s="292"/>
      <c r="H33" s="292"/>
      <c r="I33" s="292"/>
      <c r="J33" s="292"/>
      <c r="K33" s="292"/>
      <c r="L33" s="292"/>
      <c r="M33" s="292"/>
      <c r="N33" s="292"/>
      <c r="O33" s="292"/>
      <c r="P33" s="292"/>
      <c r="Q33" s="292"/>
      <c r="R33" s="292"/>
      <c r="S33" s="292"/>
      <c r="T33" s="292"/>
      <c r="U33" s="292"/>
      <c r="V33" s="292"/>
      <c r="W33" s="292"/>
      <c r="X33" s="292"/>
      <c r="Y33" s="292"/>
      <c r="Z33" s="292"/>
      <c r="AA33" s="292"/>
      <c r="AB33" s="292"/>
      <c r="AC33" s="292"/>
      <c r="AD33" s="292"/>
      <c r="AE33" s="292"/>
      <c r="AF33" s="292"/>
      <c r="AG33" s="292"/>
      <c r="AH33" s="292"/>
      <c r="AI33" s="292"/>
      <c r="AJ33" s="292"/>
      <c r="AK33" s="292"/>
      <c r="AL33" s="292"/>
      <c r="AM33" s="292"/>
      <c r="AN33" s="292"/>
      <c r="AO33" s="292"/>
      <c r="AP33" s="292"/>
      <c r="AQ33" s="292"/>
      <c r="AR33" s="292"/>
      <c r="AS33" s="292"/>
      <c r="AT33" s="292"/>
      <c r="AU33" s="292"/>
      <c r="AV33" s="292"/>
      <c r="AW33" s="292"/>
      <c r="AX33" s="292"/>
      <c r="AY33" s="292"/>
      <c r="AZ33" s="292"/>
      <c r="BA33" s="292"/>
      <c r="BB33" s="292"/>
      <c r="BC33" s="292"/>
      <c r="BD33" s="292"/>
      <c r="BE33" s="292"/>
      <c r="BF33" s="292"/>
      <c r="BG33" s="292"/>
      <c r="BH33" s="292"/>
      <c r="BI33" s="292"/>
      <c r="BJ33" s="292"/>
      <c r="BK33" s="292"/>
      <c r="BL33" s="292"/>
      <c r="BM33" s="292"/>
      <c r="BN33" s="292"/>
      <c r="BO33" s="292"/>
      <c r="BP33" s="292"/>
      <c r="BQ33" s="292"/>
      <c r="BR33" s="292"/>
      <c r="BS33" s="292"/>
      <c r="BT33" s="292"/>
      <c r="BU33" s="292"/>
      <c r="BV33" s="292"/>
    </row>
    <row r="34" spans="2:74" ht="13">
      <c r="B34" s="126" t="s">
        <v>88</v>
      </c>
      <c r="C34" s="145"/>
      <c r="D34" s="176"/>
      <c r="E34" s="294"/>
      <c r="F34" s="294"/>
      <c r="G34" s="294"/>
      <c r="H34" s="294"/>
      <c r="I34" s="294"/>
      <c r="J34" s="294"/>
      <c r="K34" s="294"/>
      <c r="L34" s="294"/>
      <c r="M34" s="294"/>
      <c r="N34" s="294"/>
      <c r="O34" s="294"/>
      <c r="P34" s="294"/>
      <c r="Q34" s="294"/>
      <c r="R34" s="294"/>
      <c r="S34" s="294"/>
      <c r="T34" s="294"/>
      <c r="U34" s="294"/>
      <c r="V34" s="294"/>
      <c r="W34" s="294"/>
      <c r="X34" s="294"/>
      <c r="Y34" s="294"/>
      <c r="Z34" s="294"/>
      <c r="AA34" s="294"/>
      <c r="AB34" s="294"/>
      <c r="AC34" s="294"/>
      <c r="AD34" s="294"/>
      <c r="AE34" s="294"/>
      <c r="AF34" s="294"/>
      <c r="AG34" s="294"/>
      <c r="AH34" s="294"/>
      <c r="AI34" s="294"/>
      <c r="AJ34" s="294"/>
      <c r="AK34" s="294"/>
      <c r="AL34" s="294"/>
      <c r="AM34" s="294"/>
      <c r="AN34" s="294"/>
      <c r="AO34" s="294"/>
      <c r="AP34" s="294"/>
      <c r="AQ34" s="294"/>
      <c r="AR34" s="294"/>
      <c r="AS34" s="294"/>
      <c r="AT34" s="294"/>
      <c r="AU34" s="294"/>
      <c r="AV34" s="294"/>
      <c r="AW34" s="294"/>
      <c r="AX34" s="294"/>
      <c r="AY34" s="294"/>
      <c r="AZ34" s="294"/>
      <c r="BA34" s="294"/>
      <c r="BB34" s="294"/>
      <c r="BC34" s="294"/>
      <c r="BD34" s="294"/>
      <c r="BE34" s="294"/>
      <c r="BF34" s="294"/>
      <c r="BG34" s="294"/>
      <c r="BH34" s="294"/>
      <c r="BI34" s="294"/>
      <c r="BJ34" s="294"/>
      <c r="BK34" s="294"/>
      <c r="BL34" s="294"/>
      <c r="BM34" s="294"/>
      <c r="BN34" s="294"/>
      <c r="BO34" s="294"/>
      <c r="BP34" s="294"/>
      <c r="BQ34" s="294"/>
      <c r="BR34" s="294"/>
      <c r="BS34" s="294"/>
      <c r="BT34" s="294"/>
      <c r="BU34" s="294"/>
      <c r="BV34" s="294"/>
    </row>
    <row r="35" spans="2:74">
      <c r="B35" s="26" t="s">
        <v>89</v>
      </c>
      <c r="C35" s="139" t="s">
        <v>63</v>
      </c>
      <c r="D35" s="171" t="str">
        <f>VLOOKUP($B$4&amp;" "&amp;$B35,Actuals!$D$4:$AG$131,3,FALSE)</f>
        <v>#</v>
      </c>
      <c r="E35" s="292" cm="1">
        <f t="array" ref="E35">_xlfn.XLOOKUP(
   $B$4&amp;" "&amp;$B35,
   Actuals!$D:$D,
   _xlfn.XLOOKUP(
      E$6,
      Actuals!$H$3:$BD$3,
      Actuals!$H:$BD
   )
)</f>
        <v>15</v>
      </c>
      <c r="F35" s="292" cm="1">
        <f t="array" ref="F35">_xlfn.XLOOKUP(
   $B$4&amp;" "&amp;$B35,
   Actuals!$D:$D,
   _xlfn.XLOOKUP(
      F$6,
      Actuals!$H$3:$BD$3,
      Actuals!$H:$BD
   )
)</f>
        <v>18</v>
      </c>
      <c r="G35" s="292" cm="1">
        <f t="array" ref="G35">_xlfn.XLOOKUP(
   $B$4&amp;" "&amp;$B35,
   Actuals!$D:$D,
   _xlfn.XLOOKUP(
      G$6,
      Actuals!$H$3:$BD$3,
      Actuals!$H:$BD
   )
)</f>
        <v>0</v>
      </c>
      <c r="H35" s="292" cm="1">
        <f t="array" ref="H35">_xlfn.XLOOKUP(
   $B$4&amp;" "&amp;$B35,
   Actuals!$D:$D,
   _xlfn.XLOOKUP(
      H$6,
      Actuals!$H$3:$BD$3,
      Actuals!$H:$BD
   )
)</f>
        <v>22</v>
      </c>
      <c r="I35" s="292" cm="1">
        <f t="array" ref="I35">_xlfn.XLOOKUP(
   $B$4&amp;" "&amp;$B35,
   Actuals!$D:$D,
   _xlfn.XLOOKUP(
      I$6,
      Actuals!$H$3:$BD$3,
      Actuals!$H:$BD
   )
)</f>
        <v>18.669642857142858</v>
      </c>
      <c r="J35" s="292" cm="1">
        <f t="array" ref="J35">_xlfn.XLOOKUP(
   $B$4&amp;" "&amp;$B35,
   Actuals!$D:$D,
   _xlfn.XLOOKUP(
      J$6,
      Actuals!$H$3:$BD$3,
      Actuals!$H:$BD
   )
)</f>
        <v>18.1568</v>
      </c>
      <c r="K35" s="292" cm="1">
        <f t="array" ref="K35">_xlfn.XLOOKUP(
   $B$4&amp;" "&amp;$B35,
   Actuals!$D:$D,
   _xlfn.XLOOKUP(
      K$6,
      Actuals!$H$3:$BD$3,
      Actuals!$H:$BD
   )
)</f>
        <v>20.291428571428572</v>
      </c>
      <c r="L35" s="292" cm="1">
        <f t="array" ref="L35">_xlfn.XLOOKUP(
   $B$4&amp;" "&amp;$B35,
   Actuals!$D:$D,
   _xlfn.XLOOKUP(
      L$6,
      Actuals!$H$3:$BD$3,
      Actuals!$H:$BD
   )
)</f>
        <v>20.196428571428573</v>
      </c>
      <c r="M35" s="292" cm="1">
        <f t="array" ref="M35">_xlfn.XLOOKUP(
   $B$4&amp;" "&amp;$B35,
   Actuals!$D:$D,
   _xlfn.XLOOKUP(
      M$6,
      Actuals!$H$3:$BD$3,
      Actuals!$H:$BD
   )
)</f>
        <v>24.012857142857143</v>
      </c>
      <c r="N35" s="292" cm="1">
        <f t="array" ref="N35">_xlfn.XLOOKUP(
   $B$4&amp;" "&amp;$B35,
   Actuals!$D:$D,
   _xlfn.XLOOKUP(
      N$6,
      Actuals!$H$3:$BD$3,
      Actuals!$H:$BD
   )
)</f>
        <v>26.678571428571427</v>
      </c>
      <c r="O35" s="292" cm="1">
        <f t="array" ref="O35">_xlfn.XLOOKUP(
   $B$4&amp;" "&amp;$B35,
   Actuals!$D:$D,
   _xlfn.XLOOKUP(
      O$6,
      Actuals!$H$3:$BD$3,
      Actuals!$H:$BD
   )
)</f>
        <v>0</v>
      </c>
      <c r="P35" s="292" cm="1">
        <f t="array" ref="P35">_xlfn.XLOOKUP(
   $B$4&amp;" "&amp;$B35,
   Actuals!$D:$D,
   _xlfn.XLOOKUP(
      P$6,
      Actuals!$H$3:$BD$3,
      Actuals!$H:$BD
   )
)</f>
        <v>0</v>
      </c>
      <c r="Q35" s="292" cm="1">
        <f t="array" ref="Q35">_xlfn.XLOOKUP(
   $B$4&amp;" "&amp;$B35,
   Actuals!$D:$D,
   _xlfn.XLOOKUP(
      Q$6,
      Actuals!$H$3:$BD$3,
      Actuals!$H:$BD
   )
)</f>
        <v>0</v>
      </c>
      <c r="R35" s="292" cm="1">
        <f t="array" ref="R35">_xlfn.XLOOKUP(
   $B$4&amp;" "&amp;$B35,
   Actuals!$D:$D,
   _xlfn.XLOOKUP(
      R$6,
      Actuals!$H$3:$BD$3,
      Actuals!$H:$BD
   )
)</f>
        <v>0</v>
      </c>
      <c r="S35" s="292" cm="1">
        <f t="array" ref="S35">_xlfn.XLOOKUP(
   $B$4&amp;" "&amp;$B35,
   Actuals!$D:$D,
   _xlfn.XLOOKUP(
      S$6,
      Actuals!$H$3:$BD$3,
      Actuals!$H:$BD
   )
)</f>
        <v>0</v>
      </c>
      <c r="T35" s="292" cm="1">
        <f t="array" ref="T35">_xlfn.XLOOKUP(
   $B$4&amp;" "&amp;$B35,
   Actuals!$D:$D,
   _xlfn.XLOOKUP(
      T$6,
      Actuals!$H$3:$BD$3,
      Actuals!$H:$BD
   )
)</f>
        <v>0</v>
      </c>
      <c r="U35" s="292" cm="1">
        <f t="array" ref="U35">_xlfn.XLOOKUP(
   $B$4&amp;" "&amp;$B35,
   Actuals!$D:$D,
   _xlfn.XLOOKUP(
      U$6,
      Actuals!$H$3:$BD$3,
      Actuals!$H:$BD
   )
)</f>
        <v>0</v>
      </c>
      <c r="V35" s="292" cm="1">
        <f t="array" ref="V35">_xlfn.XLOOKUP(
   $B$4&amp;" "&amp;$B35,
   Actuals!$D:$D,
   _xlfn.XLOOKUP(
      V$6,
      Actuals!$H$3:$BD$3,
      Actuals!$H:$BD
   )
)</f>
        <v>0</v>
      </c>
      <c r="W35" s="292" cm="1">
        <f t="array" ref="W35">_xlfn.XLOOKUP(
   $B$4&amp;" "&amp;$B35,
   Actuals!$D:$D,
   _xlfn.XLOOKUP(
      W$6,
      Actuals!$H$3:$BD$3,
      Actuals!$H:$BD
   )
)</f>
        <v>0</v>
      </c>
      <c r="X35" s="292" cm="1">
        <f t="array" ref="X35">_xlfn.XLOOKUP(
   $B$4&amp;" "&amp;$B35,
   Actuals!$D:$D,
   _xlfn.XLOOKUP(
      X$6,
      Actuals!$H$3:$BD$3,
      Actuals!$H:$BD
   )
)</f>
        <v>0</v>
      </c>
      <c r="Y35" s="292" cm="1">
        <f t="array" ref="Y35">_xlfn.XLOOKUP(
   $B$4&amp;" "&amp;$B35,
   Actuals!$D:$D,
   _xlfn.XLOOKUP(
      Y$6,
      Actuals!$H$3:$BD$3,
      Actuals!$H:$BD
   )
)</f>
        <v>0</v>
      </c>
      <c r="Z35" s="292" cm="1">
        <f t="array" ref="Z35">_xlfn.XLOOKUP(
   $B$4&amp;" "&amp;$B35,
   Actuals!$D:$D,
   _xlfn.XLOOKUP(
      Z$6,
      Actuals!$H$3:$BD$3,
      Actuals!$H:$BD
   )
)</f>
        <v>0</v>
      </c>
      <c r="AA35" s="292" cm="1">
        <f t="array" ref="AA35">_xlfn.XLOOKUP(
   $B$4&amp;" "&amp;$B35,
   Actuals!$D:$D,
   _xlfn.XLOOKUP(
      AA$6,
      Actuals!$H$3:$BD$3,
      Actuals!$H:$BD
   )
)</f>
        <v>0</v>
      </c>
      <c r="AB35" s="292" cm="1">
        <f t="array" ref="AB35">_xlfn.XLOOKUP(
   $B$4&amp;" "&amp;$B35,
   Actuals!$D:$D,
   _xlfn.XLOOKUP(
      AB$6,
      Actuals!$H$3:$BD$3,
      Actuals!$H:$BD
   )
)</f>
        <v>0</v>
      </c>
      <c r="AC35" s="292" cm="1">
        <f t="array" ref="AC35">_xlfn.XLOOKUP(
   $B$4&amp;" "&amp;$B35,
   Actuals!$D:$D,
   _xlfn.XLOOKUP(
      AC$6,
      Actuals!$H$3:$BD$3,
      Actuals!$H:$BD
   )
)</f>
        <v>0</v>
      </c>
      <c r="AD35" s="292" cm="1">
        <f t="array" ref="AD35">_xlfn.XLOOKUP(
   $B$4&amp;" "&amp;$B35,
   Actuals!$D:$D,
   _xlfn.XLOOKUP(
      AD$6,
      Actuals!$H$3:$BD$3,
      Actuals!$H:$BD
   )
)</f>
        <v>0</v>
      </c>
      <c r="AE35" s="292" cm="1">
        <f t="array" ref="AE35">_xlfn.XLOOKUP(
   $B$4&amp;" "&amp;$B35,
   Actuals!$D:$D,
   _xlfn.XLOOKUP(
      AE$6,
      Actuals!$H$3:$BD$3,
      Actuals!$H:$BD
   )
)</f>
        <v>0</v>
      </c>
      <c r="AF35" s="292" cm="1">
        <f t="array" ref="AF35">_xlfn.XLOOKUP(
   $B$4&amp;" "&amp;$B35,
   Actuals!$D:$D,
   _xlfn.XLOOKUP(
      AF$6,
      Actuals!$H$3:$BD$3,
      Actuals!$H:$BD
   )
)</f>
        <v>0</v>
      </c>
      <c r="AG35" s="292" cm="1">
        <f t="array" ref="AG35">_xlfn.XLOOKUP(
   $B$4&amp;" "&amp;$B35,
   Actuals!$D:$D,
   _xlfn.XLOOKUP(
      AG$6,
      Actuals!$H$3:$BD$3,
      Actuals!$H:$BD
   )
)</f>
        <v>0</v>
      </c>
      <c r="AH35" s="292" cm="1">
        <f t="array" ref="AH35">_xlfn.XLOOKUP(
   $B$4&amp;" "&amp;$B35,
   Actuals!$D:$D,
   _xlfn.XLOOKUP(
      AH$6,
      Actuals!$H$3:$BD$3,
      Actuals!$H:$BD
   )
)</f>
        <v>0</v>
      </c>
      <c r="AI35" s="292" cm="1">
        <f t="array" ref="AI35">_xlfn.XLOOKUP(
   $B$4&amp;" "&amp;$B35,
   Actuals!$D:$D,
   _xlfn.XLOOKUP(
      AI$6,
      Actuals!$H$3:$BD$3,
      Actuals!$H:$BD
   )
)</f>
        <v>0</v>
      </c>
      <c r="AJ35" s="292" cm="1">
        <f t="array" ref="AJ35">_xlfn.XLOOKUP(
   $B$4&amp;" "&amp;$B35,
   Actuals!$D:$D,
   _xlfn.XLOOKUP(
      AJ$6,
      Actuals!$H$3:$BD$3,
      Actuals!$H:$BD
   )
)</f>
        <v>0</v>
      </c>
      <c r="AK35" s="292" cm="1">
        <f t="array" ref="AK35">_xlfn.XLOOKUP(
   $B$4&amp;" "&amp;$B35,
   Actuals!$D:$D,
   _xlfn.XLOOKUP(
      AK$6,
      Actuals!$H$3:$BD$3,
      Actuals!$H:$BD
   )
)</f>
        <v>0</v>
      </c>
      <c r="AL35" s="292" cm="1">
        <f t="array" ref="AL35">_xlfn.XLOOKUP(
   $B$4&amp;" "&amp;$B35,
   Actuals!$D:$D,
   _xlfn.XLOOKUP(
      AL$6,
      Actuals!$H$3:$BD$3,
      Actuals!$H:$BD
   )
)</f>
        <v>0</v>
      </c>
      <c r="AM35" s="292" cm="1">
        <f t="array" ref="AM35">_xlfn.XLOOKUP(
   $B$4&amp;" "&amp;$B35,
   Actuals!$D:$D,
   _xlfn.XLOOKUP(
      AM$6,
      Actuals!$H$3:$BD$3,
      Actuals!$H:$BD
   )
)</f>
        <v>0</v>
      </c>
      <c r="AN35" s="292" cm="1">
        <f t="array" ref="AN35">_xlfn.XLOOKUP(
   $B$4&amp;" "&amp;$B35,
   Actuals!$D:$D,
   _xlfn.XLOOKUP(
      AN$6,
      Actuals!$H$3:$BD$3,
      Actuals!$H:$BD
   )
)</f>
        <v>0</v>
      </c>
      <c r="AO35" s="292" cm="1">
        <f t="array" ref="AO35">_xlfn.XLOOKUP(
   $B$4&amp;" "&amp;$B35,
   Actuals!$D:$D,
   _xlfn.XLOOKUP(
      AO$6,
      Actuals!$H$3:$BD$3,
      Actuals!$H:$BD
   )
)</f>
        <v>0</v>
      </c>
      <c r="AP35" s="292" cm="1">
        <f t="array" ref="AP35">_xlfn.XLOOKUP(
   $B$4&amp;" "&amp;$B35,
   Actuals!$D:$D,
   _xlfn.XLOOKUP(
      AP$6,
      Actuals!$H$3:$BD$3,
      Actuals!$H:$BD
   )
)</f>
        <v>0</v>
      </c>
      <c r="AQ35" s="292" cm="1">
        <f t="array" ref="AQ35">_xlfn.XLOOKUP(
   $B$4&amp;" "&amp;$B35,
   Actuals!$D:$D,
   _xlfn.XLOOKUP(
      AQ$6,
      Actuals!$H$3:$BD$3,
      Actuals!$H:$BD
   )
)</f>
        <v>0</v>
      </c>
      <c r="AR35" s="292" cm="1">
        <f t="array" ref="AR35">_xlfn.XLOOKUP(
   $B$4&amp;" "&amp;$B35,
   Actuals!$D:$D,
   _xlfn.XLOOKUP(
      AR$6,
      Actuals!$H$3:$BD$3,
      Actuals!$H:$BD
   )
)</f>
        <v>0</v>
      </c>
      <c r="AS35" s="292" cm="1">
        <f t="array" ref="AS35">_xlfn.XLOOKUP(
   $B$4&amp;" "&amp;$B35,
   Actuals!$D:$D,
   _xlfn.XLOOKUP(
      AS$6,
      Actuals!$H$3:$BD$3,
      Actuals!$H:$BD
   )
)</f>
        <v>0</v>
      </c>
      <c r="AT35" s="292" cm="1">
        <f t="array" ref="AT35">_xlfn.XLOOKUP(
   $B$4&amp;" "&amp;$B35,
   Actuals!$D:$D,
   _xlfn.XLOOKUP(
      AT$6,
      Actuals!$H$3:$BD$3,
      Actuals!$H:$BD
   )
)</f>
        <v>0</v>
      </c>
      <c r="AU35" s="292" cm="1">
        <f t="array" ref="AU35">_xlfn.XLOOKUP(
   $B$4&amp;" "&amp;$B35,
   Actuals!$D:$D,
   _xlfn.XLOOKUP(
      AU$6,
      Actuals!$H$3:$BD$3,
      Actuals!$H:$BD
   )
)</f>
        <v>0</v>
      </c>
      <c r="AV35" s="292" cm="1">
        <f t="array" ref="AV35">_xlfn.XLOOKUP(
   $B$4&amp;" "&amp;$B35,
   Actuals!$D:$D,
   _xlfn.XLOOKUP(
      AV$6,
      Actuals!$H$3:$BD$3,
      Actuals!$H:$BD
   )
)</f>
        <v>0</v>
      </c>
      <c r="AW35" s="292" cm="1">
        <f t="array" ref="AW35">_xlfn.XLOOKUP(
   $B$4&amp;" "&amp;$B35,
   Actuals!$D:$D,
   _xlfn.XLOOKUP(
      AW$6,
      Actuals!$H$3:$BD$3,
      Actuals!$H:$BD
   )
)</f>
        <v>0</v>
      </c>
      <c r="AX35" s="292" cm="1">
        <f t="array" ref="AX35">_xlfn.XLOOKUP(
   $B$4&amp;" "&amp;$B35,
   Actuals!$D:$D,
   _xlfn.XLOOKUP(
      AX$6,
      Actuals!$H$3:$BD$3,
      Actuals!$H:$BD
   )
)</f>
        <v>0</v>
      </c>
      <c r="AY35" s="292" cm="1">
        <f t="array" ref="AY35">_xlfn.XLOOKUP(
   $B$4&amp;" "&amp;$B35,
   Actuals!$D:$D,
   _xlfn.XLOOKUP(
      AY$6,
      Actuals!$H$3:$BD$3,
      Actuals!$H:$BD
   )
)</f>
        <v>0</v>
      </c>
      <c r="AZ35" s="292" cm="1">
        <f t="array" ref="AZ35">_xlfn.XLOOKUP(
   $B$4&amp;" "&amp;$B35,
   Actuals!$D:$D,
   _xlfn.XLOOKUP(
      AZ$6,
      Actuals!$H$3:$BD$3,
      Actuals!$H:$BD
   )
)</f>
        <v>0</v>
      </c>
      <c r="BA35" s="292"/>
      <c r="BB35" s="292" t="str" cm="1">
        <f t="array" ref="BB35">_xlfn.XLOOKUP(
   $B$4&amp;" "&amp;$B35,
   Actuals!$D:$D,
   _xlfn.XLOOKUP(
      BB$7,
      Actuals!$H$3:$BM$3,
      Actuals!$H:$BM
   )
)</f>
        <v>-</v>
      </c>
      <c r="BC35" s="292" t="str">
        <f>VLOOKUP($B$4&amp;" "&amp;$B35,Budget!$AG$4:$AL$132,$BB$5+1,FALSE)</f>
        <v>-</v>
      </c>
      <c r="BD35" s="292" t="str">
        <f t="shared" ref="BD35" si="41">IFERROR(BB35-BC35,"-")</f>
        <v>-</v>
      </c>
      <c r="BE35" s="292"/>
      <c r="BF35" s="292" t="str" cm="1">
        <f t="array" ref="BF35">_xlfn.XLOOKUP(
   $B$4&amp;" "&amp;$B35,
   Actuals!$D:$D,
   _xlfn.XLOOKUP(
      BF$7,
      Actuals!$H$3:$BM$3,
      Actuals!$H:$BM
   )
)</f>
        <v>-</v>
      </c>
      <c r="BG35" s="292" t="str">
        <f>IFERROR(VLOOKUP($B$4&amp;" "&amp;$B35,Budget!$AG$4:$AL$132,$BF$5+1,FALSE),"n.a.")</f>
        <v>-</v>
      </c>
      <c r="BH35" s="292" t="str">
        <f t="shared" ref="BH35:BH37" si="42">IFERROR(BF35-BG35,"-")</f>
        <v>-</v>
      </c>
      <c r="BI35" s="292"/>
      <c r="BJ35" s="292" t="str" cm="1">
        <f t="array" ref="BJ35">_xlfn.XLOOKUP(
   $B$4&amp;" "&amp;$B35,
   Actuals!$D:$D,
   _xlfn.XLOOKUP(
      BJ$7,
      Actuals!$H$3:$BM$3,
      Actuals!$H:$BM
   )
)</f>
        <v>-</v>
      </c>
      <c r="BK35" s="292" t="str">
        <f>IFERROR(VLOOKUP($B$4&amp;" "&amp;$B35,Budget!$AG$4:$AL$132,$BJ$5+1,FALSE),"n.a.")</f>
        <v>-</v>
      </c>
      <c r="BL35" s="292" t="str">
        <f t="shared" ref="BL35:BL37" si="43">IFERROR(BJ35-BK35,"-")</f>
        <v>-</v>
      </c>
      <c r="BM35" s="292"/>
      <c r="BN35" s="292" t="str" cm="1">
        <f t="array" ref="BN35">_xlfn.XLOOKUP(
   $B$4&amp;" "&amp;$B35,
   Actuals!$D:$D,
   _xlfn.XLOOKUP(
      BN$7,
      Actuals!$H$3:$BM$3,
      Actuals!$H:$BM
   )
)</f>
        <v>-</v>
      </c>
      <c r="BO35" s="292" t="str">
        <f>IFERROR(VLOOKUP($B$4&amp;" "&amp;$B35,Budget!$AG$4:$AL$132,$BN$5+1,FALSE),"n.a.")</f>
        <v>-</v>
      </c>
      <c r="BP35" s="292"/>
      <c r="BQ35" s="292"/>
      <c r="BR35" s="292" cm="1">
        <f t="array" aca="1" ref="BR35" ca="1">_xlfn.XLOOKUP(
   $B$4&amp;" "&amp;$B35,
   Actuals!$D:$D,
   _xlfn.XLOOKUP(
      BR$6,
      Actuals!$H$3:$BM$3,
      Actuals!$H:$BM
   )
)</f>
        <v>0</v>
      </c>
      <c r="BS35" s="292">
        <f ca="1">VLOOKUP($B$4&amp;" "&amp;$B35,Budget!$AG$4:$AL$132,6,FALSE)</f>
        <v>0</v>
      </c>
      <c r="BT35" s="292">
        <f ca="1">BR35-BS35</f>
        <v>0</v>
      </c>
      <c r="BU35" s="292"/>
      <c r="BV35" s="292" t="e" cm="1">
        <f t="array" ref="BV35">_xlfn.XLOOKUP(
   $B$4&amp;" "&amp;$B35,
   Actuals!$D:$D,
   _xlfn.XLOOKUP(
      BV$6,
      Actuals!$H$3:$BM$3,
      Actuals!$H:$BM
   )
)</f>
        <v>#DIV/0!</v>
      </c>
    </row>
    <row r="36" spans="2:74">
      <c r="B36" s="26" t="s">
        <v>90</v>
      </c>
      <c r="C36" s="139" t="s">
        <v>63</v>
      </c>
      <c r="D36" s="171" t="str">
        <f>VLOOKUP($B$4&amp;" "&amp;$B36,Actuals!$D$4:$AG$131,3,FALSE)</f>
        <v>#</v>
      </c>
      <c r="E36" s="292" cm="1">
        <f t="array" ref="E36">_xlfn.XLOOKUP(
   $B$4&amp;" "&amp;$B36,
   Actuals!$D:$D,
   _xlfn.XLOOKUP(
      E$6,
      Actuals!$H$3:$BD$3,
      Actuals!$H:$BD
   )
)</f>
        <v>25</v>
      </c>
      <c r="F36" s="292" cm="1">
        <f t="array" ref="F36">_xlfn.XLOOKUP(
   $B$4&amp;" "&amp;$B36,
   Actuals!$D:$D,
   _xlfn.XLOOKUP(
      F$6,
      Actuals!$H$3:$BD$3,
      Actuals!$H:$BD
   )
)</f>
        <v>15</v>
      </c>
      <c r="G36" s="292" cm="1">
        <f t="array" ref="G36">_xlfn.XLOOKUP(
   $B$4&amp;" "&amp;$B36,
   Actuals!$D:$D,
   _xlfn.XLOOKUP(
      G$6,
      Actuals!$H$3:$BD$3,
      Actuals!$H:$BD
   )
)</f>
        <v>0</v>
      </c>
      <c r="H36" s="292" cm="1">
        <f t="array" ref="H36">_xlfn.XLOOKUP(
   $B$4&amp;" "&amp;$B36,
   Actuals!$D:$D,
   _xlfn.XLOOKUP(
      H$6,
      Actuals!$H$3:$BD$3,
      Actuals!$H:$BD
   )
)</f>
        <v>21</v>
      </c>
      <c r="I36" s="292" cm="1">
        <f t="array" ref="I36">_xlfn.XLOOKUP(
   $B$4&amp;" "&amp;$B36,
   Actuals!$D:$D,
   _xlfn.XLOOKUP(
      I$6,
      Actuals!$H$3:$BD$3,
      Actuals!$H:$BD
   )
)</f>
        <v>22.857142857142858</v>
      </c>
      <c r="J36" s="292" cm="1">
        <f t="array" ref="J36">_xlfn.XLOOKUP(
   $B$4&amp;" "&amp;$B36,
   Actuals!$D:$D,
   _xlfn.XLOOKUP(
      J$6,
      Actuals!$H$3:$BD$3,
      Actuals!$H:$BD
   )
)</f>
        <v>17.351642857142856</v>
      </c>
      <c r="K36" s="292" cm="1">
        <f t="array" ref="K36">_xlfn.XLOOKUP(
   $B$4&amp;" "&amp;$B36,
   Actuals!$D:$D,
   _xlfn.XLOOKUP(
      K$6,
      Actuals!$H$3:$BD$3,
      Actuals!$H:$BD
   )
)</f>
        <v>13.857142857142858</v>
      </c>
      <c r="L36" s="292" cm="1">
        <f t="array" ref="L36">_xlfn.XLOOKUP(
   $B$4&amp;" "&amp;$B36,
   Actuals!$D:$D,
   _xlfn.XLOOKUP(
      L$6,
      Actuals!$H$3:$BD$3,
      Actuals!$H:$BD
   )
)</f>
        <v>30.738571428571426</v>
      </c>
      <c r="M36" s="292" cm="1">
        <f t="array" ref="M36">_xlfn.XLOOKUP(
   $B$4&amp;" "&amp;$B36,
   Actuals!$D:$D,
   _xlfn.XLOOKUP(
      M$6,
      Actuals!$H$3:$BD$3,
      Actuals!$H:$BD
   )
)</f>
        <v>29.053571428571427</v>
      </c>
      <c r="N36" s="292" cm="1">
        <f t="array" ref="N36">_xlfn.XLOOKUP(
   $B$4&amp;" "&amp;$B36,
   Actuals!$D:$D,
   _xlfn.XLOOKUP(
      N$6,
      Actuals!$H$3:$BD$3,
      Actuals!$H:$BD
   )
)</f>
        <v>32.205714285714286</v>
      </c>
      <c r="O36" s="292" cm="1">
        <f t="array" ref="O36">_xlfn.XLOOKUP(
   $B$4&amp;" "&amp;$B36,
   Actuals!$D:$D,
   _xlfn.XLOOKUP(
      O$6,
      Actuals!$H$3:$BD$3,
      Actuals!$H:$BD
   )
)</f>
        <v>0</v>
      </c>
      <c r="P36" s="292" cm="1">
        <f t="array" ref="P36">_xlfn.XLOOKUP(
   $B$4&amp;" "&amp;$B36,
   Actuals!$D:$D,
   _xlfn.XLOOKUP(
      P$6,
      Actuals!$H$3:$BD$3,
      Actuals!$H:$BD
   )
)</f>
        <v>0</v>
      </c>
      <c r="Q36" s="292" cm="1">
        <f t="array" ref="Q36">_xlfn.XLOOKUP(
   $B$4&amp;" "&amp;$B36,
   Actuals!$D:$D,
   _xlfn.XLOOKUP(
      Q$6,
      Actuals!$H$3:$BD$3,
      Actuals!$H:$BD
   )
)</f>
        <v>0</v>
      </c>
      <c r="R36" s="292" cm="1">
        <f t="array" ref="R36">_xlfn.XLOOKUP(
   $B$4&amp;" "&amp;$B36,
   Actuals!$D:$D,
   _xlfn.XLOOKUP(
      R$6,
      Actuals!$H$3:$BD$3,
      Actuals!$H:$BD
   )
)</f>
        <v>0</v>
      </c>
      <c r="S36" s="292" cm="1">
        <f t="array" ref="S36">_xlfn.XLOOKUP(
   $B$4&amp;" "&amp;$B36,
   Actuals!$D:$D,
   _xlfn.XLOOKUP(
      S$6,
      Actuals!$H$3:$BD$3,
      Actuals!$H:$BD
   )
)</f>
        <v>0</v>
      </c>
      <c r="T36" s="292" cm="1">
        <f t="array" ref="T36">_xlfn.XLOOKUP(
   $B$4&amp;" "&amp;$B36,
   Actuals!$D:$D,
   _xlfn.XLOOKUP(
      T$6,
      Actuals!$H$3:$BD$3,
      Actuals!$H:$BD
   )
)</f>
        <v>0</v>
      </c>
      <c r="U36" s="292" cm="1">
        <f t="array" ref="U36">_xlfn.XLOOKUP(
   $B$4&amp;" "&amp;$B36,
   Actuals!$D:$D,
   _xlfn.XLOOKUP(
      U$6,
      Actuals!$H$3:$BD$3,
      Actuals!$H:$BD
   )
)</f>
        <v>0</v>
      </c>
      <c r="V36" s="292" cm="1">
        <f t="array" ref="V36">_xlfn.XLOOKUP(
   $B$4&amp;" "&amp;$B36,
   Actuals!$D:$D,
   _xlfn.XLOOKUP(
      V$6,
      Actuals!$H$3:$BD$3,
      Actuals!$H:$BD
   )
)</f>
        <v>0</v>
      </c>
      <c r="W36" s="292" cm="1">
        <f t="array" ref="W36">_xlfn.XLOOKUP(
   $B$4&amp;" "&amp;$B36,
   Actuals!$D:$D,
   _xlfn.XLOOKUP(
      W$6,
      Actuals!$H$3:$BD$3,
      Actuals!$H:$BD
   )
)</f>
        <v>0</v>
      </c>
      <c r="X36" s="292" cm="1">
        <f t="array" ref="X36">_xlfn.XLOOKUP(
   $B$4&amp;" "&amp;$B36,
   Actuals!$D:$D,
   _xlfn.XLOOKUP(
      X$6,
      Actuals!$H$3:$BD$3,
      Actuals!$H:$BD
   )
)</f>
        <v>0</v>
      </c>
      <c r="Y36" s="292" cm="1">
        <f t="array" ref="Y36">_xlfn.XLOOKUP(
   $B$4&amp;" "&amp;$B36,
   Actuals!$D:$D,
   _xlfn.XLOOKUP(
      Y$6,
      Actuals!$H$3:$BD$3,
      Actuals!$H:$BD
   )
)</f>
        <v>0</v>
      </c>
      <c r="Z36" s="292" cm="1">
        <f t="array" ref="Z36">_xlfn.XLOOKUP(
   $B$4&amp;" "&amp;$B36,
   Actuals!$D:$D,
   _xlfn.XLOOKUP(
      Z$6,
      Actuals!$H$3:$BD$3,
      Actuals!$H:$BD
   )
)</f>
        <v>0</v>
      </c>
      <c r="AA36" s="292" cm="1">
        <f t="array" ref="AA36">_xlfn.XLOOKUP(
   $B$4&amp;" "&amp;$B36,
   Actuals!$D:$D,
   _xlfn.XLOOKUP(
      AA$6,
      Actuals!$H$3:$BD$3,
      Actuals!$H:$BD
   )
)</f>
        <v>0</v>
      </c>
      <c r="AB36" s="292" cm="1">
        <f t="array" ref="AB36">_xlfn.XLOOKUP(
   $B$4&amp;" "&amp;$B36,
   Actuals!$D:$D,
   _xlfn.XLOOKUP(
      AB$6,
      Actuals!$H$3:$BD$3,
      Actuals!$H:$BD
   )
)</f>
        <v>0</v>
      </c>
      <c r="AC36" s="292" cm="1">
        <f t="array" ref="AC36">_xlfn.XLOOKUP(
   $B$4&amp;" "&amp;$B36,
   Actuals!$D:$D,
   _xlfn.XLOOKUP(
      AC$6,
      Actuals!$H$3:$BD$3,
      Actuals!$H:$BD
   )
)</f>
        <v>0</v>
      </c>
      <c r="AD36" s="292" cm="1">
        <f t="array" ref="AD36">_xlfn.XLOOKUP(
   $B$4&amp;" "&amp;$B36,
   Actuals!$D:$D,
   _xlfn.XLOOKUP(
      AD$6,
      Actuals!$H$3:$BD$3,
      Actuals!$H:$BD
   )
)</f>
        <v>0</v>
      </c>
      <c r="AE36" s="292" cm="1">
        <f t="array" ref="AE36">_xlfn.XLOOKUP(
   $B$4&amp;" "&amp;$B36,
   Actuals!$D:$D,
   _xlfn.XLOOKUP(
      AE$6,
      Actuals!$H$3:$BD$3,
      Actuals!$H:$BD
   )
)</f>
        <v>0</v>
      </c>
      <c r="AF36" s="292" cm="1">
        <f t="array" ref="AF36">_xlfn.XLOOKUP(
   $B$4&amp;" "&amp;$B36,
   Actuals!$D:$D,
   _xlfn.XLOOKUP(
      AF$6,
      Actuals!$H$3:$BD$3,
      Actuals!$H:$BD
   )
)</f>
        <v>0</v>
      </c>
      <c r="AG36" s="292" cm="1">
        <f t="array" ref="AG36">_xlfn.XLOOKUP(
   $B$4&amp;" "&amp;$B36,
   Actuals!$D:$D,
   _xlfn.XLOOKUP(
      AG$6,
      Actuals!$H$3:$BD$3,
      Actuals!$H:$BD
   )
)</f>
        <v>0</v>
      </c>
      <c r="AH36" s="292" cm="1">
        <f t="array" ref="AH36">_xlfn.XLOOKUP(
   $B$4&amp;" "&amp;$B36,
   Actuals!$D:$D,
   _xlfn.XLOOKUP(
      AH$6,
      Actuals!$H$3:$BD$3,
      Actuals!$H:$BD
   )
)</f>
        <v>0</v>
      </c>
      <c r="AI36" s="292" cm="1">
        <f t="array" ref="AI36">_xlfn.XLOOKUP(
   $B$4&amp;" "&amp;$B36,
   Actuals!$D:$D,
   _xlfn.XLOOKUP(
      AI$6,
      Actuals!$H$3:$BD$3,
      Actuals!$H:$BD
   )
)</f>
        <v>0</v>
      </c>
      <c r="AJ36" s="292" cm="1">
        <f t="array" ref="AJ36">_xlfn.XLOOKUP(
   $B$4&amp;" "&amp;$B36,
   Actuals!$D:$D,
   _xlfn.XLOOKUP(
      AJ$6,
      Actuals!$H$3:$BD$3,
      Actuals!$H:$BD
   )
)</f>
        <v>0</v>
      </c>
      <c r="AK36" s="292" cm="1">
        <f t="array" ref="AK36">_xlfn.XLOOKUP(
   $B$4&amp;" "&amp;$B36,
   Actuals!$D:$D,
   _xlfn.XLOOKUP(
      AK$6,
      Actuals!$H$3:$BD$3,
      Actuals!$H:$BD
   )
)</f>
        <v>0</v>
      </c>
      <c r="AL36" s="292" cm="1">
        <f t="array" ref="AL36">_xlfn.XLOOKUP(
   $B$4&amp;" "&amp;$B36,
   Actuals!$D:$D,
   _xlfn.XLOOKUP(
      AL$6,
      Actuals!$H$3:$BD$3,
      Actuals!$H:$BD
   )
)</f>
        <v>0</v>
      </c>
      <c r="AM36" s="292" cm="1">
        <f t="array" ref="AM36">_xlfn.XLOOKUP(
   $B$4&amp;" "&amp;$B36,
   Actuals!$D:$D,
   _xlfn.XLOOKUP(
      AM$6,
      Actuals!$H$3:$BD$3,
      Actuals!$H:$BD
   )
)</f>
        <v>0</v>
      </c>
      <c r="AN36" s="292" cm="1">
        <f t="array" ref="AN36">_xlfn.XLOOKUP(
   $B$4&amp;" "&amp;$B36,
   Actuals!$D:$D,
   _xlfn.XLOOKUP(
      AN$6,
      Actuals!$H$3:$BD$3,
      Actuals!$H:$BD
   )
)</f>
        <v>0</v>
      </c>
      <c r="AO36" s="292" cm="1">
        <f t="array" ref="AO36">_xlfn.XLOOKUP(
   $B$4&amp;" "&amp;$B36,
   Actuals!$D:$D,
   _xlfn.XLOOKUP(
      AO$6,
      Actuals!$H$3:$BD$3,
      Actuals!$H:$BD
   )
)</f>
        <v>0</v>
      </c>
      <c r="AP36" s="292" cm="1">
        <f t="array" ref="AP36">_xlfn.XLOOKUP(
   $B$4&amp;" "&amp;$B36,
   Actuals!$D:$D,
   _xlfn.XLOOKUP(
      AP$6,
      Actuals!$H$3:$BD$3,
      Actuals!$H:$BD
   )
)</f>
        <v>0</v>
      </c>
      <c r="AQ36" s="292" cm="1">
        <f t="array" ref="AQ36">_xlfn.XLOOKUP(
   $B$4&amp;" "&amp;$B36,
   Actuals!$D:$D,
   _xlfn.XLOOKUP(
      AQ$6,
      Actuals!$H$3:$BD$3,
      Actuals!$H:$BD
   )
)</f>
        <v>0</v>
      </c>
      <c r="AR36" s="292" cm="1">
        <f t="array" ref="AR36">_xlfn.XLOOKUP(
   $B$4&amp;" "&amp;$B36,
   Actuals!$D:$D,
   _xlfn.XLOOKUP(
      AR$6,
      Actuals!$H$3:$BD$3,
      Actuals!$H:$BD
   )
)</f>
        <v>0</v>
      </c>
      <c r="AS36" s="292" cm="1">
        <f t="array" ref="AS36">_xlfn.XLOOKUP(
   $B$4&amp;" "&amp;$B36,
   Actuals!$D:$D,
   _xlfn.XLOOKUP(
      AS$6,
      Actuals!$H$3:$BD$3,
      Actuals!$H:$BD
   )
)</f>
        <v>0</v>
      </c>
      <c r="AT36" s="292" cm="1">
        <f t="array" ref="AT36">_xlfn.XLOOKUP(
   $B$4&amp;" "&amp;$B36,
   Actuals!$D:$D,
   _xlfn.XLOOKUP(
      AT$6,
      Actuals!$H$3:$BD$3,
      Actuals!$H:$BD
   )
)</f>
        <v>0</v>
      </c>
      <c r="AU36" s="292" cm="1">
        <f t="array" ref="AU36">_xlfn.XLOOKUP(
   $B$4&amp;" "&amp;$B36,
   Actuals!$D:$D,
   _xlfn.XLOOKUP(
      AU$6,
      Actuals!$H$3:$BD$3,
      Actuals!$H:$BD
   )
)</f>
        <v>0</v>
      </c>
      <c r="AV36" s="292" cm="1">
        <f t="array" ref="AV36">_xlfn.XLOOKUP(
   $B$4&amp;" "&amp;$B36,
   Actuals!$D:$D,
   _xlfn.XLOOKUP(
      AV$6,
      Actuals!$H$3:$BD$3,
      Actuals!$H:$BD
   )
)</f>
        <v>0</v>
      </c>
      <c r="AW36" s="292" cm="1">
        <f t="array" ref="AW36">_xlfn.XLOOKUP(
   $B$4&amp;" "&amp;$B36,
   Actuals!$D:$D,
   _xlfn.XLOOKUP(
      AW$6,
      Actuals!$H$3:$BD$3,
      Actuals!$H:$BD
   )
)</f>
        <v>0</v>
      </c>
      <c r="AX36" s="292" cm="1">
        <f t="array" ref="AX36">_xlfn.XLOOKUP(
   $B$4&amp;" "&amp;$B36,
   Actuals!$D:$D,
   _xlfn.XLOOKUP(
      AX$6,
      Actuals!$H$3:$BD$3,
      Actuals!$H:$BD
   )
)</f>
        <v>0</v>
      </c>
      <c r="AY36" s="292" cm="1">
        <f t="array" ref="AY36">_xlfn.XLOOKUP(
   $B$4&amp;" "&amp;$B36,
   Actuals!$D:$D,
   _xlfn.XLOOKUP(
      AY$6,
      Actuals!$H$3:$BD$3,
      Actuals!$H:$BD
   )
)</f>
        <v>0</v>
      </c>
      <c r="AZ36" s="292" cm="1">
        <f t="array" ref="AZ36">_xlfn.XLOOKUP(
   $B$4&amp;" "&amp;$B36,
   Actuals!$D:$D,
   _xlfn.XLOOKUP(
      AZ$6,
      Actuals!$H$3:$BD$3,
      Actuals!$H:$BD
   )
)</f>
        <v>0</v>
      </c>
      <c r="BA36" s="292"/>
      <c r="BB36" s="292" t="str" cm="1">
        <f t="array" ref="BB36">_xlfn.XLOOKUP(
   $B$4&amp;" "&amp;$B36,
   Actuals!$D:$D,
   _xlfn.XLOOKUP(
      BB$7,
      Actuals!$H$3:$BM$3,
      Actuals!$H:$BM
   )
)</f>
        <v>-</v>
      </c>
      <c r="BC36" s="292" t="str">
        <f>VLOOKUP($B$4&amp;" "&amp;$B36,Budget!$AG$4:$AL$132,$BB$5+1,FALSE)</f>
        <v>-</v>
      </c>
      <c r="BD36" s="292" t="str">
        <f t="shared" ref="BD36:BD37" si="44">IFERROR(BB36-BC36,"-")</f>
        <v>-</v>
      </c>
      <c r="BE36" s="292"/>
      <c r="BF36" s="292" t="str" cm="1">
        <f t="array" ref="BF36">_xlfn.XLOOKUP(
   $B$4&amp;" "&amp;$B36,
   Actuals!$D:$D,
   _xlfn.XLOOKUP(
      BF$7,
      Actuals!$H$3:$BM$3,
      Actuals!$H:$BM
   )
)</f>
        <v>-</v>
      </c>
      <c r="BG36" s="292" t="str">
        <f>IFERROR(VLOOKUP($B$4&amp;" "&amp;$B36,Budget!$AG$4:$AL$132,$BF$5+1,FALSE),"n.a.")</f>
        <v>-</v>
      </c>
      <c r="BH36" s="292" t="str">
        <f t="shared" si="42"/>
        <v>-</v>
      </c>
      <c r="BI36" s="292"/>
      <c r="BJ36" s="292" t="str" cm="1">
        <f t="array" ref="BJ36">_xlfn.XLOOKUP(
   $B$4&amp;" "&amp;$B36,
   Actuals!$D:$D,
   _xlfn.XLOOKUP(
      BJ$7,
      Actuals!$H$3:$BM$3,
      Actuals!$H:$BM
   )
)</f>
        <v>-</v>
      </c>
      <c r="BK36" s="292" t="str">
        <f>IFERROR(VLOOKUP($B$4&amp;" "&amp;$B36,Budget!$AG$4:$AL$132,$BJ$5+1,FALSE),"n.a.")</f>
        <v>-</v>
      </c>
      <c r="BL36" s="292" t="str">
        <f t="shared" si="43"/>
        <v>-</v>
      </c>
      <c r="BM36" s="292"/>
      <c r="BN36" s="292" t="str" cm="1">
        <f t="array" ref="BN36">_xlfn.XLOOKUP(
   $B$4&amp;" "&amp;$B36,
   Actuals!$D:$D,
   _xlfn.XLOOKUP(
      BN$7,
      Actuals!$H$3:$BM$3,
      Actuals!$H:$BM
   )
)</f>
        <v>-</v>
      </c>
      <c r="BO36" s="292" t="str">
        <f>IFERROR(VLOOKUP($B$4&amp;" "&amp;$B36,Budget!$AG$4:$AL$132,$BN$5+1,FALSE),"n.a.")</f>
        <v>-</v>
      </c>
      <c r="BP36" s="292"/>
      <c r="BQ36" s="292"/>
      <c r="BR36" s="292" cm="1">
        <f t="array" aca="1" ref="BR36" ca="1">_xlfn.XLOOKUP(
   $B$4&amp;" "&amp;$B36,
   Actuals!$D:$D,
   _xlfn.XLOOKUP(
      BR$6,
      Actuals!$H$3:$BM$3,
      Actuals!$H:$BM
   )
)</f>
        <v>0</v>
      </c>
      <c r="BS36" s="292">
        <f ca="1">VLOOKUP($B$4&amp;" "&amp;$B36,Budget!$AG$4:$AL$132,6,FALSE)</f>
        <v>0</v>
      </c>
      <c r="BT36" s="292">
        <f ca="1">BR36-BS36</f>
        <v>0</v>
      </c>
      <c r="BU36" s="292"/>
      <c r="BV36" s="292" t="e" cm="1">
        <f t="array" ref="BV36">_xlfn.XLOOKUP(
   $B$4&amp;" "&amp;$B36,
   Actuals!$D:$D,
   _xlfn.XLOOKUP(
      BV$6,
      Actuals!$H$3:$BM$3,
      Actuals!$H:$BM
   )
)</f>
        <v>#DIV/0!</v>
      </c>
    </row>
    <row r="37" spans="2:74">
      <c r="B37" s="26" t="s">
        <v>91</v>
      </c>
      <c r="C37" s="139" t="s">
        <v>63</v>
      </c>
      <c r="D37" s="171" t="str">
        <f>VLOOKUP($B$4&amp;" "&amp;$B37,Actuals!$D$4:$AG$131,3,FALSE)</f>
        <v>#</v>
      </c>
      <c r="E37" s="292" cm="1">
        <f t="array" ref="E37">_xlfn.XLOOKUP(
   $B$4&amp;" "&amp;$B37,
   Actuals!$D:$D,
   _xlfn.XLOOKUP(
      E$6,
      Actuals!$H$3:$BD$3,
      Actuals!$H:$BD
   )
)</f>
        <v>30</v>
      </c>
      <c r="F37" s="292" cm="1">
        <f t="array" ref="F37">_xlfn.XLOOKUP(
   $B$4&amp;" "&amp;$B37,
   Actuals!$D:$D,
   _xlfn.XLOOKUP(
      F$6,
      Actuals!$H$3:$BD$3,
      Actuals!$H:$BD
   )
)</f>
        <v>21</v>
      </c>
      <c r="G37" s="292" cm="1">
        <f t="array" ref="G37">_xlfn.XLOOKUP(
   $B$4&amp;" "&amp;$B37,
   Actuals!$D:$D,
   _xlfn.XLOOKUP(
      G$6,
      Actuals!$H$3:$BD$3,
      Actuals!$H:$BD
   )
)</f>
        <v>0</v>
      </c>
      <c r="H37" s="292" cm="1">
        <f t="array" ref="H37">_xlfn.XLOOKUP(
   $B$4&amp;" "&amp;$B37,
   Actuals!$D:$D,
   _xlfn.XLOOKUP(
      H$6,
      Actuals!$H$3:$BD$3,
      Actuals!$H:$BD
   )
)</f>
        <v>26</v>
      </c>
      <c r="I37" s="292" cm="1">
        <f t="array" ref="I37">_xlfn.XLOOKUP(
   $B$4&amp;" "&amp;$B37,
   Actuals!$D:$D,
   _xlfn.XLOOKUP(
      I$6,
      Actuals!$H$3:$BD$3,
      Actuals!$H:$BD
   )
)</f>
        <v>30.142857142857142</v>
      </c>
      <c r="J37" s="292" cm="1">
        <f t="array" ref="J37">_xlfn.XLOOKUP(
   $B$4&amp;" "&amp;$B37,
   Actuals!$D:$D,
   _xlfn.XLOOKUP(
      J$6,
      Actuals!$H$3:$BD$3,
      Actuals!$H:$BD
   )
)</f>
        <v>0</v>
      </c>
      <c r="K37" s="292" cm="1">
        <f t="array" ref="K37">_xlfn.XLOOKUP(
   $B$4&amp;" "&amp;$B37,
   Actuals!$D:$D,
   _xlfn.XLOOKUP(
      K$6,
      Actuals!$H$3:$BD$3,
      Actuals!$H:$BD
   )
)</f>
        <v>0</v>
      </c>
      <c r="L37" s="292" cm="1">
        <f t="array" ref="L37">_xlfn.XLOOKUP(
   $B$4&amp;" "&amp;$B37,
   Actuals!$D:$D,
   _xlfn.XLOOKUP(
      L$6,
      Actuals!$H$3:$BD$3,
      Actuals!$H:$BD
   )
)</f>
        <v>11.428571428571429</v>
      </c>
      <c r="M37" s="292" cm="1">
        <f t="array" ref="M37">_xlfn.XLOOKUP(
   $B$4&amp;" "&amp;$B37,
   Actuals!$D:$D,
   _xlfn.XLOOKUP(
      M$6,
      Actuals!$H$3:$BD$3,
      Actuals!$H:$BD
   )
)</f>
        <v>15.714285714285714</v>
      </c>
      <c r="N37" s="292" cm="1">
        <f t="array" ref="N37">_xlfn.XLOOKUP(
   $B$4&amp;" "&amp;$B37,
   Actuals!$D:$D,
   _xlfn.XLOOKUP(
      N$6,
      Actuals!$H$3:$BD$3,
      Actuals!$H:$BD
   )
)</f>
        <v>17.642857142857142</v>
      </c>
      <c r="O37" s="292" cm="1">
        <f t="array" ref="O37">_xlfn.XLOOKUP(
   $B$4&amp;" "&amp;$B37,
   Actuals!$D:$D,
   _xlfn.XLOOKUP(
      O$6,
      Actuals!$H$3:$BD$3,
      Actuals!$H:$BD
   )
)</f>
        <v>0</v>
      </c>
      <c r="P37" s="292" cm="1">
        <f t="array" ref="P37">_xlfn.XLOOKUP(
   $B$4&amp;" "&amp;$B37,
   Actuals!$D:$D,
   _xlfn.XLOOKUP(
      P$6,
      Actuals!$H$3:$BD$3,
      Actuals!$H:$BD
   )
)</f>
        <v>0</v>
      </c>
      <c r="Q37" s="292" cm="1">
        <f t="array" ref="Q37">_xlfn.XLOOKUP(
   $B$4&amp;" "&amp;$B37,
   Actuals!$D:$D,
   _xlfn.XLOOKUP(
      Q$6,
      Actuals!$H$3:$BD$3,
      Actuals!$H:$BD
   )
)</f>
        <v>0</v>
      </c>
      <c r="R37" s="292" cm="1">
        <f t="array" ref="R37">_xlfn.XLOOKUP(
   $B$4&amp;" "&amp;$B37,
   Actuals!$D:$D,
   _xlfn.XLOOKUP(
      R$6,
      Actuals!$H$3:$BD$3,
      Actuals!$H:$BD
   )
)</f>
        <v>0</v>
      </c>
      <c r="S37" s="292" cm="1">
        <f t="array" ref="S37">_xlfn.XLOOKUP(
   $B$4&amp;" "&amp;$B37,
   Actuals!$D:$D,
   _xlfn.XLOOKUP(
      S$6,
      Actuals!$H$3:$BD$3,
      Actuals!$H:$BD
   )
)</f>
        <v>0</v>
      </c>
      <c r="T37" s="292" cm="1">
        <f t="array" ref="T37">_xlfn.XLOOKUP(
   $B$4&amp;" "&amp;$B37,
   Actuals!$D:$D,
   _xlfn.XLOOKUP(
      T$6,
      Actuals!$H$3:$BD$3,
      Actuals!$H:$BD
   )
)</f>
        <v>0</v>
      </c>
      <c r="U37" s="292" cm="1">
        <f t="array" ref="U37">_xlfn.XLOOKUP(
   $B$4&amp;" "&amp;$B37,
   Actuals!$D:$D,
   _xlfn.XLOOKUP(
      U$6,
      Actuals!$H$3:$BD$3,
      Actuals!$H:$BD
   )
)</f>
        <v>0</v>
      </c>
      <c r="V37" s="292" cm="1">
        <f t="array" ref="V37">_xlfn.XLOOKUP(
   $B$4&amp;" "&amp;$B37,
   Actuals!$D:$D,
   _xlfn.XLOOKUP(
      V$6,
      Actuals!$H$3:$BD$3,
      Actuals!$H:$BD
   )
)</f>
        <v>0</v>
      </c>
      <c r="W37" s="292" cm="1">
        <f t="array" ref="W37">_xlfn.XLOOKUP(
   $B$4&amp;" "&amp;$B37,
   Actuals!$D:$D,
   _xlfn.XLOOKUP(
      W$6,
      Actuals!$H$3:$BD$3,
      Actuals!$H:$BD
   )
)</f>
        <v>0</v>
      </c>
      <c r="X37" s="292" cm="1">
        <f t="array" ref="X37">_xlfn.XLOOKUP(
   $B$4&amp;" "&amp;$B37,
   Actuals!$D:$D,
   _xlfn.XLOOKUP(
      X$6,
      Actuals!$H$3:$BD$3,
      Actuals!$H:$BD
   )
)</f>
        <v>0</v>
      </c>
      <c r="Y37" s="292" cm="1">
        <f t="array" ref="Y37">_xlfn.XLOOKUP(
   $B$4&amp;" "&amp;$B37,
   Actuals!$D:$D,
   _xlfn.XLOOKUP(
      Y$6,
      Actuals!$H$3:$BD$3,
      Actuals!$H:$BD
   )
)</f>
        <v>0</v>
      </c>
      <c r="Z37" s="292" cm="1">
        <f t="array" ref="Z37">_xlfn.XLOOKUP(
   $B$4&amp;" "&amp;$B37,
   Actuals!$D:$D,
   _xlfn.XLOOKUP(
      Z$6,
      Actuals!$H$3:$BD$3,
      Actuals!$H:$BD
   )
)</f>
        <v>0</v>
      </c>
      <c r="AA37" s="292" cm="1">
        <f t="array" ref="AA37">_xlfn.XLOOKUP(
   $B$4&amp;" "&amp;$B37,
   Actuals!$D:$D,
   _xlfn.XLOOKUP(
      AA$6,
      Actuals!$H$3:$BD$3,
      Actuals!$H:$BD
   )
)</f>
        <v>0</v>
      </c>
      <c r="AB37" s="292" cm="1">
        <f t="array" ref="AB37">_xlfn.XLOOKUP(
   $B$4&amp;" "&amp;$B37,
   Actuals!$D:$D,
   _xlfn.XLOOKUP(
      AB$6,
      Actuals!$H$3:$BD$3,
      Actuals!$H:$BD
   )
)</f>
        <v>0</v>
      </c>
      <c r="AC37" s="292" cm="1">
        <f t="array" ref="AC37">_xlfn.XLOOKUP(
   $B$4&amp;" "&amp;$B37,
   Actuals!$D:$D,
   _xlfn.XLOOKUP(
      AC$6,
      Actuals!$H$3:$BD$3,
      Actuals!$H:$BD
   )
)</f>
        <v>0</v>
      </c>
      <c r="AD37" s="292" cm="1">
        <f t="array" ref="AD37">_xlfn.XLOOKUP(
   $B$4&amp;" "&amp;$B37,
   Actuals!$D:$D,
   _xlfn.XLOOKUP(
      AD$6,
      Actuals!$H$3:$BD$3,
      Actuals!$H:$BD
   )
)</f>
        <v>0</v>
      </c>
      <c r="AE37" s="292" cm="1">
        <f t="array" ref="AE37">_xlfn.XLOOKUP(
   $B$4&amp;" "&amp;$B37,
   Actuals!$D:$D,
   _xlfn.XLOOKUP(
      AE$6,
      Actuals!$H$3:$BD$3,
      Actuals!$H:$BD
   )
)</f>
        <v>0</v>
      </c>
      <c r="AF37" s="292" cm="1">
        <f t="array" ref="AF37">_xlfn.XLOOKUP(
   $B$4&amp;" "&amp;$B37,
   Actuals!$D:$D,
   _xlfn.XLOOKUP(
      AF$6,
      Actuals!$H$3:$BD$3,
      Actuals!$H:$BD
   )
)</f>
        <v>0</v>
      </c>
      <c r="AG37" s="292" cm="1">
        <f t="array" ref="AG37">_xlfn.XLOOKUP(
   $B$4&amp;" "&amp;$B37,
   Actuals!$D:$D,
   _xlfn.XLOOKUP(
      AG$6,
      Actuals!$H$3:$BD$3,
      Actuals!$H:$BD
   )
)</f>
        <v>0</v>
      </c>
      <c r="AH37" s="292" cm="1">
        <f t="array" ref="AH37">_xlfn.XLOOKUP(
   $B$4&amp;" "&amp;$B37,
   Actuals!$D:$D,
   _xlfn.XLOOKUP(
      AH$6,
      Actuals!$H$3:$BD$3,
      Actuals!$H:$BD
   )
)</f>
        <v>0</v>
      </c>
      <c r="AI37" s="292" cm="1">
        <f t="array" ref="AI37">_xlfn.XLOOKUP(
   $B$4&amp;" "&amp;$B37,
   Actuals!$D:$D,
   _xlfn.XLOOKUP(
      AI$6,
      Actuals!$H$3:$BD$3,
      Actuals!$H:$BD
   )
)</f>
        <v>0</v>
      </c>
      <c r="AJ37" s="292" cm="1">
        <f t="array" ref="AJ37">_xlfn.XLOOKUP(
   $B$4&amp;" "&amp;$B37,
   Actuals!$D:$D,
   _xlfn.XLOOKUP(
      AJ$6,
      Actuals!$H$3:$BD$3,
      Actuals!$H:$BD
   )
)</f>
        <v>0</v>
      </c>
      <c r="AK37" s="292" cm="1">
        <f t="array" ref="AK37">_xlfn.XLOOKUP(
   $B$4&amp;" "&amp;$B37,
   Actuals!$D:$D,
   _xlfn.XLOOKUP(
      AK$6,
      Actuals!$H$3:$BD$3,
      Actuals!$H:$BD
   )
)</f>
        <v>0</v>
      </c>
      <c r="AL37" s="292" cm="1">
        <f t="array" ref="AL37">_xlfn.XLOOKUP(
   $B$4&amp;" "&amp;$B37,
   Actuals!$D:$D,
   _xlfn.XLOOKUP(
      AL$6,
      Actuals!$H$3:$BD$3,
      Actuals!$H:$BD
   )
)</f>
        <v>0</v>
      </c>
      <c r="AM37" s="292" cm="1">
        <f t="array" ref="AM37">_xlfn.XLOOKUP(
   $B$4&amp;" "&amp;$B37,
   Actuals!$D:$D,
   _xlfn.XLOOKUP(
      AM$6,
      Actuals!$H$3:$BD$3,
      Actuals!$H:$BD
   )
)</f>
        <v>0</v>
      </c>
      <c r="AN37" s="292" cm="1">
        <f t="array" ref="AN37">_xlfn.XLOOKUP(
   $B$4&amp;" "&amp;$B37,
   Actuals!$D:$D,
   _xlfn.XLOOKUP(
      AN$6,
      Actuals!$H$3:$BD$3,
      Actuals!$H:$BD
   )
)</f>
        <v>0</v>
      </c>
      <c r="AO37" s="292" cm="1">
        <f t="array" ref="AO37">_xlfn.XLOOKUP(
   $B$4&amp;" "&amp;$B37,
   Actuals!$D:$D,
   _xlfn.XLOOKUP(
      AO$6,
      Actuals!$H$3:$BD$3,
      Actuals!$H:$BD
   )
)</f>
        <v>0</v>
      </c>
      <c r="AP37" s="292" cm="1">
        <f t="array" ref="AP37">_xlfn.XLOOKUP(
   $B$4&amp;" "&amp;$B37,
   Actuals!$D:$D,
   _xlfn.XLOOKUP(
      AP$6,
      Actuals!$H$3:$BD$3,
      Actuals!$H:$BD
   )
)</f>
        <v>0</v>
      </c>
      <c r="AQ37" s="292" cm="1">
        <f t="array" ref="AQ37">_xlfn.XLOOKUP(
   $B$4&amp;" "&amp;$B37,
   Actuals!$D:$D,
   _xlfn.XLOOKUP(
      AQ$6,
      Actuals!$H$3:$BD$3,
      Actuals!$H:$BD
   )
)</f>
        <v>0</v>
      </c>
      <c r="AR37" s="292" cm="1">
        <f t="array" ref="AR37">_xlfn.XLOOKUP(
   $B$4&amp;" "&amp;$B37,
   Actuals!$D:$D,
   _xlfn.XLOOKUP(
      AR$6,
      Actuals!$H$3:$BD$3,
      Actuals!$H:$BD
   )
)</f>
        <v>0</v>
      </c>
      <c r="AS37" s="292" cm="1">
        <f t="array" ref="AS37">_xlfn.XLOOKUP(
   $B$4&amp;" "&amp;$B37,
   Actuals!$D:$D,
   _xlfn.XLOOKUP(
      AS$6,
      Actuals!$H$3:$BD$3,
      Actuals!$H:$BD
   )
)</f>
        <v>0</v>
      </c>
      <c r="AT37" s="292" cm="1">
        <f t="array" ref="AT37">_xlfn.XLOOKUP(
   $B$4&amp;" "&amp;$B37,
   Actuals!$D:$D,
   _xlfn.XLOOKUP(
      AT$6,
      Actuals!$H$3:$BD$3,
      Actuals!$H:$BD
   )
)</f>
        <v>0</v>
      </c>
      <c r="AU37" s="292" cm="1">
        <f t="array" ref="AU37">_xlfn.XLOOKUP(
   $B$4&amp;" "&amp;$B37,
   Actuals!$D:$D,
   _xlfn.XLOOKUP(
      AU$6,
      Actuals!$H$3:$BD$3,
      Actuals!$H:$BD
   )
)</f>
        <v>0</v>
      </c>
      <c r="AV37" s="292" cm="1">
        <f t="array" ref="AV37">_xlfn.XLOOKUP(
   $B$4&amp;" "&amp;$B37,
   Actuals!$D:$D,
   _xlfn.XLOOKUP(
      AV$6,
      Actuals!$H$3:$BD$3,
      Actuals!$H:$BD
   )
)</f>
        <v>0</v>
      </c>
      <c r="AW37" s="292" cm="1">
        <f t="array" ref="AW37">_xlfn.XLOOKUP(
   $B$4&amp;" "&amp;$B37,
   Actuals!$D:$D,
   _xlfn.XLOOKUP(
      AW$6,
      Actuals!$H$3:$BD$3,
      Actuals!$H:$BD
   )
)</f>
        <v>0</v>
      </c>
      <c r="AX37" s="292" cm="1">
        <f t="array" ref="AX37">_xlfn.XLOOKUP(
   $B$4&amp;" "&amp;$B37,
   Actuals!$D:$D,
   _xlfn.XLOOKUP(
      AX$6,
      Actuals!$H$3:$BD$3,
      Actuals!$H:$BD
   )
)</f>
        <v>0</v>
      </c>
      <c r="AY37" s="292" cm="1">
        <f t="array" ref="AY37">_xlfn.XLOOKUP(
   $B$4&amp;" "&amp;$B37,
   Actuals!$D:$D,
   _xlfn.XLOOKUP(
      AY$6,
      Actuals!$H$3:$BD$3,
      Actuals!$H:$BD
   )
)</f>
        <v>0</v>
      </c>
      <c r="AZ37" s="292" cm="1">
        <f t="array" ref="AZ37">_xlfn.XLOOKUP(
   $B$4&amp;" "&amp;$B37,
   Actuals!$D:$D,
   _xlfn.XLOOKUP(
      AZ$6,
      Actuals!$H$3:$BD$3,
      Actuals!$H:$BD
   )
)</f>
        <v>0</v>
      </c>
      <c r="BA37" s="292"/>
      <c r="BB37" s="292" t="str" cm="1">
        <f t="array" ref="BB37">_xlfn.XLOOKUP(
   $B$4&amp;" "&amp;$B37,
   Actuals!$D:$D,
   _xlfn.XLOOKUP(
      BB$7,
      Actuals!$H$3:$BM$3,
      Actuals!$H:$BM
   )
)</f>
        <v>-</v>
      </c>
      <c r="BC37" s="292" t="str">
        <f>VLOOKUP($B$4&amp;" "&amp;$B37,Budget!$AG$4:$AL$132,$BB$5+1,FALSE)</f>
        <v>-</v>
      </c>
      <c r="BD37" s="292" t="str">
        <f t="shared" si="44"/>
        <v>-</v>
      </c>
      <c r="BE37" s="292"/>
      <c r="BF37" s="292" t="str" cm="1">
        <f t="array" ref="BF37">_xlfn.XLOOKUP(
   $B$4&amp;" "&amp;$B37,
   Actuals!$D:$D,
   _xlfn.XLOOKUP(
      BF$7,
      Actuals!$H$3:$BM$3,
      Actuals!$H:$BM
   )
)</f>
        <v>-</v>
      </c>
      <c r="BG37" s="292" t="str">
        <f>IFERROR(VLOOKUP($B$4&amp;" "&amp;$B37,Budget!$AG$4:$AL$132,$BF$5+1,FALSE),"n.a.")</f>
        <v>-</v>
      </c>
      <c r="BH37" s="292" t="str">
        <f t="shared" si="42"/>
        <v>-</v>
      </c>
      <c r="BI37" s="292"/>
      <c r="BJ37" s="292" t="str" cm="1">
        <f t="array" ref="BJ37">_xlfn.XLOOKUP(
   $B$4&amp;" "&amp;$B37,
   Actuals!$D:$D,
   _xlfn.XLOOKUP(
      BJ$7,
      Actuals!$H$3:$BM$3,
      Actuals!$H:$BM
   )
)</f>
        <v>-</v>
      </c>
      <c r="BK37" s="292" t="str">
        <f>IFERROR(VLOOKUP($B$4&amp;" "&amp;$B37,Budget!$AG$4:$AL$132,$BJ$5+1,FALSE),"n.a.")</f>
        <v>-</v>
      </c>
      <c r="BL37" s="292" t="str">
        <f t="shared" si="43"/>
        <v>-</v>
      </c>
      <c r="BM37" s="292"/>
      <c r="BN37" s="292" t="str" cm="1">
        <f t="array" ref="BN37">_xlfn.XLOOKUP(
   $B$4&amp;" "&amp;$B37,
   Actuals!$D:$D,
   _xlfn.XLOOKUP(
      BN$7,
      Actuals!$H$3:$BM$3,
      Actuals!$H:$BM
   )
)</f>
        <v>-</v>
      </c>
      <c r="BO37" s="292" t="str">
        <f>IFERROR(VLOOKUP($B$4&amp;" "&amp;$B37,Budget!$AG$4:$AL$132,$BN$5+1,FALSE),"n.a.")</f>
        <v>-</v>
      </c>
      <c r="BP37" s="292"/>
      <c r="BQ37" s="292"/>
      <c r="BR37" s="292" cm="1">
        <f t="array" aca="1" ref="BR37" ca="1">_xlfn.XLOOKUP(
   $B$4&amp;" "&amp;$B37,
   Actuals!$D:$D,
   _xlfn.XLOOKUP(
      BR$6,
      Actuals!$H$3:$BM$3,
      Actuals!$H:$BM
   )
)</f>
        <v>0</v>
      </c>
      <c r="BS37" s="292">
        <f ca="1">VLOOKUP($B$4&amp;" "&amp;$B37,Budget!$AG$4:$AL$132,6,FALSE)</f>
        <v>0</v>
      </c>
      <c r="BT37" s="292">
        <f ca="1">BR37-BS37</f>
        <v>0</v>
      </c>
      <c r="BU37" s="292"/>
      <c r="BV37" s="292" t="e" cm="1">
        <f t="array" ref="BV37">_xlfn.XLOOKUP(
   $B$4&amp;" "&amp;$B37,
   Actuals!$D:$D,
   _xlfn.XLOOKUP(
      BV$6,
      Actuals!$H$3:$BM$3,
      Actuals!$H:$BM
   )
)</f>
        <v>#DIV/0!</v>
      </c>
    </row>
    <row r="38" spans="2:74">
      <c r="C38" s="139"/>
      <c r="D38" s="171"/>
      <c r="E38" s="292"/>
      <c r="F38" s="292"/>
      <c r="G38" s="292"/>
      <c r="H38" s="292"/>
      <c r="I38" s="292"/>
      <c r="J38" s="292"/>
      <c r="K38" s="292"/>
      <c r="L38" s="292"/>
      <c r="M38" s="292"/>
      <c r="N38" s="292"/>
      <c r="O38" s="292"/>
      <c r="P38" s="292"/>
      <c r="Q38" s="292"/>
      <c r="R38" s="292"/>
      <c r="S38" s="292"/>
      <c r="T38" s="292"/>
      <c r="U38" s="292"/>
      <c r="V38" s="292"/>
      <c r="W38" s="292"/>
      <c r="X38" s="292"/>
      <c r="Y38" s="292"/>
      <c r="Z38" s="292"/>
      <c r="AA38" s="292"/>
      <c r="AB38" s="292"/>
      <c r="AC38" s="292"/>
      <c r="AD38" s="292"/>
      <c r="AE38" s="292"/>
      <c r="AF38" s="292"/>
      <c r="AG38" s="292"/>
      <c r="AH38" s="292"/>
      <c r="AI38" s="292"/>
      <c r="AJ38" s="292"/>
      <c r="AK38" s="292"/>
      <c r="AL38" s="292"/>
      <c r="AM38" s="292"/>
      <c r="AN38" s="292"/>
      <c r="AO38" s="292"/>
      <c r="AP38" s="292"/>
      <c r="AQ38" s="292"/>
      <c r="AR38" s="292"/>
      <c r="AS38" s="292"/>
      <c r="AT38" s="292"/>
      <c r="AU38" s="292"/>
      <c r="AV38" s="292"/>
      <c r="AW38" s="292"/>
      <c r="AX38" s="292"/>
      <c r="AY38" s="292"/>
      <c r="AZ38" s="292"/>
      <c r="BA38" s="292"/>
      <c r="BB38" s="292"/>
      <c r="BC38" s="292"/>
      <c r="BD38" s="292"/>
      <c r="BE38" s="292"/>
      <c r="BF38" s="292"/>
      <c r="BG38" s="292"/>
      <c r="BH38" s="292"/>
      <c r="BI38" s="292"/>
      <c r="BJ38" s="292"/>
      <c r="BK38" s="292"/>
      <c r="BL38" s="292"/>
      <c r="BM38" s="292"/>
      <c r="BN38" s="292"/>
      <c r="BO38" s="292"/>
      <c r="BP38" s="292"/>
      <c r="BQ38" s="292"/>
      <c r="BR38" s="292"/>
      <c r="BS38" s="292"/>
      <c r="BT38" s="292"/>
      <c r="BU38" s="292"/>
      <c r="BV38" s="292"/>
    </row>
    <row r="39" spans="2:74" ht="13" outlineLevel="1">
      <c r="B39" s="126" t="s">
        <v>92</v>
      </c>
      <c r="C39" s="145"/>
      <c r="D39" s="176"/>
      <c r="E39" s="294"/>
      <c r="F39" s="294"/>
      <c r="G39" s="294"/>
      <c r="H39" s="294"/>
      <c r="I39" s="294"/>
      <c r="J39" s="294"/>
      <c r="K39" s="294"/>
      <c r="L39" s="294"/>
      <c r="M39" s="294"/>
      <c r="N39" s="294"/>
      <c r="O39" s="294"/>
      <c r="P39" s="294"/>
      <c r="Q39" s="294"/>
      <c r="R39" s="294"/>
      <c r="S39" s="294"/>
      <c r="T39" s="294"/>
      <c r="U39" s="294"/>
      <c r="V39" s="294"/>
      <c r="W39" s="294"/>
      <c r="X39" s="294"/>
      <c r="Y39" s="294"/>
      <c r="Z39" s="294"/>
      <c r="AA39" s="294"/>
      <c r="AB39" s="294"/>
      <c r="AC39" s="294"/>
      <c r="AD39" s="294"/>
      <c r="AE39" s="294"/>
      <c r="AF39" s="294"/>
      <c r="AG39" s="294"/>
      <c r="AH39" s="294"/>
      <c r="AI39" s="294"/>
      <c r="AJ39" s="294"/>
      <c r="AK39" s="294"/>
      <c r="AL39" s="294"/>
      <c r="AM39" s="294"/>
      <c r="AN39" s="294"/>
      <c r="AO39" s="294"/>
      <c r="AP39" s="294"/>
      <c r="AQ39" s="294"/>
      <c r="AR39" s="294"/>
      <c r="AS39" s="294"/>
      <c r="AT39" s="294"/>
      <c r="AU39" s="294"/>
      <c r="AV39" s="294"/>
      <c r="AW39" s="294"/>
      <c r="AX39" s="294"/>
      <c r="AY39" s="294"/>
      <c r="AZ39" s="294"/>
      <c r="BA39" s="294"/>
      <c r="BB39" s="294"/>
      <c r="BC39" s="294"/>
      <c r="BD39" s="294"/>
      <c r="BE39" s="294"/>
      <c r="BF39" s="294"/>
      <c r="BG39" s="294"/>
      <c r="BH39" s="294"/>
      <c r="BI39" s="294"/>
      <c r="BJ39" s="294"/>
      <c r="BK39" s="294"/>
      <c r="BL39" s="294"/>
      <c r="BM39" s="294"/>
      <c r="BN39" s="294"/>
      <c r="BO39" s="294"/>
      <c r="BP39" s="294"/>
      <c r="BQ39" s="294"/>
      <c r="BR39" s="294"/>
      <c r="BS39" s="294"/>
      <c r="BT39" s="294"/>
      <c r="BU39" s="294"/>
      <c r="BV39" s="294"/>
    </row>
    <row r="40" spans="2:74" outlineLevel="1">
      <c r="B40" s="26" t="s">
        <v>93</v>
      </c>
      <c r="C40" s="139" t="s">
        <v>49</v>
      </c>
      <c r="D40" s="171" t="str">
        <f>VLOOKUP($B$4&amp;" "&amp;$B40,Actuals!$D$4:$AG$131,3,FALSE)</f>
        <v>#</v>
      </c>
      <c r="E40" s="292">
        <f>VLOOKUP($B$4&amp;" "&amp;$B40,Actuals!$D$4:$AG$131,MONTH(E$6)+4,FALSE)</f>
        <v>4</v>
      </c>
      <c r="F40" s="292">
        <f>VLOOKUP($B$4&amp;" "&amp;$B40,Actuals!$D$4:$AG$131,MONTH(F$6)+4,FALSE)</f>
        <v>6</v>
      </c>
      <c r="G40" s="292">
        <f>VLOOKUP($B$4&amp;" "&amp;$B40,Actuals!$D$4:$AG$131,MONTH(G$6)+4,FALSE)</f>
        <v>16</v>
      </c>
      <c r="H40" s="292">
        <f>VLOOKUP($B$4&amp;" "&amp;$B40,Actuals!$D$4:$AG$131,MONTH(H$6)+4,FALSE)</f>
        <v>1</v>
      </c>
      <c r="I40" s="292">
        <f>VLOOKUP($B$4&amp;" "&amp;$B40,Actuals!$D$4:$AG$131,MONTH(I$6)+4,FALSE)</f>
        <v>3</v>
      </c>
      <c r="J40" s="292">
        <f>VLOOKUP($B$4&amp;" "&amp;$B40,Actuals!$D$4:$AG$131,MONTH(J$6)+4,FALSE)</f>
        <v>11</v>
      </c>
      <c r="K40" s="292">
        <f>VLOOKUP($B$4&amp;" "&amp;$B40,Actuals!$D$4:$AG$131,MONTH(K$6)+4,FALSE)</f>
        <v>4</v>
      </c>
      <c r="L40" s="292">
        <f>VLOOKUP($B$4&amp;" "&amp;$B40,Actuals!$D$4:$AG$131,MONTH(L$6)+4,FALSE)</f>
        <v>9</v>
      </c>
      <c r="M40" s="292">
        <f>VLOOKUP($B$4&amp;" "&amp;$B40,Actuals!$D$4:$AG$131,MONTH(M$6)+4,FALSE)</f>
        <v>6</v>
      </c>
      <c r="N40" s="292">
        <f>VLOOKUP($B$4&amp;" "&amp;$B40,Actuals!$D$4:$AG$131,MONTH(N$6)+4,FALSE)</f>
        <v>16</v>
      </c>
      <c r="O40" s="292">
        <f>VLOOKUP($B$4&amp;" "&amp;$B40,Actuals!$D$4:$AG$131,MONTH(O$6)+4,FALSE)</f>
        <v>0</v>
      </c>
      <c r="P40" s="292">
        <f>VLOOKUP($B$4&amp;" "&amp;$B40,Actuals!$D$4:$AG$131,MONTH(P$6)+4,FALSE)</f>
        <v>0</v>
      </c>
      <c r="Q40" s="292">
        <f>VLOOKUP($B$4&amp;" "&amp;$B40,Actuals!$D$4:$AR$131,MONTH(Q$6)+16,FALSE)</f>
        <v>0</v>
      </c>
      <c r="R40" s="292">
        <f>VLOOKUP($B$4&amp;" "&amp;$B40,Actuals!$D$4:$AR$131,MONTH(R$6)+16,FALSE)</f>
        <v>0</v>
      </c>
      <c r="S40" s="292">
        <f>VLOOKUP($B$4&amp;" "&amp;$B40,Actuals!$D$4:$AR$131,MONTH(S$6)+16,FALSE)</f>
        <v>0</v>
      </c>
      <c r="T40" s="292">
        <f>VLOOKUP($B$4&amp;" "&amp;$B40,Actuals!$D$4:$AR$131,MONTH(T$6)+16,FALSE)</f>
        <v>0</v>
      </c>
      <c r="U40" s="292">
        <f>VLOOKUP($B$4&amp;" "&amp;$B40,Actuals!$D$4:$AR$131,MONTH(U$6)+16,FALSE)</f>
        <v>0</v>
      </c>
      <c r="V40" s="292" cm="1">
        <f t="array" ref="V40">_xlfn.XLOOKUP(
   $B$4&amp;" "&amp;$B40,
   Actuals!$D:$D,
   _xlfn.XLOOKUP(
      V$6,
      Actuals!$H$3:$BD$3,
      Actuals!$H:$BD
   )
)</f>
        <v>0</v>
      </c>
      <c r="W40" s="292" cm="1">
        <f t="array" ref="W40">_xlfn.XLOOKUP(
   $B$4&amp;" "&amp;$B40,
   Actuals!$D:$D,
   _xlfn.XLOOKUP(
      W$6,
      Actuals!$H$3:$BD$3,
      Actuals!$H:$BD
   )
)</f>
        <v>0</v>
      </c>
      <c r="X40" s="292" cm="1">
        <f t="array" ref="X40">_xlfn.XLOOKUP(
   $B$4&amp;" "&amp;$B40,
   Actuals!$D:$D,
   _xlfn.XLOOKUP(
      X$6,
      Actuals!$H$3:$BD$3,
      Actuals!$H:$BD
   )
)</f>
        <v>0</v>
      </c>
      <c r="Y40" s="292" cm="1">
        <f t="array" ref="Y40">_xlfn.XLOOKUP(
   $B$4&amp;" "&amp;$B40,
   Actuals!$D:$D,
   _xlfn.XLOOKUP(
      Y$6,
      Actuals!$H$3:$BD$3,
      Actuals!$H:$BD
   )
)</f>
        <v>0</v>
      </c>
      <c r="Z40" s="292" cm="1">
        <f t="array" ref="Z40">_xlfn.XLOOKUP(
   $B$4&amp;" "&amp;$B40,
   Actuals!$D:$D,
   _xlfn.XLOOKUP(
      Z$6,
      Actuals!$H$3:$BD$3,
      Actuals!$H:$BD
   )
)</f>
        <v>0</v>
      </c>
      <c r="AA40" s="292" cm="1">
        <f t="array" ref="AA40">_xlfn.XLOOKUP(
   $B$4&amp;" "&amp;$B40,
   Actuals!$D:$D,
   _xlfn.XLOOKUP(
      AA$6,
      Actuals!$H$3:$BD$3,
      Actuals!$H:$BD
   )
)</f>
        <v>0</v>
      </c>
      <c r="AB40" s="292" cm="1">
        <f t="array" ref="AB40">_xlfn.XLOOKUP(
   $B$4&amp;" "&amp;$B40,
   Actuals!$D:$D,
   _xlfn.XLOOKUP(
      AB$6,
      Actuals!$H$3:$BD$3,
      Actuals!$H:$BD
   )
)</f>
        <v>0</v>
      </c>
      <c r="AC40" s="292" cm="1">
        <f t="array" ref="AC40">_xlfn.XLOOKUP(
   $B$4&amp;" "&amp;$B40,
   Actuals!$D:$D,
   _xlfn.XLOOKUP(
      AC$6,
      Actuals!$H$3:$BD$3,
      Actuals!$H:$BD
   )
)</f>
        <v>14</v>
      </c>
      <c r="AD40" s="292" cm="1">
        <f t="array" ref="AD40">_xlfn.XLOOKUP(
   $B$4&amp;" "&amp;$B40,
   Actuals!$D:$D,
   _xlfn.XLOOKUP(
      AD$6,
      Actuals!$H$3:$BD$3,
      Actuals!$H:$BD
   )
)</f>
        <v>9</v>
      </c>
      <c r="AE40" s="292" cm="1">
        <f t="array" ref="AE40">_xlfn.XLOOKUP(
   $B$4&amp;" "&amp;$B40,
   Actuals!$D:$D,
   _xlfn.XLOOKUP(
      AE$6,
      Actuals!$H$3:$BD$3,
      Actuals!$H:$BD
   )
)</f>
        <v>2</v>
      </c>
      <c r="AF40" s="292" cm="1">
        <f t="array" ref="AF40">_xlfn.XLOOKUP(
   $B$4&amp;" "&amp;$B40,
   Actuals!$D:$D,
   _xlfn.XLOOKUP(
      AF$6,
      Actuals!$H$3:$BD$3,
      Actuals!$H:$BD
   )
)</f>
        <v>0</v>
      </c>
      <c r="AG40" s="292" cm="1">
        <f t="array" ref="AG40">_xlfn.XLOOKUP(
   $B$4&amp;" "&amp;$B40,
   Actuals!$D:$D,
   _xlfn.XLOOKUP(
      AG$6,
      Actuals!$H$3:$BD$3,
      Actuals!$H:$BD
   )
)</f>
        <v>2</v>
      </c>
      <c r="AH40" s="292" cm="1">
        <f t="array" ref="AH40">_xlfn.XLOOKUP(
   $B$4&amp;" "&amp;$B40,
   Actuals!$D:$D,
   _xlfn.XLOOKUP(
      AH$6,
      Actuals!$H$3:$BD$3,
      Actuals!$H:$BD
   )
)</f>
        <v>2</v>
      </c>
      <c r="AI40" s="292" cm="1">
        <f t="array" ref="AI40">_xlfn.XLOOKUP(
   $B$4&amp;" "&amp;$B40,
   Actuals!$D:$D,
   _xlfn.XLOOKUP(
      AI$6,
      Actuals!$H$3:$BD$3,
      Actuals!$H:$BD
   )
)</f>
        <v>0</v>
      </c>
      <c r="AJ40" s="292" cm="1">
        <f t="array" ref="AJ40">_xlfn.XLOOKUP(
   $B$4&amp;" "&amp;$B40,
   Actuals!$D:$D,
   _xlfn.XLOOKUP(
      AJ$6,
      Actuals!$H$3:$BD$3,
      Actuals!$H:$BD
   )
)</f>
        <v>0</v>
      </c>
      <c r="AK40" s="292" cm="1">
        <f t="array" ref="AK40">_xlfn.XLOOKUP(
   $B$4&amp;" "&amp;$B40,
   Actuals!$D:$D,
   _xlfn.XLOOKUP(
      AK$6,
      Actuals!$H$3:$BD$3,
      Actuals!$H:$BD
   )
)</f>
        <v>2</v>
      </c>
      <c r="AL40" s="292" cm="1">
        <f t="array" ref="AL40">_xlfn.XLOOKUP(
   $B$4&amp;" "&amp;$B40,
   Actuals!$D:$D,
   _xlfn.XLOOKUP(
      AL$6,
      Actuals!$H$3:$BD$3,
      Actuals!$H:$BD
   )
)</f>
        <v>1</v>
      </c>
      <c r="AM40" s="292" cm="1">
        <f t="array" ref="AM40">_xlfn.XLOOKUP(
   $B$4&amp;" "&amp;$B40,
   Actuals!$D:$D,
   _xlfn.XLOOKUP(
      AM$6,
      Actuals!$H$3:$BD$3,
      Actuals!$H:$BD
   )
)</f>
        <v>3</v>
      </c>
      <c r="AN40" s="292" cm="1">
        <f t="array" ref="AN40">_xlfn.XLOOKUP(
   $B$4&amp;" "&amp;$B40,
   Actuals!$D:$D,
   _xlfn.XLOOKUP(
      AN$6,
      Actuals!$H$3:$BD$3,
      Actuals!$H:$BD
   )
)</f>
        <v>0</v>
      </c>
      <c r="AO40" s="292" cm="1">
        <f t="array" ref="AO40">_xlfn.XLOOKUP(
   $B$4&amp;" "&amp;$B40,
   Actuals!$D:$D,
   _xlfn.XLOOKUP(
      AO$6,
      Actuals!$H$3:$BD$3,
      Actuals!$H:$BD
   )
)</f>
        <v>0</v>
      </c>
      <c r="AP40" s="292" cm="1">
        <f t="array" ref="AP40">_xlfn.XLOOKUP(
   $B$4&amp;" "&amp;$B40,
   Actuals!$D:$D,
   _xlfn.XLOOKUP(
      AP$6,
      Actuals!$H$3:$BD$3,
      Actuals!$H:$BD
   )
)</f>
        <v>0</v>
      </c>
      <c r="AQ40" s="292" cm="1">
        <f t="array" ref="AQ40">_xlfn.XLOOKUP(
   $B$4&amp;" "&amp;$B40,
   Actuals!$D:$D,
   _xlfn.XLOOKUP(
      AQ$6,
      Actuals!$H$3:$BD$3,
      Actuals!$H:$BD
   )
)</f>
        <v>0</v>
      </c>
      <c r="AR40" s="292" cm="1">
        <f t="array" ref="AR40">_xlfn.XLOOKUP(
   $B$4&amp;" "&amp;$B40,
   Actuals!$D:$D,
   _xlfn.XLOOKUP(
      AR$6,
      Actuals!$H$3:$BD$3,
      Actuals!$H:$BD
   )
)</f>
        <v>0</v>
      </c>
      <c r="AS40" s="292" cm="1">
        <f t="array" ref="AS40">_xlfn.XLOOKUP(
   $B$4&amp;" "&amp;$B40,
   Actuals!$D:$D,
   _xlfn.XLOOKUP(
      AS$6,
      Actuals!$H$3:$BD$3,
      Actuals!$H:$BD
   )
)</f>
        <v>0</v>
      </c>
      <c r="AT40" s="292" cm="1">
        <f t="array" ref="AT40">_xlfn.XLOOKUP(
   $B$4&amp;" "&amp;$B40,
   Actuals!$D:$D,
   _xlfn.XLOOKUP(
      AT$6,
      Actuals!$H$3:$BD$3,
      Actuals!$H:$BD
   )
)</f>
        <v>0</v>
      </c>
      <c r="AU40" s="292" cm="1">
        <f t="array" ref="AU40">_xlfn.XLOOKUP(
   $B$4&amp;" "&amp;$B40,
   Actuals!$D:$D,
   _xlfn.XLOOKUP(
      AU$6,
      Actuals!$H$3:$BD$3,
      Actuals!$H:$BD
   )
)</f>
        <v>0</v>
      </c>
      <c r="AV40" s="292" cm="1">
        <f t="array" ref="AV40">_xlfn.XLOOKUP(
   $B$4&amp;" "&amp;$B40,
   Actuals!$D:$D,
   _xlfn.XLOOKUP(
      AV$6,
      Actuals!$H$3:$BD$3,
      Actuals!$H:$BD
   )
)</f>
        <v>0</v>
      </c>
      <c r="AW40" s="292" cm="1">
        <f t="array" ref="AW40">_xlfn.XLOOKUP(
   $B$4&amp;" "&amp;$B40,
   Actuals!$D:$D,
   _xlfn.XLOOKUP(
      AW$6,
      Actuals!$H$3:$BD$3,
      Actuals!$H:$BD
   )
)</f>
        <v>0</v>
      </c>
      <c r="AX40" s="292" cm="1">
        <f t="array" ref="AX40">_xlfn.XLOOKUP(
   $B$4&amp;" "&amp;$B40,
   Actuals!$D:$D,
   _xlfn.XLOOKUP(
      AX$6,
      Actuals!$H$3:$BD$3,
      Actuals!$H:$BD
   )
)</f>
        <v>0</v>
      </c>
      <c r="AY40" s="292" cm="1">
        <f t="array" ref="AY40">_xlfn.XLOOKUP(
   $B$4&amp;" "&amp;$B40,
   Actuals!$D:$D,
   _xlfn.XLOOKUP(
      AY$6,
      Actuals!$H$3:$BD$3,
      Actuals!$H:$BD
   )
)</f>
        <v>0</v>
      </c>
      <c r="AZ40" s="292" cm="1">
        <f t="array" ref="AZ40">_xlfn.XLOOKUP(
   $B$4&amp;" "&amp;$B40,
   Actuals!$D:$D,
   _xlfn.XLOOKUP(
      AZ$6,
      Actuals!$H$3:$BD$3,
      Actuals!$H:$BD
   )
)</f>
        <v>0</v>
      </c>
      <c r="BA40" s="292"/>
      <c r="BB40" s="292" cm="1">
        <f t="array" ref="BB40">_xlfn.XLOOKUP(
   $B$4&amp;" "&amp;$B40,
   Actuals!$D:$D,
   _xlfn.XLOOKUP(
      BB$7,
      Actuals!$H$3:$BM$3,
      Actuals!$H:$BM
   )
)</f>
        <v>0</v>
      </c>
      <c r="BC40" s="292">
        <f>VLOOKUP($B$4&amp;" "&amp;$B40,Budget!$AG$4:$AL$132,$BB$5+1,FALSE)</f>
        <v>0</v>
      </c>
      <c r="BD40" s="292">
        <f>BB40-BC40</f>
        <v>0</v>
      </c>
      <c r="BE40" s="292"/>
      <c r="BF40" s="292" cm="1">
        <f t="array" ref="BF40">_xlfn.XLOOKUP(
   $B$4&amp;" "&amp;$B40,
   Actuals!$D:$D,
   _xlfn.XLOOKUP(
      BF$7,
      Actuals!$H$3:$BM$3,
      Actuals!$H:$BM
   )
)</f>
        <v>0</v>
      </c>
      <c r="BG40" s="292">
        <f>VLOOKUP($B$4&amp;" "&amp;$B40,Budget!$AG$4:$AL$132,BF$5+1,FALSE)</f>
        <v>0</v>
      </c>
      <c r="BH40" s="292">
        <f>BF40-BG40</f>
        <v>0</v>
      </c>
      <c r="BI40" s="292"/>
      <c r="BJ40" s="292" cm="1">
        <f t="array" ref="BJ40">_xlfn.XLOOKUP(
   $B$4&amp;" "&amp;$B40,
   Actuals!$D:$D,
   _xlfn.XLOOKUP(
      BJ$7,
      Actuals!$H$3:$BM$3,
      Actuals!$H:$BM
   )
)</f>
        <v>0</v>
      </c>
      <c r="BK40" s="292">
        <f>VLOOKUP($B$4&amp;" "&amp;$B40,Budget!$AG$4:$AL$132,BJ$5+1,FALSE)</f>
        <v>0</v>
      </c>
      <c r="BL40" s="292">
        <f>BJ40-BK40</f>
        <v>0</v>
      </c>
      <c r="BM40" s="292"/>
      <c r="BN40" s="292" cm="1">
        <f t="array" ref="BN40">_xlfn.XLOOKUP(
   $B$4&amp;" "&amp;$B40,
   Actuals!$D:$D,
   _xlfn.XLOOKUP(
      BN$7,
      Actuals!$H$3:$BM$3,
      Actuals!$H:$BM
   )
)</f>
        <v>0</v>
      </c>
      <c r="BO40" s="292">
        <f>VLOOKUP($B$4&amp;" "&amp;$B40,Budget!$AG$4:$AL$132,BN$5+1,FALSE)</f>
        <v>0</v>
      </c>
      <c r="BP40" s="292"/>
      <c r="BQ40" s="292"/>
      <c r="BR40" s="292" cm="1">
        <f t="array" aca="1" ref="BR40" ca="1">_xlfn.XLOOKUP(
   $B$4&amp;" "&amp;$B40,
   Actuals!$D:$D,
   _xlfn.XLOOKUP(
      BR$6,
      Actuals!$H$3:$BM$3,
      Actuals!$H:$BM
   )
)</f>
        <v>0</v>
      </c>
      <c r="BS40" s="292">
        <f ca="1">VLOOKUP($B$4&amp;" "&amp;$B40,Budget!$AG$4:$AL$132,6,FALSE)</f>
        <v>0</v>
      </c>
      <c r="BT40" s="292">
        <f ca="1">BR40-BS40</f>
        <v>0</v>
      </c>
      <c r="BU40" s="292"/>
      <c r="BV40" s="292" cm="1">
        <f t="array" ref="BV40">_xlfn.XLOOKUP(
   $B$4&amp;" "&amp;$B40,
   Actuals!$D:$D,
   _xlfn.XLOOKUP(
      BV$6,
      Actuals!$H$3:$BM$3,
      Actuals!$H:$BM
   )
)</f>
        <v>21</v>
      </c>
    </row>
    <row r="41" spans="2:74" outlineLevel="1">
      <c r="B41" s="26" t="s">
        <v>94</v>
      </c>
      <c r="C41" s="139" t="s">
        <v>49</v>
      </c>
      <c r="D41" s="171" t="str">
        <f>VLOOKUP($B$4&amp;" "&amp;$B41,Actuals!$D$4:$AG$131,3,FALSE)</f>
        <v>#</v>
      </c>
      <c r="E41" s="292">
        <f>VLOOKUP($B$4&amp;" "&amp;$B41,Actuals!$D$4:$AG$131,MONTH(E$6)+4,FALSE)</f>
        <v>0</v>
      </c>
      <c r="F41" s="292">
        <f>VLOOKUP($B$4&amp;" "&amp;$B41,Actuals!$D$4:$AG$131,MONTH(F$6)+4,FALSE)</f>
        <v>4</v>
      </c>
      <c r="G41" s="292">
        <f>VLOOKUP($B$4&amp;" "&amp;$B41,Actuals!$D$4:$AG$131,MONTH(G$6)+4,FALSE)</f>
        <v>2</v>
      </c>
      <c r="H41" s="292">
        <f>VLOOKUP($B$4&amp;" "&amp;$B41,Actuals!$D$4:$AG$131,MONTH(H$6)+4,FALSE)</f>
        <v>1</v>
      </c>
      <c r="I41" s="292">
        <f>VLOOKUP($B$4&amp;" "&amp;$B41,Actuals!$D$4:$AG$131,MONTH(I$6)+4,FALSE)</f>
        <v>0</v>
      </c>
      <c r="J41" s="292">
        <f>VLOOKUP($B$4&amp;" "&amp;$B41,Actuals!$D$4:$AG$131,MONTH(J$6)+4,FALSE)</f>
        <v>0</v>
      </c>
      <c r="K41" s="292">
        <f>VLOOKUP($B$4&amp;" "&amp;$B41,Actuals!$D$4:$AG$131,MONTH(K$6)+4,FALSE)</f>
        <v>2</v>
      </c>
      <c r="L41" s="292">
        <f>VLOOKUP($B$4&amp;" "&amp;$B41,Actuals!$D$4:$AG$131,MONTH(L$6)+4,FALSE)</f>
        <v>2</v>
      </c>
      <c r="M41" s="292">
        <f>VLOOKUP($B$4&amp;" "&amp;$B41,Actuals!$D$4:$AG$131,MONTH(M$6)+4,FALSE)</f>
        <v>0</v>
      </c>
      <c r="N41" s="292">
        <f>VLOOKUP($B$4&amp;" "&amp;$B41,Actuals!$D$4:$AG$131,MONTH(N$6)+4,FALSE)</f>
        <v>2</v>
      </c>
      <c r="O41" s="292">
        <f>VLOOKUP($B$4&amp;" "&amp;$B41,Actuals!$D$4:$AG$131,MONTH(O$6)+4,FALSE)</f>
        <v>0</v>
      </c>
      <c r="P41" s="292">
        <f>VLOOKUP($B$4&amp;" "&amp;$B41,Actuals!$D$4:$AG$131,MONTH(P$6)+4,FALSE)</f>
        <v>0</v>
      </c>
      <c r="Q41" s="292">
        <f>VLOOKUP($B$4&amp;" "&amp;$B41,Actuals!$D$4:$AR$131,MONTH(Q$6)+16,FALSE)</f>
        <v>0</v>
      </c>
      <c r="R41" s="292">
        <f>VLOOKUP($B$4&amp;" "&amp;$B41,Actuals!$D$4:$AR$131,MONTH(R$6)+16,FALSE)</f>
        <v>0</v>
      </c>
      <c r="S41" s="292">
        <f>VLOOKUP($B$4&amp;" "&amp;$B41,Actuals!$D$4:$AR$131,MONTH(S$6)+16,FALSE)</f>
        <v>0</v>
      </c>
      <c r="T41" s="292">
        <f>VLOOKUP($B$4&amp;" "&amp;$B41,Actuals!$D$4:$AR$131,MONTH(T$6)+16,FALSE)</f>
        <v>0</v>
      </c>
      <c r="U41" s="292">
        <f>VLOOKUP($B$4&amp;" "&amp;$B41,Actuals!$D$4:$AR$131,MONTH(U$6)+16,FALSE)</f>
        <v>0</v>
      </c>
      <c r="V41" s="292" cm="1">
        <f t="array" ref="V41">_xlfn.XLOOKUP(
   $B$4&amp;" "&amp;$B41,
   Actuals!$D:$D,
   _xlfn.XLOOKUP(
      V$6,
      Actuals!$H$3:$BD$3,
      Actuals!$H:$BD
   )
)</f>
        <v>0</v>
      </c>
      <c r="W41" s="292" cm="1">
        <f t="array" ref="W41">_xlfn.XLOOKUP(
   $B$4&amp;" "&amp;$B41,
   Actuals!$D:$D,
   _xlfn.XLOOKUP(
      W$6,
      Actuals!$H$3:$BD$3,
      Actuals!$H:$BD
   )
)</f>
        <v>0</v>
      </c>
      <c r="X41" s="292" cm="1">
        <f t="array" ref="X41">_xlfn.XLOOKUP(
   $B$4&amp;" "&amp;$B41,
   Actuals!$D:$D,
   _xlfn.XLOOKUP(
      X$6,
      Actuals!$H$3:$BD$3,
      Actuals!$H:$BD
   )
)</f>
        <v>0</v>
      </c>
      <c r="Y41" s="292" cm="1">
        <f t="array" ref="Y41">_xlfn.XLOOKUP(
   $B$4&amp;" "&amp;$B41,
   Actuals!$D:$D,
   _xlfn.XLOOKUP(
      Y$6,
      Actuals!$H$3:$BD$3,
      Actuals!$H:$BD
   )
)</f>
        <v>0</v>
      </c>
      <c r="Z41" s="292" cm="1">
        <f t="array" ref="Z41">_xlfn.XLOOKUP(
   $B$4&amp;" "&amp;$B41,
   Actuals!$D:$D,
   _xlfn.XLOOKUP(
      Z$6,
      Actuals!$H$3:$BD$3,
      Actuals!$H:$BD
   )
)</f>
        <v>0</v>
      </c>
      <c r="AA41" s="292" cm="1">
        <f t="array" ref="AA41">_xlfn.XLOOKUP(
   $B$4&amp;" "&amp;$B41,
   Actuals!$D:$D,
   _xlfn.XLOOKUP(
      AA$6,
      Actuals!$H$3:$BD$3,
      Actuals!$H:$BD
   )
)</f>
        <v>0</v>
      </c>
      <c r="AB41" s="292" cm="1">
        <f t="array" ref="AB41">_xlfn.XLOOKUP(
   $B$4&amp;" "&amp;$B41,
   Actuals!$D:$D,
   _xlfn.XLOOKUP(
      AB$6,
      Actuals!$H$3:$BD$3,
      Actuals!$H:$BD
   )
)</f>
        <v>0</v>
      </c>
      <c r="AC41" s="292" cm="1">
        <f t="array" ref="AC41">_xlfn.XLOOKUP(
   $B$4&amp;" "&amp;$B41,
   Actuals!$D:$D,
   _xlfn.XLOOKUP(
      AC$6,
      Actuals!$H$3:$BD$3,
      Actuals!$H:$BD
   )
)</f>
        <v>6</v>
      </c>
      <c r="AD41" s="292" cm="1">
        <f t="array" ref="AD41">_xlfn.XLOOKUP(
   $B$4&amp;" "&amp;$B41,
   Actuals!$D:$D,
   _xlfn.XLOOKUP(
      AD$6,
      Actuals!$H$3:$BD$3,
      Actuals!$H:$BD
   )
)</f>
        <v>2</v>
      </c>
      <c r="AE41" s="292" cm="1">
        <f t="array" ref="AE41">_xlfn.XLOOKUP(
   $B$4&amp;" "&amp;$B41,
   Actuals!$D:$D,
   _xlfn.XLOOKUP(
      AE$6,
      Actuals!$H$3:$BD$3,
      Actuals!$H:$BD
   )
)</f>
        <v>0</v>
      </c>
      <c r="AF41" s="292" cm="1">
        <f t="array" ref="AF41">_xlfn.XLOOKUP(
   $B$4&amp;" "&amp;$B41,
   Actuals!$D:$D,
   _xlfn.XLOOKUP(
      AF$6,
      Actuals!$H$3:$BD$3,
      Actuals!$H:$BD
   )
)</f>
        <v>0</v>
      </c>
      <c r="AG41" s="292" cm="1">
        <f t="array" ref="AG41">_xlfn.XLOOKUP(
   $B$4&amp;" "&amp;$B41,
   Actuals!$D:$D,
   _xlfn.XLOOKUP(
      AG$6,
      Actuals!$H$3:$BD$3,
      Actuals!$H:$BD
   )
)</f>
        <v>0</v>
      </c>
      <c r="AH41" s="292" cm="1">
        <f t="array" ref="AH41">_xlfn.XLOOKUP(
   $B$4&amp;" "&amp;$B41,
   Actuals!$D:$D,
   _xlfn.XLOOKUP(
      AH$6,
      Actuals!$H$3:$BD$3,
      Actuals!$H:$BD
   )
)</f>
        <v>0</v>
      </c>
      <c r="AI41" s="292" cm="1">
        <f t="array" ref="AI41">_xlfn.XLOOKUP(
   $B$4&amp;" "&amp;$B41,
   Actuals!$D:$D,
   _xlfn.XLOOKUP(
      AI$6,
      Actuals!$H$3:$BD$3,
      Actuals!$H:$BD
   )
)</f>
        <v>0</v>
      </c>
      <c r="AJ41" s="292" cm="1">
        <f t="array" ref="AJ41">_xlfn.XLOOKUP(
   $B$4&amp;" "&amp;$B41,
   Actuals!$D:$D,
   _xlfn.XLOOKUP(
      AJ$6,
      Actuals!$H$3:$BD$3,
      Actuals!$H:$BD
   )
)</f>
        <v>0</v>
      </c>
      <c r="AK41" s="292" cm="1">
        <f t="array" ref="AK41">_xlfn.XLOOKUP(
   $B$4&amp;" "&amp;$B41,
   Actuals!$D:$D,
   _xlfn.XLOOKUP(
      AK$6,
      Actuals!$H$3:$BD$3,
      Actuals!$H:$BD
   )
)</f>
        <v>0</v>
      </c>
      <c r="AL41" s="292" cm="1">
        <f t="array" ref="AL41">_xlfn.XLOOKUP(
   $B$4&amp;" "&amp;$B41,
   Actuals!$D:$D,
   _xlfn.XLOOKUP(
      AL$6,
      Actuals!$H$3:$BD$3,
      Actuals!$H:$BD
   )
)</f>
        <v>1</v>
      </c>
      <c r="AM41" s="292" cm="1">
        <f t="array" ref="AM41">_xlfn.XLOOKUP(
   $B$4&amp;" "&amp;$B41,
   Actuals!$D:$D,
   _xlfn.XLOOKUP(
      AM$6,
      Actuals!$H$3:$BD$3,
      Actuals!$H:$BD
   )
)</f>
        <v>0</v>
      </c>
      <c r="AN41" s="292" cm="1">
        <f t="array" ref="AN41">_xlfn.XLOOKUP(
   $B$4&amp;" "&amp;$B41,
   Actuals!$D:$D,
   _xlfn.XLOOKUP(
      AN$6,
      Actuals!$H$3:$BD$3,
      Actuals!$H:$BD
   )
)</f>
        <v>1</v>
      </c>
      <c r="AO41" s="292" cm="1">
        <f t="array" ref="AO41">_xlfn.XLOOKUP(
   $B$4&amp;" "&amp;$B41,
   Actuals!$D:$D,
   _xlfn.XLOOKUP(
      AO$6,
      Actuals!$H$3:$BD$3,
      Actuals!$H:$BD
   )
)</f>
        <v>0</v>
      </c>
      <c r="AP41" s="292" cm="1">
        <f t="array" ref="AP41">_xlfn.XLOOKUP(
   $B$4&amp;" "&amp;$B41,
   Actuals!$D:$D,
   _xlfn.XLOOKUP(
      AP$6,
      Actuals!$H$3:$BD$3,
      Actuals!$H:$BD
   )
)</f>
        <v>0</v>
      </c>
      <c r="AQ41" s="292" cm="1">
        <f t="array" ref="AQ41">_xlfn.XLOOKUP(
   $B$4&amp;" "&amp;$B41,
   Actuals!$D:$D,
   _xlfn.XLOOKUP(
      AQ$6,
      Actuals!$H$3:$BD$3,
      Actuals!$H:$BD
   )
)</f>
        <v>0</v>
      </c>
      <c r="AR41" s="292" cm="1">
        <f t="array" ref="AR41">_xlfn.XLOOKUP(
   $B$4&amp;" "&amp;$B41,
   Actuals!$D:$D,
   _xlfn.XLOOKUP(
      AR$6,
      Actuals!$H$3:$BD$3,
      Actuals!$H:$BD
   )
)</f>
        <v>0</v>
      </c>
      <c r="AS41" s="292" cm="1">
        <f t="array" ref="AS41">_xlfn.XLOOKUP(
   $B$4&amp;" "&amp;$B41,
   Actuals!$D:$D,
   _xlfn.XLOOKUP(
      AS$6,
      Actuals!$H$3:$BD$3,
      Actuals!$H:$BD
   )
)</f>
        <v>0</v>
      </c>
      <c r="AT41" s="292" cm="1">
        <f t="array" ref="AT41">_xlfn.XLOOKUP(
   $B$4&amp;" "&amp;$B41,
   Actuals!$D:$D,
   _xlfn.XLOOKUP(
      AT$6,
      Actuals!$H$3:$BD$3,
      Actuals!$H:$BD
   )
)</f>
        <v>0</v>
      </c>
      <c r="AU41" s="292" cm="1">
        <f t="array" ref="AU41">_xlfn.XLOOKUP(
   $B$4&amp;" "&amp;$B41,
   Actuals!$D:$D,
   _xlfn.XLOOKUP(
      AU$6,
      Actuals!$H$3:$BD$3,
      Actuals!$H:$BD
   )
)</f>
        <v>0</v>
      </c>
      <c r="AV41" s="292" cm="1">
        <f t="array" ref="AV41">_xlfn.XLOOKUP(
   $B$4&amp;" "&amp;$B41,
   Actuals!$D:$D,
   _xlfn.XLOOKUP(
      AV$6,
      Actuals!$H$3:$BD$3,
      Actuals!$H:$BD
   )
)</f>
        <v>0</v>
      </c>
      <c r="AW41" s="292" cm="1">
        <f t="array" ref="AW41">_xlfn.XLOOKUP(
   $B$4&amp;" "&amp;$B41,
   Actuals!$D:$D,
   _xlfn.XLOOKUP(
      AW$6,
      Actuals!$H$3:$BD$3,
      Actuals!$H:$BD
   )
)</f>
        <v>0</v>
      </c>
      <c r="AX41" s="292" cm="1">
        <f t="array" ref="AX41">_xlfn.XLOOKUP(
   $B$4&amp;" "&amp;$B41,
   Actuals!$D:$D,
   _xlfn.XLOOKUP(
      AX$6,
      Actuals!$H$3:$BD$3,
      Actuals!$H:$BD
   )
)</f>
        <v>0</v>
      </c>
      <c r="AY41" s="292" cm="1">
        <f t="array" ref="AY41">_xlfn.XLOOKUP(
   $B$4&amp;" "&amp;$B41,
   Actuals!$D:$D,
   _xlfn.XLOOKUP(
      AY$6,
      Actuals!$H$3:$BD$3,
      Actuals!$H:$BD
   )
)</f>
        <v>0</v>
      </c>
      <c r="AZ41" s="292" cm="1">
        <f t="array" ref="AZ41">_xlfn.XLOOKUP(
   $B$4&amp;" "&amp;$B41,
   Actuals!$D:$D,
   _xlfn.XLOOKUP(
      AZ$6,
      Actuals!$H$3:$BD$3,
      Actuals!$H:$BD
   )
)</f>
        <v>0</v>
      </c>
      <c r="BA41" s="292"/>
      <c r="BB41" s="292" cm="1">
        <f t="array" ref="BB41">_xlfn.XLOOKUP(
   $B$4&amp;" "&amp;$B41,
   Actuals!$D:$D,
   _xlfn.XLOOKUP(
      BB$7,
      Actuals!$H$3:$BM$3,
      Actuals!$H:$BM
   )
)</f>
        <v>0</v>
      </c>
      <c r="BC41" s="292">
        <f>VLOOKUP($B$4&amp;" "&amp;$B41,Budget!$AG$4:$AL$132,$BB$5+1,FALSE)</f>
        <v>0</v>
      </c>
      <c r="BD41" s="292">
        <f>BB41-BC41</f>
        <v>0</v>
      </c>
      <c r="BE41" s="292"/>
      <c r="BF41" s="292" cm="1">
        <f t="array" ref="BF41">_xlfn.XLOOKUP(
   $B$4&amp;" "&amp;$B41,
   Actuals!$D:$D,
   _xlfn.XLOOKUP(
      BF$7,
      Actuals!$H$3:$BM$3,
      Actuals!$H:$BM
   )
)</f>
        <v>0</v>
      </c>
      <c r="BG41" s="292">
        <f>VLOOKUP($B$4&amp;" "&amp;$B41,Budget!$AG$4:$AL$132,BF$5+1,FALSE)</f>
        <v>0</v>
      </c>
      <c r="BH41" s="292">
        <f>BF41-BG41</f>
        <v>0</v>
      </c>
      <c r="BI41" s="292"/>
      <c r="BJ41" s="292" cm="1">
        <f t="array" ref="BJ41">_xlfn.XLOOKUP(
   $B$4&amp;" "&amp;$B41,
   Actuals!$D:$D,
   _xlfn.XLOOKUP(
      BJ$7,
      Actuals!$H$3:$BM$3,
      Actuals!$H:$BM
   )
)</f>
        <v>0</v>
      </c>
      <c r="BK41" s="292">
        <f>VLOOKUP($B$4&amp;" "&amp;$B41,Budget!$AG$4:$AL$132,BJ$5+1,FALSE)</f>
        <v>0</v>
      </c>
      <c r="BL41" s="292">
        <f>BJ41-BK41</f>
        <v>0</v>
      </c>
      <c r="BM41" s="292"/>
      <c r="BN41" s="292" cm="1">
        <f t="array" ref="BN41">_xlfn.XLOOKUP(
   $B$4&amp;" "&amp;$B41,
   Actuals!$D:$D,
   _xlfn.XLOOKUP(
      BN$7,
      Actuals!$H$3:$BM$3,
      Actuals!$H:$BM
   )
)</f>
        <v>0</v>
      </c>
      <c r="BO41" s="292">
        <f>VLOOKUP($B$4&amp;" "&amp;$B41,Budget!$AG$4:$AL$132,BN$5+1,FALSE)</f>
        <v>0</v>
      </c>
      <c r="BP41" s="292"/>
      <c r="BQ41" s="292"/>
      <c r="BR41" s="292" cm="1">
        <f t="array" aca="1" ref="BR41" ca="1">_xlfn.XLOOKUP(
   $B$4&amp;" "&amp;$B41,
   Actuals!$D:$D,
   _xlfn.XLOOKUP(
      BR$6,
      Actuals!$H$3:$BM$3,
      Actuals!$H:$BM
   )
)</f>
        <v>0</v>
      </c>
      <c r="BS41" s="292">
        <f ca="1">VLOOKUP($B$4&amp;" "&amp;$B41,Budget!$AG$4:$AL$132,6,FALSE)</f>
        <v>0</v>
      </c>
      <c r="BT41" s="292">
        <f ca="1">BR41-BS41</f>
        <v>0</v>
      </c>
      <c r="BU41" s="292"/>
      <c r="BV41" s="292" cm="1">
        <f t="array" ref="BV41">_xlfn.XLOOKUP(
   $B$4&amp;" "&amp;$B41,
   Actuals!$D:$D,
   _xlfn.XLOOKUP(
      BV$6,
      Actuals!$H$3:$BM$3,
      Actuals!$H:$BM
   )
)</f>
        <v>4</v>
      </c>
    </row>
    <row r="42" spans="2:74" outlineLevel="1">
      <c r="B42" s="26" t="s">
        <v>95</v>
      </c>
      <c r="C42" s="139" t="s">
        <v>49</v>
      </c>
      <c r="D42" s="171" t="str">
        <f>VLOOKUP($B$4&amp;" "&amp;$B42,Actuals!$D$4:$AG$131,3,FALSE)</f>
        <v>#</v>
      </c>
      <c r="E42" s="292">
        <f>VLOOKUP($B$4&amp;" "&amp;$B42,Actuals!$D$4:$AG$131,MONTH(E$6)+4,FALSE)</f>
        <v>2</v>
      </c>
      <c r="F42" s="292">
        <f>VLOOKUP($B$4&amp;" "&amp;$B42,Actuals!$D$4:$AG$131,MONTH(F$6)+4,FALSE)</f>
        <v>0</v>
      </c>
      <c r="G42" s="292">
        <f>VLOOKUP($B$4&amp;" "&amp;$B42,Actuals!$D$4:$AG$131,MONTH(G$6)+4,FALSE)</f>
        <v>1</v>
      </c>
      <c r="H42" s="292">
        <f>VLOOKUP($B$4&amp;" "&amp;$B42,Actuals!$D$4:$AG$131,MONTH(H$6)+4,FALSE)</f>
        <v>0</v>
      </c>
      <c r="I42" s="292">
        <f>VLOOKUP($B$4&amp;" "&amp;$B42,Actuals!$D$4:$AG$131,MONTH(I$6)+4,FALSE)</f>
        <v>0</v>
      </c>
      <c r="J42" s="292">
        <f>VLOOKUP($B$4&amp;" "&amp;$B42,Actuals!$D$4:$AG$131,MONTH(J$6)+4,FALSE)</f>
        <v>0</v>
      </c>
      <c r="K42" s="292">
        <f>VLOOKUP($B$4&amp;" "&amp;$B42,Actuals!$D$4:$AG$131,MONTH(K$6)+4,FALSE)</f>
        <v>0</v>
      </c>
      <c r="L42" s="292">
        <f>VLOOKUP($B$4&amp;" "&amp;$B42,Actuals!$D$4:$AG$131,MONTH(L$6)+4,FALSE)</f>
        <v>0</v>
      </c>
      <c r="M42" s="292">
        <f>VLOOKUP($B$4&amp;" "&amp;$B42,Actuals!$D$4:$AG$131,MONTH(M$6)+4,FALSE)</f>
        <v>0</v>
      </c>
      <c r="N42" s="292">
        <f>VLOOKUP($B$4&amp;" "&amp;$B42,Actuals!$D$4:$AG$131,MONTH(N$6)+4,FALSE)</f>
        <v>0</v>
      </c>
      <c r="O42" s="292">
        <f>VLOOKUP($B$4&amp;" "&amp;$B42,Actuals!$D$4:$AG$131,MONTH(O$6)+4,FALSE)</f>
        <v>0</v>
      </c>
      <c r="P42" s="292">
        <f>VLOOKUP($B$4&amp;" "&amp;$B42,Actuals!$D$4:$AG$131,MONTH(P$6)+4,FALSE)</f>
        <v>0</v>
      </c>
      <c r="Q42" s="292">
        <f>VLOOKUP($B$4&amp;" "&amp;$B42,Actuals!$D$4:$AR$131,MONTH(Q$6)+16,FALSE)</f>
        <v>0</v>
      </c>
      <c r="R42" s="292">
        <f>VLOOKUP($B$4&amp;" "&amp;$B42,Actuals!$D$4:$AR$131,MONTH(R$6)+16,FALSE)</f>
        <v>0</v>
      </c>
      <c r="S42" s="292">
        <f>VLOOKUP($B$4&amp;" "&amp;$B42,Actuals!$D$4:$AR$131,MONTH(S$6)+16,FALSE)</f>
        <v>0</v>
      </c>
      <c r="T42" s="292">
        <f>VLOOKUP($B$4&amp;" "&amp;$B42,Actuals!$D$4:$AR$131,MONTH(T$6)+16,FALSE)</f>
        <v>0</v>
      </c>
      <c r="U42" s="292">
        <f>VLOOKUP($B$4&amp;" "&amp;$B42,Actuals!$D$4:$AR$131,MONTH(U$6)+16,FALSE)</f>
        <v>0</v>
      </c>
      <c r="V42" s="292" cm="1">
        <f t="array" ref="V42">_xlfn.XLOOKUP(
   $B$4&amp;" "&amp;$B42,
   Actuals!$D:$D,
   _xlfn.XLOOKUP(
      V$6,
      Actuals!$H$3:$BD$3,
      Actuals!$H:$BD
   )
)</f>
        <v>0</v>
      </c>
      <c r="W42" s="292" cm="1">
        <f t="array" ref="W42">_xlfn.XLOOKUP(
   $B$4&amp;" "&amp;$B42,
   Actuals!$D:$D,
   _xlfn.XLOOKUP(
      W$6,
      Actuals!$H$3:$BD$3,
      Actuals!$H:$BD
   )
)</f>
        <v>0</v>
      </c>
      <c r="X42" s="292" cm="1">
        <f t="array" ref="X42">_xlfn.XLOOKUP(
   $B$4&amp;" "&amp;$B42,
   Actuals!$D:$D,
   _xlfn.XLOOKUP(
      X$6,
      Actuals!$H$3:$BD$3,
      Actuals!$H:$BD
   )
)</f>
        <v>0</v>
      </c>
      <c r="Y42" s="292" cm="1">
        <f t="array" ref="Y42">_xlfn.XLOOKUP(
   $B$4&amp;" "&amp;$B42,
   Actuals!$D:$D,
   _xlfn.XLOOKUP(
      Y$6,
      Actuals!$H$3:$BD$3,
      Actuals!$H:$BD
   )
)</f>
        <v>0</v>
      </c>
      <c r="Z42" s="292" cm="1">
        <f t="array" ref="Z42">_xlfn.XLOOKUP(
   $B$4&amp;" "&amp;$B42,
   Actuals!$D:$D,
   _xlfn.XLOOKUP(
      Z$6,
      Actuals!$H$3:$BD$3,
      Actuals!$H:$BD
   )
)</f>
        <v>0</v>
      </c>
      <c r="AA42" s="292" cm="1">
        <f t="array" ref="AA42">_xlfn.XLOOKUP(
   $B$4&amp;" "&amp;$B42,
   Actuals!$D:$D,
   _xlfn.XLOOKUP(
      AA$6,
      Actuals!$H$3:$BD$3,
      Actuals!$H:$BD
   )
)</f>
        <v>0</v>
      </c>
      <c r="AB42" s="292" cm="1">
        <f t="array" ref="AB42">_xlfn.XLOOKUP(
   $B$4&amp;" "&amp;$B42,
   Actuals!$D:$D,
   _xlfn.XLOOKUP(
      AB$6,
      Actuals!$H$3:$BD$3,
      Actuals!$H:$BD
   )
)</f>
        <v>0</v>
      </c>
      <c r="AC42" s="292" cm="1">
        <f t="array" ref="AC42">_xlfn.XLOOKUP(
   $B$4&amp;" "&amp;$B42,
   Actuals!$D:$D,
   _xlfn.XLOOKUP(
      AC$6,
      Actuals!$H$3:$BD$3,
      Actuals!$H:$BD
   )
)</f>
        <v>1</v>
      </c>
      <c r="AD42" s="292" cm="1">
        <f t="array" ref="AD42">_xlfn.XLOOKUP(
   $B$4&amp;" "&amp;$B42,
   Actuals!$D:$D,
   _xlfn.XLOOKUP(
      AD$6,
      Actuals!$H$3:$BD$3,
      Actuals!$H:$BD
   )
)</f>
        <v>0</v>
      </c>
      <c r="AE42" s="292" cm="1">
        <f t="array" ref="AE42">_xlfn.XLOOKUP(
   $B$4&amp;" "&amp;$B42,
   Actuals!$D:$D,
   _xlfn.XLOOKUP(
      AE$6,
      Actuals!$H$3:$BD$3,
      Actuals!$H:$BD
   )
)</f>
        <v>0</v>
      </c>
      <c r="AF42" s="292" cm="1">
        <f t="array" ref="AF42">_xlfn.XLOOKUP(
   $B$4&amp;" "&amp;$B42,
   Actuals!$D:$D,
   _xlfn.XLOOKUP(
      AF$6,
      Actuals!$H$3:$BD$3,
      Actuals!$H:$BD
   )
)</f>
        <v>0</v>
      </c>
      <c r="AG42" s="292" cm="1">
        <f t="array" ref="AG42">_xlfn.XLOOKUP(
   $B$4&amp;" "&amp;$B42,
   Actuals!$D:$D,
   _xlfn.XLOOKUP(
      AG$6,
      Actuals!$H$3:$BD$3,
      Actuals!$H:$BD
   )
)</f>
        <v>0</v>
      </c>
      <c r="AH42" s="292" cm="1">
        <f t="array" ref="AH42">_xlfn.XLOOKUP(
   $B$4&amp;" "&amp;$B42,
   Actuals!$D:$D,
   _xlfn.XLOOKUP(
      AH$6,
      Actuals!$H$3:$BD$3,
      Actuals!$H:$BD
   )
)</f>
        <v>1</v>
      </c>
      <c r="AI42" s="292" cm="1">
        <f t="array" ref="AI42">_xlfn.XLOOKUP(
   $B$4&amp;" "&amp;$B42,
   Actuals!$D:$D,
   _xlfn.XLOOKUP(
      AI$6,
      Actuals!$H$3:$BD$3,
      Actuals!$H:$BD
   )
)</f>
        <v>0</v>
      </c>
      <c r="AJ42" s="292" cm="1">
        <f t="array" ref="AJ42">_xlfn.XLOOKUP(
   $B$4&amp;" "&amp;$B42,
   Actuals!$D:$D,
   _xlfn.XLOOKUP(
      AJ$6,
      Actuals!$H$3:$BD$3,
      Actuals!$H:$BD
   )
)</f>
        <v>0</v>
      </c>
      <c r="AK42" s="292" cm="1">
        <f t="array" ref="AK42">_xlfn.XLOOKUP(
   $B$4&amp;" "&amp;$B42,
   Actuals!$D:$D,
   _xlfn.XLOOKUP(
      AK$6,
      Actuals!$H$3:$BD$3,
      Actuals!$H:$BD
   )
)</f>
        <v>0</v>
      </c>
      <c r="AL42" s="292" cm="1">
        <f t="array" ref="AL42">_xlfn.XLOOKUP(
   $B$4&amp;" "&amp;$B42,
   Actuals!$D:$D,
   _xlfn.XLOOKUP(
      AL$6,
      Actuals!$H$3:$BD$3,
      Actuals!$H:$BD
   )
)</f>
        <v>0</v>
      </c>
      <c r="AM42" s="292" cm="1">
        <f t="array" ref="AM42">_xlfn.XLOOKUP(
   $B$4&amp;" "&amp;$B42,
   Actuals!$D:$D,
   _xlfn.XLOOKUP(
      AM$6,
      Actuals!$H$3:$BD$3,
      Actuals!$H:$BD
   )
)</f>
        <v>0</v>
      </c>
      <c r="AN42" s="292" cm="1">
        <f t="array" ref="AN42">_xlfn.XLOOKUP(
   $B$4&amp;" "&amp;$B42,
   Actuals!$D:$D,
   _xlfn.XLOOKUP(
      AN$6,
      Actuals!$H$3:$BD$3,
      Actuals!$H:$BD
   )
)</f>
        <v>0</v>
      </c>
      <c r="AO42" s="292" cm="1">
        <f t="array" ref="AO42">_xlfn.XLOOKUP(
   $B$4&amp;" "&amp;$B42,
   Actuals!$D:$D,
   _xlfn.XLOOKUP(
      AO$6,
      Actuals!$H$3:$BD$3,
      Actuals!$H:$BD
   )
)</f>
        <v>0</v>
      </c>
      <c r="AP42" s="292" cm="1">
        <f t="array" ref="AP42">_xlfn.XLOOKUP(
   $B$4&amp;" "&amp;$B42,
   Actuals!$D:$D,
   _xlfn.XLOOKUP(
      AP$6,
      Actuals!$H$3:$BD$3,
      Actuals!$H:$BD
   )
)</f>
        <v>0</v>
      </c>
      <c r="AQ42" s="292" cm="1">
        <f t="array" ref="AQ42">_xlfn.XLOOKUP(
   $B$4&amp;" "&amp;$B42,
   Actuals!$D:$D,
   _xlfn.XLOOKUP(
      AQ$6,
      Actuals!$H$3:$BD$3,
      Actuals!$H:$BD
   )
)</f>
        <v>0</v>
      </c>
      <c r="AR42" s="292" cm="1">
        <f t="array" ref="AR42">_xlfn.XLOOKUP(
   $B$4&amp;" "&amp;$B42,
   Actuals!$D:$D,
   _xlfn.XLOOKUP(
      AR$6,
      Actuals!$H$3:$BD$3,
      Actuals!$H:$BD
   )
)</f>
        <v>0</v>
      </c>
      <c r="AS42" s="292" cm="1">
        <f t="array" ref="AS42">_xlfn.XLOOKUP(
   $B$4&amp;" "&amp;$B42,
   Actuals!$D:$D,
   _xlfn.XLOOKUP(
      AS$6,
      Actuals!$H$3:$BD$3,
      Actuals!$H:$BD
   )
)</f>
        <v>0</v>
      </c>
      <c r="AT42" s="292" cm="1">
        <f t="array" ref="AT42">_xlfn.XLOOKUP(
   $B$4&amp;" "&amp;$B42,
   Actuals!$D:$D,
   _xlfn.XLOOKUP(
      AT$6,
      Actuals!$H$3:$BD$3,
      Actuals!$H:$BD
   )
)</f>
        <v>0</v>
      </c>
      <c r="AU42" s="292" cm="1">
        <f t="array" ref="AU42">_xlfn.XLOOKUP(
   $B$4&amp;" "&amp;$B42,
   Actuals!$D:$D,
   _xlfn.XLOOKUP(
      AU$6,
      Actuals!$H$3:$BD$3,
      Actuals!$H:$BD
   )
)</f>
        <v>0</v>
      </c>
      <c r="AV42" s="292" cm="1">
        <f t="array" ref="AV42">_xlfn.XLOOKUP(
   $B$4&amp;" "&amp;$B42,
   Actuals!$D:$D,
   _xlfn.XLOOKUP(
      AV$6,
      Actuals!$H$3:$BD$3,
      Actuals!$H:$BD
   )
)</f>
        <v>0</v>
      </c>
      <c r="AW42" s="292" cm="1">
        <f t="array" ref="AW42">_xlfn.XLOOKUP(
   $B$4&amp;" "&amp;$B42,
   Actuals!$D:$D,
   _xlfn.XLOOKUP(
      AW$6,
      Actuals!$H$3:$BD$3,
      Actuals!$H:$BD
   )
)</f>
        <v>0</v>
      </c>
      <c r="AX42" s="292" cm="1">
        <f t="array" ref="AX42">_xlfn.XLOOKUP(
   $B$4&amp;" "&amp;$B42,
   Actuals!$D:$D,
   _xlfn.XLOOKUP(
      AX$6,
      Actuals!$H$3:$BD$3,
      Actuals!$H:$BD
   )
)</f>
        <v>0</v>
      </c>
      <c r="AY42" s="292" cm="1">
        <f t="array" ref="AY42">_xlfn.XLOOKUP(
   $B$4&amp;" "&amp;$B42,
   Actuals!$D:$D,
   _xlfn.XLOOKUP(
      AY$6,
      Actuals!$H$3:$BD$3,
      Actuals!$H:$BD
   )
)</f>
        <v>0</v>
      </c>
      <c r="AZ42" s="292" cm="1">
        <f t="array" ref="AZ42">_xlfn.XLOOKUP(
   $B$4&amp;" "&amp;$B42,
   Actuals!$D:$D,
   _xlfn.XLOOKUP(
      AZ$6,
      Actuals!$H$3:$BD$3,
      Actuals!$H:$BD
   )
)</f>
        <v>0</v>
      </c>
      <c r="BA42" s="292"/>
      <c r="BB42" s="292" cm="1">
        <f t="array" ref="BB42">_xlfn.XLOOKUP(
   $B$4&amp;" "&amp;$B42,
   Actuals!$D:$D,
   _xlfn.XLOOKUP(
      BB$7,
      Actuals!$H$3:$BM$3,
      Actuals!$H:$BM
   )
)</f>
        <v>0</v>
      </c>
      <c r="BC42" s="292">
        <f>VLOOKUP($B$4&amp;" "&amp;$B42,Budget!$AG$4:$AL$132,$BB$5+1,FALSE)</f>
        <v>0</v>
      </c>
      <c r="BD42" s="292">
        <f>BB42-BC42</f>
        <v>0</v>
      </c>
      <c r="BE42" s="292"/>
      <c r="BF42" s="292" cm="1">
        <f t="array" ref="BF42">_xlfn.XLOOKUP(
   $B$4&amp;" "&amp;$B42,
   Actuals!$D:$D,
   _xlfn.XLOOKUP(
      BF$7,
      Actuals!$H$3:$BM$3,
      Actuals!$H:$BM
   )
)</f>
        <v>0</v>
      </c>
      <c r="BG42" s="292">
        <f>VLOOKUP($B$4&amp;" "&amp;$B42,Budget!$AG$4:$AL$132,BF$5+1,FALSE)</f>
        <v>0</v>
      </c>
      <c r="BH42" s="292">
        <f>BF42-BG42</f>
        <v>0</v>
      </c>
      <c r="BI42" s="292"/>
      <c r="BJ42" s="292" cm="1">
        <f t="array" ref="BJ42">_xlfn.XLOOKUP(
   $B$4&amp;" "&amp;$B42,
   Actuals!$D:$D,
   _xlfn.XLOOKUP(
      BJ$7,
      Actuals!$H$3:$BM$3,
      Actuals!$H:$BM
   )
)</f>
        <v>0</v>
      </c>
      <c r="BK42" s="292">
        <f>VLOOKUP($B$4&amp;" "&amp;$B42,Budget!$AG$4:$AL$132,BJ$5+1,FALSE)</f>
        <v>0</v>
      </c>
      <c r="BL42" s="292">
        <f>BJ42-BK42</f>
        <v>0</v>
      </c>
      <c r="BM42" s="292"/>
      <c r="BN42" s="292" cm="1">
        <f t="array" ref="BN42">_xlfn.XLOOKUP(
   $B$4&amp;" "&amp;$B42,
   Actuals!$D:$D,
   _xlfn.XLOOKUP(
      BN$7,
      Actuals!$H$3:$BM$3,
      Actuals!$H:$BM
   )
)</f>
        <v>0</v>
      </c>
      <c r="BO42" s="292">
        <f>VLOOKUP($B$4&amp;" "&amp;$B42,Budget!$AG$4:$AL$132,BN$5+1,FALSE)</f>
        <v>0</v>
      </c>
      <c r="BP42" s="292"/>
      <c r="BQ42" s="292"/>
      <c r="BR42" s="292" cm="1">
        <f t="array" aca="1" ref="BR42" ca="1">_xlfn.XLOOKUP(
   $B$4&amp;" "&amp;$B42,
   Actuals!$D:$D,
   _xlfn.XLOOKUP(
      BR$6,
      Actuals!$H$3:$BM$3,
      Actuals!$H:$BM
   )
)</f>
        <v>0</v>
      </c>
      <c r="BS42" s="292">
        <f ca="1">VLOOKUP($B$4&amp;" "&amp;$B42,Budget!$AG$4:$AL$132,6,FALSE)</f>
        <v>0</v>
      </c>
      <c r="BT42" s="292">
        <f ca="1">BR42-BS42</f>
        <v>0</v>
      </c>
      <c r="BU42" s="292"/>
      <c r="BV42" s="292" cm="1">
        <f t="array" ref="BV42">_xlfn.XLOOKUP(
   $B$4&amp;" "&amp;$B42,
   Actuals!$D:$D,
   _xlfn.XLOOKUP(
      BV$6,
      Actuals!$H$3:$BM$3,
      Actuals!$H:$BM
   )
)</f>
        <v>1</v>
      </c>
    </row>
    <row r="43" spans="2:74" outlineLevel="1">
      <c r="B43" s="29" t="s">
        <v>96</v>
      </c>
      <c r="C43" s="142" t="s">
        <v>49</v>
      </c>
      <c r="D43" s="172" t="str">
        <f>VLOOKUP($B$4&amp;" "&amp;$B43,Actuals!$D$4:$AG$131,3,FALSE)</f>
        <v>#</v>
      </c>
      <c r="E43" s="293">
        <f>VLOOKUP($B$4&amp;" "&amp;$B43,Actuals!$D$4:$AG$131,MONTH(E$6)+4,FALSE)</f>
        <v>6</v>
      </c>
      <c r="F43" s="293">
        <f>VLOOKUP($B$4&amp;" "&amp;$B43,Actuals!$D$4:$AG$131,MONTH(F$6)+4,FALSE)</f>
        <v>10</v>
      </c>
      <c r="G43" s="293">
        <f>VLOOKUP($B$4&amp;" "&amp;$B43,Actuals!$D$4:$AG$131,MONTH(G$6)+4,FALSE)</f>
        <v>19</v>
      </c>
      <c r="H43" s="293">
        <f>VLOOKUP($B$4&amp;" "&amp;$B43,Actuals!$D$4:$AG$131,MONTH(H$6)+4,FALSE)</f>
        <v>2</v>
      </c>
      <c r="I43" s="293">
        <f>VLOOKUP($B$4&amp;" "&amp;$B43,Actuals!$D$4:$AG$131,MONTH(I$6)+4,FALSE)</f>
        <v>3</v>
      </c>
      <c r="J43" s="293">
        <f>VLOOKUP($B$4&amp;" "&amp;$B43,Actuals!$D$4:$AG$131,MONTH(J$6)+4,FALSE)</f>
        <v>11</v>
      </c>
      <c r="K43" s="293">
        <f>VLOOKUP($B$4&amp;" "&amp;$B43,Actuals!$D$4:$AG$131,MONTH(K$6)+4,FALSE)</f>
        <v>6</v>
      </c>
      <c r="L43" s="293">
        <f>VLOOKUP($B$4&amp;" "&amp;$B43,Actuals!$D$4:$AG$131,MONTH(L$6)+4,FALSE)</f>
        <v>11</v>
      </c>
      <c r="M43" s="293">
        <f>VLOOKUP($B$4&amp;" "&amp;$B43,Actuals!$D$4:$AG$131,MONTH(M$6)+4,FALSE)</f>
        <v>6</v>
      </c>
      <c r="N43" s="293">
        <f>VLOOKUP($B$4&amp;" "&amp;$B43,Actuals!$D$4:$AG$131,MONTH(N$6)+4,FALSE)</f>
        <v>18</v>
      </c>
      <c r="O43" s="293">
        <f>VLOOKUP($B$4&amp;" "&amp;$B43,Actuals!$D$4:$AG$131,MONTH(O$6)+4,FALSE)</f>
        <v>0</v>
      </c>
      <c r="P43" s="293">
        <f>VLOOKUP($B$4&amp;" "&amp;$B43,Actuals!$D$4:$AG$131,MONTH(P$6)+4,FALSE)</f>
        <v>0</v>
      </c>
      <c r="Q43" s="293">
        <f>VLOOKUP($B$4&amp;" "&amp;$B43,Actuals!$D$4:$AR$131,MONTH(Q$6)+16,FALSE)</f>
        <v>0</v>
      </c>
      <c r="R43" s="293">
        <f>VLOOKUP($B$4&amp;" "&amp;$B43,Actuals!$D$4:$AR$131,MONTH(R$6)+16,FALSE)</f>
        <v>0</v>
      </c>
      <c r="S43" s="293">
        <f>VLOOKUP($B$4&amp;" "&amp;$B43,Actuals!$D$4:$AR$131,MONTH(S$6)+16,FALSE)</f>
        <v>0</v>
      </c>
      <c r="T43" s="293">
        <f>VLOOKUP($B$4&amp;" "&amp;$B43,Actuals!$D$4:$AR$131,MONTH(T$6)+16,FALSE)</f>
        <v>0</v>
      </c>
      <c r="U43" s="293">
        <f>VLOOKUP($B$4&amp;" "&amp;$B43,Actuals!$D$4:$AR$131,MONTH(U$6)+16,FALSE)</f>
        <v>0</v>
      </c>
      <c r="V43" s="293" cm="1">
        <f t="array" ref="V43">_xlfn.XLOOKUP(
   $B$4&amp;" "&amp;$B43,
   Actuals!$D:$D,
   _xlfn.XLOOKUP(
      V$6,
      Actuals!$H$3:$BD$3,
      Actuals!$H:$BD
   )
)</f>
        <v>0</v>
      </c>
      <c r="W43" s="293" cm="1">
        <f t="array" ref="W43">_xlfn.XLOOKUP(
   $B$4&amp;" "&amp;$B43,
   Actuals!$D:$D,
   _xlfn.XLOOKUP(
      W$6,
      Actuals!$H$3:$BD$3,
      Actuals!$H:$BD
   )
)</f>
        <v>0</v>
      </c>
      <c r="X43" s="293" cm="1">
        <f t="array" ref="X43">_xlfn.XLOOKUP(
   $B$4&amp;" "&amp;$B43,
   Actuals!$D:$D,
   _xlfn.XLOOKUP(
      X$6,
      Actuals!$H$3:$BD$3,
      Actuals!$H:$BD
   )
)</f>
        <v>0</v>
      </c>
      <c r="Y43" s="293" cm="1">
        <f t="array" ref="Y43">_xlfn.XLOOKUP(
   $B$4&amp;" "&amp;$B43,
   Actuals!$D:$D,
   _xlfn.XLOOKUP(
      Y$6,
      Actuals!$H$3:$BD$3,
      Actuals!$H:$BD
   )
)</f>
        <v>0</v>
      </c>
      <c r="Z43" s="293" cm="1">
        <f t="array" ref="Z43">_xlfn.XLOOKUP(
   $B$4&amp;" "&amp;$B43,
   Actuals!$D:$D,
   _xlfn.XLOOKUP(
      Z$6,
      Actuals!$H$3:$BD$3,
      Actuals!$H:$BD
   )
)</f>
        <v>0</v>
      </c>
      <c r="AA43" s="293" cm="1">
        <f t="array" ref="AA43">_xlfn.XLOOKUP(
   $B$4&amp;" "&amp;$B43,
   Actuals!$D:$D,
   _xlfn.XLOOKUP(
      AA$6,
      Actuals!$H$3:$BD$3,
      Actuals!$H:$BD
   )
)</f>
        <v>0</v>
      </c>
      <c r="AB43" s="293" cm="1">
        <f t="array" ref="AB43">_xlfn.XLOOKUP(
   $B$4&amp;" "&amp;$B43,
   Actuals!$D:$D,
   _xlfn.XLOOKUP(
      AB$6,
      Actuals!$H$3:$BD$3,
      Actuals!$H:$BD
   )
)</f>
        <v>0</v>
      </c>
      <c r="AC43" s="293" cm="1">
        <f t="array" ref="AC43">_xlfn.XLOOKUP(
   $B$4&amp;" "&amp;$B43,
   Actuals!$D:$D,
   _xlfn.XLOOKUP(
      AC$6,
      Actuals!$H$3:$BD$3,
      Actuals!$H:$BD
   )
)</f>
        <v>2</v>
      </c>
      <c r="AD43" s="293" cm="1">
        <f t="array" ref="AD43">_xlfn.XLOOKUP(
   $B$4&amp;" "&amp;$B43,
   Actuals!$D:$D,
   _xlfn.XLOOKUP(
      AD$6,
      Actuals!$H$3:$BD$3,
      Actuals!$H:$BD
   )
)</f>
        <v>3</v>
      </c>
      <c r="AE43" s="293" cm="1">
        <f t="array" ref="AE43">_xlfn.XLOOKUP(
   $B$4&amp;" "&amp;$B43,
   Actuals!$D:$D,
   _xlfn.XLOOKUP(
      AE$6,
      Actuals!$H$3:$BD$3,
      Actuals!$H:$BD
   )
)</f>
        <v>3</v>
      </c>
      <c r="AF43" s="293" cm="1">
        <f t="array" ref="AF43">_xlfn.XLOOKUP(
   $B$4&amp;" "&amp;$B43,
   Actuals!$D:$D,
   _xlfn.XLOOKUP(
      AF$6,
      Actuals!$H$3:$BD$3,
      Actuals!$H:$BD
   )
)</f>
        <v>4</v>
      </c>
      <c r="AG43" s="293" cm="1">
        <f t="array" ref="AG43">_xlfn.XLOOKUP(
   $B$4&amp;" "&amp;$B43,
   Actuals!$D:$D,
   _xlfn.XLOOKUP(
      AG$6,
      Actuals!$H$3:$BD$3,
      Actuals!$H:$BD
   )
)</f>
        <v>3</v>
      </c>
      <c r="AH43" s="293" cm="1">
        <f t="array" ref="AH43">_xlfn.XLOOKUP(
   $B$4&amp;" "&amp;$B43,
   Actuals!$D:$D,
   _xlfn.XLOOKUP(
      AH$6,
      Actuals!$H$3:$BD$3,
      Actuals!$H:$BD
   )
)</f>
        <v>3</v>
      </c>
      <c r="AI43" s="293" cm="1">
        <f t="array" ref="AI43">_xlfn.XLOOKUP(
   $B$4&amp;" "&amp;$B43,
   Actuals!$D:$D,
   _xlfn.XLOOKUP(
      AI$6,
      Actuals!$H$3:$BD$3,
      Actuals!$H:$BD
   )
)</f>
        <v>4</v>
      </c>
      <c r="AJ43" s="293" cm="1">
        <f t="array" ref="AJ43">_xlfn.XLOOKUP(
   $B$4&amp;" "&amp;$B43,
   Actuals!$D:$D,
   _xlfn.XLOOKUP(
      AJ$6,
      Actuals!$H$3:$BD$3,
      Actuals!$H:$BD
   )
)</f>
        <v>3</v>
      </c>
      <c r="AK43" s="293" cm="1">
        <f t="array" ref="AK43">_xlfn.XLOOKUP(
   $B$4&amp;" "&amp;$B43,
   Actuals!$D:$D,
   _xlfn.XLOOKUP(
      AK$6,
      Actuals!$H$3:$BD$3,
      Actuals!$H:$BD
   )
)</f>
        <v>3</v>
      </c>
      <c r="AL43" s="293" cm="1">
        <f t="array" ref="AL43">_xlfn.XLOOKUP(
   $B$4&amp;" "&amp;$B43,
   Actuals!$D:$D,
   _xlfn.XLOOKUP(
      AL$6,
      Actuals!$H$3:$BD$3,
      Actuals!$H:$BD
   )
)</f>
        <v>3</v>
      </c>
      <c r="AM43" s="293" cm="1">
        <f t="array" ref="AM43">_xlfn.XLOOKUP(
   $B$4&amp;" "&amp;$B43,
   Actuals!$D:$D,
   _xlfn.XLOOKUP(
      AM$6,
      Actuals!$H$3:$BD$3,
      Actuals!$H:$BD
   )
)</f>
        <v>0</v>
      </c>
      <c r="AN43" s="293" cm="1">
        <f t="array" ref="AN43">_xlfn.XLOOKUP(
   $B$4&amp;" "&amp;$B43,
   Actuals!$D:$D,
   _xlfn.XLOOKUP(
      AN$6,
      Actuals!$H$3:$BD$3,
      Actuals!$H:$BD
   )
)</f>
        <v>1</v>
      </c>
      <c r="AO43" s="293" cm="1">
        <f t="array" ref="AO43">_xlfn.XLOOKUP(
   $B$4&amp;" "&amp;$B43,
   Actuals!$D:$D,
   _xlfn.XLOOKUP(
      AO$6,
      Actuals!$H$3:$BD$3,
      Actuals!$H:$BD
   )
)</f>
        <v>0</v>
      </c>
      <c r="AP43" s="293" cm="1">
        <f t="array" ref="AP43">_xlfn.XLOOKUP(
   $B$4&amp;" "&amp;$B43,
   Actuals!$D:$D,
   _xlfn.XLOOKUP(
      AP$6,
      Actuals!$H$3:$BD$3,
      Actuals!$H:$BD
   )
)</f>
        <v>0</v>
      </c>
      <c r="AQ43" s="293" cm="1">
        <f t="array" ref="AQ43">_xlfn.XLOOKUP(
   $B$4&amp;" "&amp;$B43,
   Actuals!$D:$D,
   _xlfn.XLOOKUP(
      AQ$6,
      Actuals!$H$3:$BD$3,
      Actuals!$H:$BD
   )
)</f>
        <v>0</v>
      </c>
      <c r="AR43" s="293" cm="1">
        <f t="array" ref="AR43">_xlfn.XLOOKUP(
   $B$4&amp;" "&amp;$B43,
   Actuals!$D:$D,
   _xlfn.XLOOKUP(
      AR$6,
      Actuals!$H$3:$BD$3,
      Actuals!$H:$BD
   )
)</f>
        <v>0</v>
      </c>
      <c r="AS43" s="293" cm="1">
        <f t="array" ref="AS43">_xlfn.XLOOKUP(
   $B$4&amp;" "&amp;$B43,
   Actuals!$D:$D,
   _xlfn.XLOOKUP(
      AS$6,
      Actuals!$H$3:$BD$3,
      Actuals!$H:$BD
   )
)</f>
        <v>0</v>
      </c>
      <c r="AT43" s="293" cm="1">
        <f t="array" ref="AT43">_xlfn.XLOOKUP(
   $B$4&amp;" "&amp;$B43,
   Actuals!$D:$D,
   _xlfn.XLOOKUP(
      AT$6,
      Actuals!$H$3:$BD$3,
      Actuals!$H:$BD
   )
)</f>
        <v>0</v>
      </c>
      <c r="AU43" s="293" cm="1">
        <f t="array" ref="AU43">_xlfn.XLOOKUP(
   $B$4&amp;" "&amp;$B43,
   Actuals!$D:$D,
   _xlfn.XLOOKUP(
      AU$6,
      Actuals!$H$3:$BD$3,
      Actuals!$H:$BD
   )
)</f>
        <v>0</v>
      </c>
      <c r="AV43" s="293" cm="1">
        <f t="array" ref="AV43">_xlfn.XLOOKUP(
   $B$4&amp;" "&amp;$B43,
   Actuals!$D:$D,
   _xlfn.XLOOKUP(
      AV$6,
      Actuals!$H$3:$BD$3,
      Actuals!$H:$BD
   )
)</f>
        <v>0</v>
      </c>
      <c r="AW43" s="293" cm="1">
        <f t="array" ref="AW43">_xlfn.XLOOKUP(
   $B$4&amp;" "&amp;$B43,
   Actuals!$D:$D,
   _xlfn.XLOOKUP(
      AW$6,
      Actuals!$H$3:$BD$3,
      Actuals!$H:$BD
   )
)</f>
        <v>0</v>
      </c>
      <c r="AX43" s="293" cm="1">
        <f t="array" ref="AX43">_xlfn.XLOOKUP(
   $B$4&amp;" "&amp;$B43,
   Actuals!$D:$D,
   _xlfn.XLOOKUP(
      AX$6,
      Actuals!$H$3:$BD$3,
      Actuals!$H:$BD
   )
)</f>
        <v>0</v>
      </c>
      <c r="AY43" s="293" cm="1">
        <f t="array" ref="AY43">_xlfn.XLOOKUP(
   $B$4&amp;" "&amp;$B43,
   Actuals!$D:$D,
   _xlfn.XLOOKUP(
      AY$6,
      Actuals!$H$3:$BD$3,
      Actuals!$H:$BD
   )
)</f>
        <v>0</v>
      </c>
      <c r="AZ43" s="293" cm="1">
        <f t="array" ref="AZ43">_xlfn.XLOOKUP(
   $B$4&amp;" "&amp;$B43,
   Actuals!$D:$D,
   _xlfn.XLOOKUP(
      AZ$6,
      Actuals!$H$3:$BD$3,
      Actuals!$H:$BD
   )
)</f>
        <v>0</v>
      </c>
      <c r="BA43" s="293"/>
      <c r="BB43" s="293" cm="1">
        <f t="array" ref="BB43">_xlfn.XLOOKUP(
   $B$4&amp;" "&amp;$B43,
   Actuals!$D:$D,
   _xlfn.XLOOKUP(
      BB$7,
      Actuals!$H$3:$BM$3,
      Actuals!$H:$BM
   )
)</f>
        <v>0</v>
      </c>
      <c r="BC43" s="293">
        <f>VLOOKUP($B$4&amp;" "&amp;$B43,Budget!$AG$4:$AL$132,$BB$5+1,FALSE)</f>
        <v>0</v>
      </c>
      <c r="BD43" s="293">
        <f>BB43-BC43</f>
        <v>0</v>
      </c>
      <c r="BE43" s="293"/>
      <c r="BF43" s="293" cm="1">
        <f t="array" ref="BF43">_xlfn.XLOOKUP(
   $B$4&amp;" "&amp;$B43,
   Actuals!$D:$D,
   _xlfn.XLOOKUP(
      BF$7,
      Actuals!$H$3:$BM$3,
      Actuals!$H:$BM
   )
)</f>
        <v>0</v>
      </c>
      <c r="BG43" s="293">
        <f>VLOOKUP($B$4&amp;" "&amp;$B43,Budget!$AG$4:$AL$132,BF$5+1,FALSE)</f>
        <v>0</v>
      </c>
      <c r="BH43" s="293">
        <f>BF43-BG43</f>
        <v>0</v>
      </c>
      <c r="BI43" s="293"/>
      <c r="BJ43" s="293" cm="1">
        <f t="array" ref="BJ43">_xlfn.XLOOKUP(
   $B$4&amp;" "&amp;$B43,
   Actuals!$D:$D,
   _xlfn.XLOOKUP(
      BJ$7,
      Actuals!$H$3:$BM$3,
      Actuals!$H:$BM
   )
)</f>
        <v>0</v>
      </c>
      <c r="BK43" s="293">
        <f>VLOOKUP($B$4&amp;" "&amp;$B43,Budget!$AG$4:$AL$132,BJ$5+1,FALSE)</f>
        <v>0</v>
      </c>
      <c r="BL43" s="293">
        <f>BJ43-BK43</f>
        <v>0</v>
      </c>
      <c r="BM43" s="293"/>
      <c r="BN43" s="293" cm="1">
        <f t="array" ref="BN43">_xlfn.XLOOKUP(
   $B$4&amp;" "&amp;$B43,
   Actuals!$D:$D,
   _xlfn.XLOOKUP(
      BN$7,
      Actuals!$H$3:$BM$3,
      Actuals!$H:$BM
   )
)</f>
        <v>0</v>
      </c>
      <c r="BO43" s="293">
        <f>VLOOKUP($B$4&amp;" "&amp;$B43,Budget!$AG$4:$AL$132,BN$5+1,FALSE)</f>
        <v>0</v>
      </c>
      <c r="BP43" s="293"/>
      <c r="BQ43" s="293"/>
      <c r="BR43" s="293" cm="1">
        <f t="array" aca="1" ref="BR43" ca="1">_xlfn.XLOOKUP(
   $B$4&amp;" "&amp;$B43,
   Actuals!$D:$D,
   _xlfn.XLOOKUP(
      BR$6,
      Actuals!$H$3:$BM$3,
      Actuals!$H:$BM
   )
)</f>
        <v>0</v>
      </c>
      <c r="BS43" s="293">
        <f ca="1">VLOOKUP($B$4&amp;" "&amp;$B43,Budget!$AG$4:$AL$132,6,FALSE)</f>
        <v>0</v>
      </c>
      <c r="BT43" s="293">
        <f ca="1">BR43-BS43</f>
        <v>0</v>
      </c>
      <c r="BU43" s="293"/>
      <c r="BV43" s="293" cm="1">
        <f t="array" ref="BV43">_xlfn.XLOOKUP(
   $B$4&amp;" "&amp;$B43,
   Actuals!$D:$D,
   _xlfn.XLOOKUP(
      BV$6,
      Actuals!$H$3:$BM$3,
      Actuals!$H:$BM
   )
)</f>
        <v>30</v>
      </c>
    </row>
    <row r="44" spans="2:74" outlineLevel="1">
      <c r="C44" s="139"/>
      <c r="D44" s="171"/>
      <c r="O44" s="285"/>
      <c r="P44" s="285"/>
      <c r="Q44" s="285"/>
      <c r="R44" s="285"/>
      <c r="S44" s="285"/>
      <c r="T44" s="285"/>
      <c r="U44" s="285"/>
      <c r="V44" s="285"/>
      <c r="W44" s="285"/>
      <c r="X44" s="285"/>
      <c r="Y44" s="285"/>
      <c r="Z44" s="285"/>
      <c r="AA44" s="285"/>
      <c r="AB44" s="285"/>
      <c r="AC44" s="285"/>
      <c r="AD44" s="285"/>
      <c r="AE44" s="285"/>
      <c r="AF44" s="285"/>
      <c r="AG44" s="285"/>
      <c r="AH44" s="285"/>
      <c r="AI44" s="285"/>
      <c r="AJ44" s="285"/>
      <c r="AK44" s="285"/>
      <c r="AL44" s="285"/>
      <c r="AM44" s="285"/>
      <c r="AN44" s="285"/>
      <c r="AO44" s="285"/>
      <c r="AP44" s="285"/>
      <c r="AQ44" s="285"/>
      <c r="AR44" s="285"/>
      <c r="AS44" s="285"/>
      <c r="AT44" s="285"/>
      <c r="AU44" s="285"/>
      <c r="AV44" s="285"/>
      <c r="AW44" s="285"/>
      <c r="AX44" s="285"/>
      <c r="AY44" s="285"/>
      <c r="AZ44" s="285"/>
      <c r="BA44" s="285"/>
      <c r="BB44" s="285"/>
      <c r="BC44" s="285"/>
      <c r="BD44" s="285"/>
      <c r="BE44" s="285"/>
      <c r="BF44" s="285"/>
      <c r="BG44" s="285"/>
      <c r="BH44" s="285"/>
      <c r="BI44" s="285"/>
      <c r="BJ44" s="285"/>
      <c r="BK44" s="285"/>
      <c r="BL44" s="285"/>
      <c r="BM44" s="285"/>
      <c r="BN44" s="285"/>
      <c r="BO44" s="285"/>
      <c r="BP44" s="285"/>
      <c r="BQ44" s="285"/>
      <c r="BR44" s="285"/>
      <c r="BS44" s="285"/>
      <c r="BT44" s="285"/>
      <c r="BU44" s="285"/>
    </row>
    <row r="45" spans="2:74" ht="13">
      <c r="B45" s="126" t="s">
        <v>57</v>
      </c>
      <c r="C45" s="145"/>
      <c r="D45" s="176"/>
      <c r="E45" s="128"/>
      <c r="F45" s="128"/>
      <c r="G45" s="128"/>
      <c r="H45" s="128"/>
      <c r="I45" s="128"/>
      <c r="J45" s="128"/>
      <c r="K45" s="128"/>
      <c r="L45" s="128"/>
      <c r="M45" s="128"/>
      <c r="N45" s="128"/>
      <c r="O45" s="323"/>
      <c r="P45" s="323"/>
      <c r="Q45" s="323"/>
      <c r="R45" s="323"/>
      <c r="S45" s="323"/>
      <c r="T45" s="323"/>
      <c r="U45" s="323"/>
      <c r="V45" s="323"/>
      <c r="W45" s="323"/>
      <c r="X45" s="323"/>
      <c r="Y45" s="323"/>
      <c r="Z45" s="323"/>
      <c r="AA45" s="323"/>
      <c r="AB45" s="323"/>
      <c r="AC45" s="323"/>
      <c r="AD45" s="323"/>
      <c r="AE45" s="323"/>
      <c r="AF45" s="323"/>
      <c r="AG45" s="323"/>
      <c r="AH45" s="323"/>
      <c r="AI45" s="323"/>
      <c r="AJ45" s="323"/>
      <c r="AK45" s="323"/>
      <c r="AL45" s="323"/>
      <c r="AM45" s="323"/>
      <c r="AN45" s="323"/>
      <c r="AO45" s="323"/>
      <c r="AP45" s="323"/>
      <c r="AQ45" s="323"/>
      <c r="AR45" s="323"/>
      <c r="AS45" s="323"/>
      <c r="AT45" s="323"/>
      <c r="AU45" s="323"/>
      <c r="AV45" s="323"/>
      <c r="AW45" s="323"/>
      <c r="AX45" s="323"/>
      <c r="AY45" s="323"/>
      <c r="AZ45" s="323"/>
      <c r="BA45" s="323"/>
      <c r="BB45" s="323"/>
      <c r="BC45" s="323"/>
      <c r="BD45" s="323"/>
      <c r="BE45" s="323"/>
      <c r="BF45" s="323"/>
      <c r="BG45" s="323"/>
      <c r="BH45" s="323"/>
      <c r="BI45" s="323"/>
      <c r="BJ45" s="323"/>
      <c r="BK45" s="323"/>
      <c r="BL45" s="323"/>
      <c r="BM45" s="323"/>
      <c r="BN45" s="323"/>
      <c r="BO45" s="323"/>
      <c r="BP45" s="323"/>
      <c r="BQ45" s="323"/>
      <c r="BR45" s="323"/>
      <c r="BS45" s="323"/>
      <c r="BT45" s="323"/>
      <c r="BU45" s="323"/>
      <c r="BV45" s="323"/>
    </row>
    <row r="46" spans="2:74">
      <c r="B46" s="26" t="s">
        <v>97</v>
      </c>
      <c r="C46" s="139" t="s">
        <v>47</v>
      </c>
      <c r="D46" s="171" t="str">
        <f>VLOOKUP($B$4&amp;" "&amp;$B46,Actuals!$D$4:$AG$131,3,FALSE)</f>
        <v>#</v>
      </c>
      <c r="E46" s="168">
        <f>VLOOKUP($B$4&amp;" "&amp;$B46,Actuals!$D$4:$AG$131,MONTH(E$6)+4,FALSE)</f>
        <v>6</v>
      </c>
      <c r="F46" s="168">
        <f>VLOOKUP($B$4&amp;" "&amp;$B46,Actuals!$D$4:$AG$131,MONTH(F$6)+4,FALSE)</f>
        <v>7</v>
      </c>
      <c r="G46" s="168">
        <f>VLOOKUP($B$4&amp;" "&amp;$B46,Actuals!$D$4:$AG$131,MONTH(G$6)+4,FALSE)</f>
        <v>8</v>
      </c>
      <c r="H46" s="168">
        <f>VLOOKUP($B$4&amp;" "&amp;$B46,Actuals!$D$4:$AG$131,MONTH(H$6)+4,FALSE)</f>
        <v>9</v>
      </c>
      <c r="I46" s="168">
        <f>VLOOKUP($B$4&amp;" "&amp;$B46,Actuals!$D$4:$AG$131,MONTH(I$6)+4,FALSE)</f>
        <v>10</v>
      </c>
      <c r="J46" s="168">
        <f>VLOOKUP($B$4&amp;" "&amp;$B46,Actuals!$D$4:$AG$131,MONTH(J$6)+4,FALSE)</f>
        <v>9</v>
      </c>
      <c r="K46" s="168">
        <f>VLOOKUP($B$4&amp;" "&amp;$B46,Actuals!$D$4:$AG$131,MONTH(K$6)+4,FALSE)</f>
        <v>8</v>
      </c>
      <c r="L46" s="168">
        <f>VLOOKUP($B$4&amp;" "&amp;$B46,Actuals!$D$4:$AG$131,MONTH(L$6)+4,FALSE)</f>
        <v>8</v>
      </c>
      <c r="M46" s="168">
        <f>VLOOKUP($B$4&amp;" "&amp;$B46,Actuals!$D$4:$AG$131,MONTH(M$6)+4,FALSE)</f>
        <v>9</v>
      </c>
      <c r="N46" s="168">
        <f>VLOOKUP($B$4&amp;" "&amp;$B46,Actuals!$D$4:$AG$131,MONTH(N$6)+4,FALSE)</f>
        <v>9</v>
      </c>
      <c r="O46" s="292">
        <f>VLOOKUP($B$4&amp;" "&amp;$B46,Actuals!$D$4:$AG$131,MONTH(O$6)+4,FALSE)</f>
        <v>0</v>
      </c>
      <c r="P46" s="292">
        <f>VLOOKUP($B$4&amp;" "&amp;$B46,Actuals!$D$4:$AG$131,MONTH(P$6)+4,FALSE)</f>
        <v>0</v>
      </c>
      <c r="Q46" s="292">
        <f>VLOOKUP($B$4&amp;" "&amp;$B46,Actuals!$D$4:$AR$131,MONTH(Q$6)+16,FALSE)</f>
        <v>0</v>
      </c>
      <c r="R46" s="292">
        <f>VLOOKUP($B$4&amp;" "&amp;$B46,Actuals!$D$4:$AR$131,MONTH(R$6)+16,FALSE)</f>
        <v>0</v>
      </c>
      <c r="S46" s="292">
        <f>VLOOKUP($B$4&amp;" "&amp;$B46,Actuals!$D$4:$AR$131,MONTH(S$6)+16,FALSE)</f>
        <v>0</v>
      </c>
      <c r="T46" s="292">
        <f>VLOOKUP($B$4&amp;" "&amp;$B46,Actuals!$D$4:$AR$131,MONTH(T$6)+16,FALSE)</f>
        <v>0</v>
      </c>
      <c r="U46" s="292">
        <f>VLOOKUP($B$4&amp;" "&amp;$B46,Actuals!$D$4:$AR$131,MONTH(U$6)+16,FALSE)</f>
        <v>0</v>
      </c>
      <c r="V46" s="292" cm="1">
        <f t="array" ref="V46">_xlfn.XLOOKUP(
   $B$4&amp;" "&amp;$B46,
   Actuals!$D:$D,
   _xlfn.XLOOKUP(
      V$6,
      Actuals!$H$3:$BD$3,
      Actuals!$H:$BD
   )
)</f>
        <v>0</v>
      </c>
      <c r="W46" s="292" cm="1">
        <f t="array" ref="W46">_xlfn.XLOOKUP(
   $B$4&amp;" "&amp;$B46,
   Actuals!$D:$D,
   _xlfn.XLOOKUP(
      W$6,
      Actuals!$H$3:$BD$3,
      Actuals!$H:$BD
   )
)</f>
        <v>0</v>
      </c>
      <c r="X46" s="292" cm="1">
        <f t="array" ref="X46">_xlfn.XLOOKUP(
   $B$4&amp;" "&amp;$B46,
   Actuals!$D:$D,
   _xlfn.XLOOKUP(
      X$6,
      Actuals!$H$3:$BD$3,
      Actuals!$H:$BD
   )
)</f>
        <v>0</v>
      </c>
      <c r="Y46" s="292" cm="1">
        <f t="array" ref="Y46">_xlfn.XLOOKUP(
   $B$4&amp;" "&amp;$B46,
   Actuals!$D:$D,
   _xlfn.XLOOKUP(
      Y$6,
      Actuals!$H$3:$BD$3,
      Actuals!$H:$BD
   )
)</f>
        <v>0</v>
      </c>
      <c r="Z46" s="292" cm="1">
        <f t="array" ref="Z46">_xlfn.XLOOKUP(
   $B$4&amp;" "&amp;$B46,
   Actuals!$D:$D,
   _xlfn.XLOOKUP(
      Z$6,
      Actuals!$H$3:$BD$3,
      Actuals!$H:$BD
   )
)</f>
        <v>0</v>
      </c>
      <c r="AA46" s="292" cm="1">
        <f t="array" ref="AA46">_xlfn.XLOOKUP(
   $B$4&amp;" "&amp;$B46,
   Actuals!$D:$D,
   _xlfn.XLOOKUP(
      AA$6,
      Actuals!$H$3:$BD$3,
      Actuals!$H:$BD
   )
)</f>
        <v>0</v>
      </c>
      <c r="AB46" s="292" cm="1">
        <f t="array" ref="AB46">_xlfn.XLOOKUP(
   $B$4&amp;" "&amp;$B46,
   Actuals!$D:$D,
   _xlfn.XLOOKUP(
      AB$6,
      Actuals!$H$3:$BD$3,
      Actuals!$H:$BD
   )
)</f>
        <v>0</v>
      </c>
      <c r="AC46" s="292" cm="1">
        <f t="array" ref="AC46">_xlfn.XLOOKUP(
   $B$4&amp;" "&amp;$B46,
   Actuals!$D:$D,
   _xlfn.XLOOKUP(
      AC$6,
      Actuals!$H$3:$BD$3,
      Actuals!$H:$BD
   )
)</f>
        <v>9</v>
      </c>
      <c r="AD46" s="292" cm="1">
        <f t="array" ref="AD46">_xlfn.XLOOKUP(
   $B$4&amp;" "&amp;$B46,
   Actuals!$D:$D,
   _xlfn.XLOOKUP(
      AD$6,
      Actuals!$H$3:$BD$3,
      Actuals!$H:$BD
   )
)</f>
        <v>9</v>
      </c>
      <c r="AE46" s="292" cm="1">
        <f t="array" ref="AE46">_xlfn.XLOOKUP(
   $B$4&amp;" "&amp;$B46,
   Actuals!$D:$D,
   _xlfn.XLOOKUP(
      AE$6,
      Actuals!$H$3:$BD$3,
      Actuals!$H:$BD
   )
)</f>
        <v>9</v>
      </c>
      <c r="AF46" s="292" cm="1">
        <f t="array" ref="AF46">_xlfn.XLOOKUP(
   $B$4&amp;" "&amp;$B46,
   Actuals!$D:$D,
   _xlfn.XLOOKUP(
      AF$6,
      Actuals!$H$3:$BD$3,
      Actuals!$H:$BD
   )
)</f>
        <v>8</v>
      </c>
      <c r="AG46" s="292" cm="1">
        <f t="array" ref="AG46">_xlfn.XLOOKUP(
   $B$4&amp;" "&amp;$B46,
   Actuals!$D:$D,
   _xlfn.XLOOKUP(
      AG$6,
      Actuals!$H$3:$BD$3,
      Actuals!$H:$BD
   )
)</f>
        <v>8</v>
      </c>
      <c r="AH46" s="292" cm="1">
        <f t="array" ref="AH46">_xlfn.XLOOKUP(
   $B$4&amp;" "&amp;$B46,
   Actuals!$D:$D,
   _xlfn.XLOOKUP(
      AH$6,
      Actuals!$H$3:$BD$3,
      Actuals!$H:$BD
   )
)</f>
        <v>8</v>
      </c>
      <c r="AI46" s="292" cm="1">
        <f t="array" ref="AI46">_xlfn.XLOOKUP(
   $B$4&amp;" "&amp;$B46,
   Actuals!$D:$D,
   _xlfn.XLOOKUP(
      AI$6,
      Actuals!$H$3:$BD$3,
      Actuals!$H:$BD
   )
)</f>
        <v>8</v>
      </c>
      <c r="AJ46" s="292" cm="1">
        <f t="array" ref="AJ46">_xlfn.XLOOKUP(
   $B$4&amp;" "&amp;$B46,
   Actuals!$D:$D,
   _xlfn.XLOOKUP(
      AJ$6,
      Actuals!$H$3:$BD$3,
      Actuals!$H:$BD
   )
)</f>
        <v>8</v>
      </c>
      <c r="AK46" s="292" cm="1">
        <f t="array" ref="AK46">_xlfn.XLOOKUP(
   $B$4&amp;" "&amp;$B46,
   Actuals!$D:$D,
   _xlfn.XLOOKUP(
      AK$6,
      Actuals!$H$3:$BD$3,
      Actuals!$H:$BD
   )
)</f>
        <v>8</v>
      </c>
      <c r="AL46" s="292" cm="1">
        <f t="array" ref="AL46">_xlfn.XLOOKUP(
   $B$4&amp;" "&amp;$B46,
   Actuals!$D:$D,
   _xlfn.XLOOKUP(
      AL$6,
      Actuals!$H$3:$BD$3,
      Actuals!$H:$BD
   )
)</f>
        <v>8</v>
      </c>
      <c r="AM46" s="292" cm="1">
        <f t="array" ref="AM46">_xlfn.XLOOKUP(
   $B$4&amp;" "&amp;$B46,
   Actuals!$D:$D,
   _xlfn.XLOOKUP(
      AM$6,
      Actuals!$H$3:$BD$3,
      Actuals!$H:$BD
   )
)</f>
        <v>8</v>
      </c>
      <c r="AN46" s="292" cm="1">
        <f t="array" ref="AN46">_xlfn.XLOOKUP(
   $B$4&amp;" "&amp;$B46,
   Actuals!$D:$D,
   _xlfn.XLOOKUP(
      AN$6,
      Actuals!$H$3:$BD$3,
      Actuals!$H:$BD
   )
)</f>
        <v>4</v>
      </c>
      <c r="AO46" s="292" cm="1">
        <f t="array" ref="AO46">_xlfn.XLOOKUP(
   $B$4&amp;" "&amp;$B46,
   Actuals!$D:$D,
   _xlfn.XLOOKUP(
      AO$6,
      Actuals!$H$3:$BD$3,
      Actuals!$H:$BD
   )
)</f>
        <v>4</v>
      </c>
      <c r="AP46" s="292" cm="1">
        <f t="array" ref="AP46">_xlfn.XLOOKUP(
   $B$4&amp;" "&amp;$B46,
   Actuals!$D:$D,
   _xlfn.XLOOKUP(
      AP$6,
      Actuals!$H$3:$BD$3,
      Actuals!$H:$BD
   )
)</f>
        <v>4</v>
      </c>
      <c r="AQ46" s="292" cm="1">
        <f t="array" ref="AQ46">_xlfn.XLOOKUP(
   $B$4&amp;" "&amp;$B46,
   Actuals!$D:$D,
   _xlfn.XLOOKUP(
      AQ$6,
      Actuals!$H$3:$BD$3,
      Actuals!$H:$BD
   )
)</f>
        <v>2</v>
      </c>
      <c r="AR46" s="292" cm="1">
        <f t="array" ref="AR46">_xlfn.XLOOKUP(
   $B$4&amp;" "&amp;$B46,
   Actuals!$D:$D,
   _xlfn.XLOOKUP(
      AR$6,
      Actuals!$H$3:$BD$3,
      Actuals!$H:$BD
   )
)</f>
        <v>0</v>
      </c>
      <c r="AS46" s="292" cm="1">
        <f t="array" ref="AS46">_xlfn.XLOOKUP(
   $B$4&amp;" "&amp;$B46,
   Actuals!$D:$D,
   _xlfn.XLOOKUP(
      AS$6,
      Actuals!$H$3:$BD$3,
      Actuals!$H:$BD
   )
)</f>
        <v>0</v>
      </c>
      <c r="AT46" s="292" cm="1">
        <f t="array" ref="AT46">_xlfn.XLOOKUP(
   $B$4&amp;" "&amp;$B46,
   Actuals!$D:$D,
   _xlfn.XLOOKUP(
      AT$6,
      Actuals!$H$3:$BD$3,
      Actuals!$H:$BD
   )
)</f>
        <v>0</v>
      </c>
      <c r="AU46" s="292" cm="1">
        <f t="array" ref="AU46">_xlfn.XLOOKUP(
   $B$4&amp;" "&amp;$B46,
   Actuals!$D:$D,
   _xlfn.XLOOKUP(
      AU$6,
      Actuals!$H$3:$BD$3,
      Actuals!$H:$BD
   )
)</f>
        <v>0</v>
      </c>
      <c r="AV46" s="292" cm="1">
        <f t="array" ref="AV46">_xlfn.XLOOKUP(
   $B$4&amp;" "&amp;$B46,
   Actuals!$D:$D,
   _xlfn.XLOOKUP(
      AV$6,
      Actuals!$H$3:$BD$3,
      Actuals!$H:$BD
   )
)</f>
        <v>0</v>
      </c>
      <c r="AW46" s="292" cm="1">
        <f t="array" ref="AW46">_xlfn.XLOOKUP(
   $B$4&amp;" "&amp;$B46,
   Actuals!$D:$D,
   _xlfn.XLOOKUP(
      AW$6,
      Actuals!$H$3:$BD$3,
      Actuals!$H:$BD
   )
)</f>
        <v>0</v>
      </c>
      <c r="AX46" s="292" cm="1">
        <f t="array" ref="AX46">_xlfn.XLOOKUP(
   $B$4&amp;" "&amp;$B46,
   Actuals!$D:$D,
   _xlfn.XLOOKUP(
      AX$6,
      Actuals!$H$3:$BD$3,
      Actuals!$H:$BD
   )
)</f>
        <v>0</v>
      </c>
      <c r="AY46" s="292" cm="1">
        <f t="array" ref="AY46">_xlfn.XLOOKUP(
   $B$4&amp;" "&amp;$B46,
   Actuals!$D:$D,
   _xlfn.XLOOKUP(
      AY$6,
      Actuals!$H$3:$BD$3,
      Actuals!$H:$BD
   )
)</f>
        <v>0</v>
      </c>
      <c r="AZ46" s="292" cm="1">
        <f t="array" ref="AZ46">_xlfn.XLOOKUP(
   $B$4&amp;" "&amp;$B46,
   Actuals!$D:$D,
   _xlfn.XLOOKUP(
      AZ$6,
      Actuals!$H$3:$BD$3,
      Actuals!$H:$BD
   )
)</f>
        <v>0</v>
      </c>
      <c r="BA46" s="292"/>
      <c r="BB46" s="292" cm="1">
        <f t="array" ref="BB46">_xlfn.XLOOKUP(
   $B$4&amp;" "&amp;$B46,
   Actuals!$D:$D,
   _xlfn.XLOOKUP(
      BB$7,
      Actuals!$H$3:$BM$3,
      Actuals!$H:$BM
   )
)</f>
        <v>2</v>
      </c>
      <c r="BC46" s="292">
        <f>VLOOKUP($B$4&amp;" "&amp;$B46,Budget!$AG$4:$AL$132,$BB$5+1,FALSE)</f>
        <v>0</v>
      </c>
      <c r="BD46" s="292">
        <f>BB46-BC46</f>
        <v>2</v>
      </c>
      <c r="BE46" s="292"/>
      <c r="BF46" s="292" cm="1">
        <f t="array" ref="BF46">_xlfn.XLOOKUP(
   $B$4&amp;" "&amp;$B46,
   Actuals!$D:$D,
   _xlfn.XLOOKUP(
      BF$7,
      Actuals!$H$3:$BM$3,
      Actuals!$H:$BM
   )
)</f>
        <v>0</v>
      </c>
      <c r="BG46" s="292">
        <f>VLOOKUP($B$4&amp;" "&amp;$B46,Budget!$AG$4:$AL$132,BF$5+1,FALSE)</f>
        <v>8</v>
      </c>
      <c r="BH46" s="292">
        <f>BF46-BG46</f>
        <v>-8</v>
      </c>
      <c r="BI46" s="292"/>
      <c r="BJ46" s="292" cm="1">
        <f t="array" ref="BJ46">_xlfn.XLOOKUP(
   $B$4&amp;" "&amp;$B46,
   Actuals!$D:$D,
   _xlfn.XLOOKUP(
      BJ$7,
      Actuals!$H$3:$BM$3,
      Actuals!$H:$BM
   )
)</f>
        <v>0</v>
      </c>
      <c r="BK46" s="292">
        <f>VLOOKUP($B$4&amp;" "&amp;$B46,Budget!$AG$4:$AL$132,BJ$5+1,FALSE)</f>
        <v>8</v>
      </c>
      <c r="BL46" s="292">
        <f>BJ46-BK46</f>
        <v>-8</v>
      </c>
      <c r="BM46" s="292"/>
      <c r="BN46" s="292" cm="1">
        <f t="array" ref="BN46">_xlfn.XLOOKUP(
   $B$4&amp;" "&amp;$B46,
   Actuals!$D:$D,
   _xlfn.XLOOKUP(
      BN$7,
      Actuals!$H$3:$BM$3,
      Actuals!$H:$BM
   )
)</f>
        <v>0</v>
      </c>
      <c r="BO46" s="292">
        <f>VLOOKUP($B$4&amp;" "&amp;$B46,Budget!$AG$4:$AL$132,BN$5+1,FALSE)</f>
        <v>8</v>
      </c>
      <c r="BP46" s="292"/>
      <c r="BQ46" s="292"/>
      <c r="BR46" s="292" cm="1">
        <f t="array" aca="1" ref="BR46" ca="1">_xlfn.XLOOKUP(
   $B$4&amp;" "&amp;$B46,
   Actuals!$D:$D,
   _xlfn.XLOOKUP(
      BR$6,
      Actuals!$H$3:$BM$3,
      Actuals!$H:$BM
   )
)</f>
        <v>0</v>
      </c>
      <c r="BS46" s="292">
        <f ca="1">VLOOKUP($B$4&amp;" "&amp;$B46,Budget!$AG$4:$AL$132,6,FALSE)</f>
        <v>8</v>
      </c>
      <c r="BT46" s="292">
        <f ca="1">BR46-BS46</f>
        <v>-8</v>
      </c>
      <c r="BU46" s="292"/>
      <c r="BV46" s="292" cm="1">
        <f t="array" ref="BV46">_xlfn.XLOOKUP(
   $B$4&amp;" "&amp;$B46,
   Actuals!$D:$D,
   _xlfn.XLOOKUP(
      BV$6,
      Actuals!$H$3:$BM$3,
      Actuals!$H:$BM
   )
)</f>
        <v>4</v>
      </c>
    </row>
    <row r="47" spans="2:74">
      <c r="B47" s="26" t="s">
        <v>98</v>
      </c>
      <c r="C47" s="139" t="s">
        <v>99</v>
      </c>
      <c r="D47" s="171" t="str">
        <f>VLOOKUP($B$4&amp;" "&amp;$B47,Actuals!$D$4:$AG$131,3,FALSE)</f>
        <v>$</v>
      </c>
      <c r="E47" s="273">
        <f>VLOOKUP($B$4&amp;" "&amp;$B47,Actuals!$D$4:$AG$131,MONTH(E$6)+4,FALSE)</f>
        <v>135237.53</v>
      </c>
      <c r="F47" s="273">
        <f>VLOOKUP($B$4&amp;" "&amp;$B47,Actuals!$D$4:$AG$131,MONTH(F$6)+4,FALSE)</f>
        <v>118496.64</v>
      </c>
      <c r="G47" s="273">
        <f>VLOOKUP($B$4&amp;" "&amp;$B47,Actuals!$D$4:$AG$131,MONTH(G$6)+4,FALSE)</f>
        <v>140726.63</v>
      </c>
      <c r="H47" s="273">
        <f>VLOOKUP($B$4&amp;" "&amp;$B47,Actuals!$D$4:$AG$131,MONTH(H$6)+4,FALSE)</f>
        <v>148811.22</v>
      </c>
      <c r="I47" s="273">
        <f>VLOOKUP($B$4&amp;" "&amp;$B47,Actuals!$D$4:$AG$131,MONTH(I$6)+4,FALSE)</f>
        <v>151250</v>
      </c>
      <c r="J47" s="273">
        <f>VLOOKUP($B$4&amp;" "&amp;$B47,Actuals!$D$4:$AG$131,MONTH(J$6)+4,FALSE)</f>
        <v>146217.68</v>
      </c>
      <c r="K47" s="273">
        <f>VLOOKUP($B$4&amp;" "&amp;$B47,Actuals!$D$4:$AG$131,MONTH(K$6)+4,FALSE)</f>
        <v>122131.65</v>
      </c>
      <c r="L47" s="273">
        <f>VLOOKUP($B$4&amp;" "&amp;$B47,Actuals!$D$4:$AG$131,MONTH(L$6)+4,FALSE)</f>
        <v>128831.6</v>
      </c>
      <c r="M47" s="273">
        <f>VLOOKUP($B$4&amp;" "&amp;$B47,Actuals!$D$4:$AG$131,MONTH(M$6)+4,FALSE)</f>
        <v>112545.23999999999</v>
      </c>
      <c r="N47" s="273">
        <f>VLOOKUP($B$4&amp;" "&amp;$B47,Actuals!$D$4:$AG$131,MONTH(N$6)+4,FALSE)</f>
        <v>110157.75999999999</v>
      </c>
      <c r="O47" s="326">
        <f>VLOOKUP($B$4&amp;" "&amp;$B47,Actuals!$D$4:$AG$131,MONTH(O$6)+4,FALSE)</f>
        <v>0</v>
      </c>
      <c r="P47" s="326">
        <f>VLOOKUP($B$4&amp;" "&amp;$B47,Actuals!$D$4:$AG$131,MONTH(P$6)+4,FALSE)</f>
        <v>0</v>
      </c>
      <c r="Q47" s="326">
        <f>VLOOKUP($B$4&amp;" "&amp;$B47,Actuals!$D$4:$AR$131,MONTH(Q$6)+16,FALSE)</f>
        <v>0</v>
      </c>
      <c r="R47" s="326">
        <f>VLOOKUP($B$4&amp;" "&amp;$B47,Actuals!$D$4:$AR$131,MONTH(R$6)+16,FALSE)</f>
        <v>0</v>
      </c>
      <c r="S47" s="326">
        <f>VLOOKUP($B$4&amp;" "&amp;$B47,Actuals!$D$4:$AR$131,MONTH(S$6)+16,FALSE)</f>
        <v>0</v>
      </c>
      <c r="T47" s="326">
        <f>VLOOKUP($B$4&amp;" "&amp;$B47,Actuals!$D$4:$AR$131,MONTH(T$6)+16,FALSE)</f>
        <v>0</v>
      </c>
      <c r="U47" s="326">
        <f>VLOOKUP($B$4&amp;" "&amp;$B47,Actuals!$D$4:$AR$131,MONTH(U$6)+16,FALSE)</f>
        <v>0</v>
      </c>
      <c r="V47" s="326" cm="1">
        <f t="array" ref="V47">_xlfn.XLOOKUP(
   $B$4&amp;" "&amp;$B47,
   Actuals!$D:$D,
   _xlfn.XLOOKUP(
      V$6,
      Actuals!$H$3:$BD$3,
      Actuals!$H:$BD
   )
)</f>
        <v>0</v>
      </c>
      <c r="W47" s="326" cm="1">
        <f t="array" ref="W47">_xlfn.XLOOKUP(
   $B$4&amp;" "&amp;$B47,
   Actuals!$D:$D,
   _xlfn.XLOOKUP(
      W$6,
      Actuals!$H$3:$BD$3,
      Actuals!$H:$BD
   )
)</f>
        <v>0</v>
      </c>
      <c r="X47" s="326" cm="1">
        <f t="array" ref="X47">_xlfn.XLOOKUP(
   $B$4&amp;" "&amp;$B47,
   Actuals!$D:$D,
   _xlfn.XLOOKUP(
      X$6,
      Actuals!$H$3:$BD$3,
      Actuals!$H:$BD
   )
)</f>
        <v>0</v>
      </c>
      <c r="Y47" s="326" cm="1">
        <f t="array" ref="Y47">_xlfn.XLOOKUP(
   $B$4&amp;" "&amp;$B47,
   Actuals!$D:$D,
   _xlfn.XLOOKUP(
      Y$6,
      Actuals!$H$3:$BD$3,
      Actuals!$H:$BD
   )
)</f>
        <v>0</v>
      </c>
      <c r="Z47" s="326" cm="1">
        <f t="array" ref="Z47">_xlfn.XLOOKUP(
   $B$4&amp;" "&amp;$B47,
   Actuals!$D:$D,
   _xlfn.XLOOKUP(
      Z$6,
      Actuals!$H$3:$BD$3,
      Actuals!$H:$BD
   )
)</f>
        <v>0</v>
      </c>
      <c r="AA47" s="326" cm="1">
        <f t="array" ref="AA47">_xlfn.XLOOKUP(
   $B$4&amp;" "&amp;$B47,
   Actuals!$D:$D,
   _xlfn.XLOOKUP(
      AA$6,
      Actuals!$H$3:$BD$3,
      Actuals!$H:$BD
   )
)</f>
        <v>0</v>
      </c>
      <c r="AB47" s="326" cm="1">
        <f t="array" ref="AB47">_xlfn.XLOOKUP(
   $B$4&amp;" "&amp;$B47,
   Actuals!$D:$D,
   _xlfn.XLOOKUP(
      AB$6,
      Actuals!$H$3:$BD$3,
      Actuals!$H:$BD
   )
)</f>
        <v>0</v>
      </c>
      <c r="AC47" s="326" cm="1">
        <f t="array" ref="AC47">_xlfn.XLOOKUP(
   $B$4&amp;" "&amp;$B47,
   Actuals!$D:$D,
   _xlfn.XLOOKUP(
      AC$6,
      Actuals!$H$3:$BD$3,
      Actuals!$H:$BD
   )
)</f>
        <v>47234.7</v>
      </c>
      <c r="AD47" s="326" cm="1">
        <f t="array" ref="AD47">_xlfn.XLOOKUP(
   $B$4&amp;" "&amp;$B47,
   Actuals!$D:$D,
   _xlfn.XLOOKUP(
      AD$6,
      Actuals!$H$3:$BD$3,
      Actuals!$H:$BD
   )
)</f>
        <v>47707.046999999999</v>
      </c>
      <c r="AE47" s="326" cm="1">
        <f t="array" ref="AE47">_xlfn.XLOOKUP(
   $B$4&amp;" "&amp;$B47,
   Actuals!$D:$D,
   _xlfn.XLOOKUP(
      AE$6,
      Actuals!$H$3:$BD$3,
      Actuals!$H:$BD
   )
)</f>
        <v>48184.117469999997</v>
      </c>
      <c r="AF47" s="326" cm="1">
        <f t="array" ref="AF47">_xlfn.XLOOKUP(
   $B$4&amp;" "&amp;$B47,
   Actuals!$D:$D,
   _xlfn.XLOOKUP(
      AF$6,
      Actuals!$H$3:$BD$3,
      Actuals!$H:$BD
   )
)</f>
        <v>48665.958644699997</v>
      </c>
      <c r="AG47" s="326" cm="1">
        <f t="array" ref="AG47">_xlfn.XLOOKUP(
   $B$4&amp;" "&amp;$B47,
   Actuals!$D:$D,
   _xlfn.XLOOKUP(
      AG$6,
      Actuals!$H$3:$BD$3,
      Actuals!$H:$BD
   )
)</f>
        <v>49152.618231146997</v>
      </c>
      <c r="AH47" s="326" cm="1">
        <f t="array" ref="AH47">_xlfn.XLOOKUP(
   $B$4&amp;" "&amp;$B47,
   Actuals!$D:$D,
   _xlfn.XLOOKUP(
      AH$6,
      Actuals!$H$3:$BD$3,
      Actuals!$H:$BD
   )
)</f>
        <v>49644.144413458467</v>
      </c>
      <c r="AI47" s="326" cm="1">
        <f t="array" ref="AI47">_xlfn.XLOOKUP(
   $B$4&amp;" "&amp;$B47,
   Actuals!$D:$D,
   _xlfn.XLOOKUP(
      AI$6,
      Actuals!$H$3:$BD$3,
      Actuals!$H:$BD
   )
)</f>
        <v>50140.585857593054</v>
      </c>
      <c r="AJ47" s="326" cm="1">
        <f t="array" ref="AJ47">_xlfn.XLOOKUP(
   $B$4&amp;" "&amp;$B47,
   Actuals!$D:$D,
   _xlfn.XLOOKUP(
      AJ$6,
      Actuals!$H$3:$BD$3,
      Actuals!$H:$BD
   )
)</f>
        <v>50641.991716168988</v>
      </c>
      <c r="AK47" s="326" cm="1">
        <f t="array" ref="AK47">_xlfn.XLOOKUP(
   $B$4&amp;" "&amp;$B47,
   Actuals!$D:$D,
   _xlfn.XLOOKUP(
      AK$6,
      Actuals!$H$3:$BD$3,
      Actuals!$H:$BD
   )
)</f>
        <v>51148.411633330681</v>
      </c>
      <c r="AL47" s="326" cm="1">
        <f t="array" ref="AL47">_xlfn.XLOOKUP(
   $B$4&amp;" "&amp;$B47,
   Actuals!$D:$D,
   _xlfn.XLOOKUP(
      AL$6,
      Actuals!$H$3:$BD$3,
      Actuals!$H:$BD
   )
)</f>
        <v>51659.895749663985</v>
      </c>
      <c r="AM47" s="326" cm="1">
        <f t="array" ref="AM47">_xlfn.XLOOKUP(
   $B$4&amp;" "&amp;$B47,
   Actuals!$D:$D,
   _xlfn.XLOOKUP(
      AM$6,
      Actuals!$H$3:$BD$3,
      Actuals!$H:$BD
   )
)</f>
        <v>52176.494707160622</v>
      </c>
      <c r="AN47" s="326" cm="1">
        <f t="array" ref="AN47">_xlfn.XLOOKUP(
   $B$4&amp;" "&amp;$B47,
   Actuals!$D:$D,
   _xlfn.XLOOKUP(
      AN$6,
      Actuals!$H$3:$BD$3,
      Actuals!$H:$BD
   )
)</f>
        <v>52698.259654232228</v>
      </c>
      <c r="AO47" s="326" cm="1">
        <f t="array" ref="AO47">_xlfn.XLOOKUP(
   $B$4&amp;" "&amp;$B47,
   Actuals!$D:$D,
   _xlfn.XLOOKUP(
      AO$6,
      Actuals!$H$3:$BD$3,
      Actuals!$H:$BD
   )
)</f>
        <v>53225.24225077455</v>
      </c>
      <c r="AP47" s="326" cm="1">
        <f t="array" ref="AP47">_xlfn.XLOOKUP(
   $B$4&amp;" "&amp;$B47,
   Actuals!$D:$D,
   _xlfn.XLOOKUP(
      AP$6,
      Actuals!$H$3:$BD$3,
      Actuals!$H:$BD
   )
)</f>
        <v>53757.494673282294</v>
      </c>
      <c r="AQ47" s="326" cm="1">
        <f t="array" ref="AQ47">_xlfn.XLOOKUP(
   $B$4&amp;" "&amp;$B47,
   Actuals!$D:$D,
   _xlfn.XLOOKUP(
      AQ$6,
      Actuals!$H$3:$BD$3,
      Actuals!$H:$BD
   )
)</f>
        <v>54295.069620015114</v>
      </c>
      <c r="AR47" s="326" cm="1">
        <f t="array" ref="AR47">_xlfn.XLOOKUP(
   $B$4&amp;" "&amp;$B47,
   Actuals!$D:$D,
   _xlfn.XLOOKUP(
      AR$6,
      Actuals!$H$3:$BD$3,
      Actuals!$H:$BD
   )
)</f>
        <v>0</v>
      </c>
      <c r="AS47" s="326" cm="1">
        <f t="array" ref="AS47">_xlfn.XLOOKUP(
   $B$4&amp;" "&amp;$B47,
   Actuals!$D:$D,
   _xlfn.XLOOKUP(
      AS$6,
      Actuals!$H$3:$BD$3,
      Actuals!$H:$BD
   )
)</f>
        <v>0</v>
      </c>
      <c r="AT47" s="326" cm="1">
        <f t="array" ref="AT47">_xlfn.XLOOKUP(
   $B$4&amp;" "&amp;$B47,
   Actuals!$D:$D,
   _xlfn.XLOOKUP(
      AT$6,
      Actuals!$H$3:$BD$3,
      Actuals!$H:$BD
   )
)</f>
        <v>0</v>
      </c>
      <c r="AU47" s="326" cm="1">
        <f t="array" ref="AU47">_xlfn.XLOOKUP(
   $B$4&amp;" "&amp;$B47,
   Actuals!$D:$D,
   _xlfn.XLOOKUP(
      AU$6,
      Actuals!$H$3:$BD$3,
      Actuals!$H:$BD
   )
)</f>
        <v>0</v>
      </c>
      <c r="AV47" s="326" cm="1">
        <f t="array" ref="AV47">_xlfn.XLOOKUP(
   $B$4&amp;" "&amp;$B47,
   Actuals!$D:$D,
   _xlfn.XLOOKUP(
      AV$6,
      Actuals!$H$3:$BD$3,
      Actuals!$H:$BD
   )
)</f>
        <v>0</v>
      </c>
      <c r="AW47" s="326" cm="1">
        <f t="array" ref="AW47">_xlfn.XLOOKUP(
   $B$4&amp;" "&amp;$B47,
   Actuals!$D:$D,
   _xlfn.XLOOKUP(
      AW$6,
      Actuals!$H$3:$BD$3,
      Actuals!$H:$BD
   )
)</f>
        <v>0</v>
      </c>
      <c r="AX47" s="326" cm="1">
        <f t="array" ref="AX47">_xlfn.XLOOKUP(
   $B$4&amp;" "&amp;$B47,
   Actuals!$D:$D,
   _xlfn.XLOOKUP(
      AX$6,
      Actuals!$H$3:$BD$3,
      Actuals!$H:$BD
   )
)</f>
        <v>0</v>
      </c>
      <c r="AY47" s="326" cm="1">
        <f t="array" ref="AY47">_xlfn.XLOOKUP(
   $B$4&amp;" "&amp;$B47,
   Actuals!$D:$D,
   _xlfn.XLOOKUP(
      AY$6,
      Actuals!$H$3:$BD$3,
      Actuals!$H:$BD
   )
)</f>
        <v>0</v>
      </c>
      <c r="AZ47" s="326" cm="1">
        <f t="array" ref="AZ47">_xlfn.XLOOKUP(
   $B$4&amp;" "&amp;$B47,
   Actuals!$D:$D,
   _xlfn.XLOOKUP(
      AZ$6,
      Actuals!$H$3:$BD$3,
      Actuals!$H:$BD
   )
)</f>
        <v>0</v>
      </c>
      <c r="BA47" s="326"/>
      <c r="BB47" s="326" cm="1">
        <f t="array" ref="BB47">_xlfn.XLOOKUP(
   $B$4&amp;" "&amp;$B47,
   Actuals!$D:$D,
   _xlfn.XLOOKUP(
      BB$7,
      Actuals!$H$3:$BM$3,
      Actuals!$H:$BM
   )
)</f>
        <v>161277.80654407194</v>
      </c>
      <c r="BC47" s="326">
        <f>VLOOKUP($B$4&amp;" "&amp;$B47,Budget!$AG$4:$AL$132,$BB$5+1,FALSE)</f>
        <v>442762</v>
      </c>
      <c r="BD47" s="326">
        <f>BB47-BC47</f>
        <v>-281484.19345592806</v>
      </c>
      <c r="BE47" s="326"/>
      <c r="BF47" s="326" cm="1">
        <f t="array" ref="BF47">_xlfn.XLOOKUP(
   $B$4&amp;" "&amp;$B47,
   Actuals!$D:$D,
   _xlfn.XLOOKUP(
      BF$7,
      Actuals!$H$3:$BM$3,
      Actuals!$H:$BM
   )
)</f>
        <v>0</v>
      </c>
      <c r="BG47" s="326">
        <f>VLOOKUP($B$4&amp;" "&amp;$B47,Budget!$AG$4:$AL$132,BF$5+1,FALSE)</f>
        <v>401550</v>
      </c>
      <c r="BH47" s="326">
        <f>BF47-BG47</f>
        <v>-401550</v>
      </c>
      <c r="BI47" s="326"/>
      <c r="BJ47" s="326" cm="1">
        <f t="array" ref="BJ47">_xlfn.XLOOKUP(
   $B$4&amp;" "&amp;$B47,
   Actuals!$D:$D,
   _xlfn.XLOOKUP(
      BJ$7,
      Actuals!$H$3:$BM$3,
      Actuals!$H:$BM
   )
)</f>
        <v>0</v>
      </c>
      <c r="BK47" s="326">
        <f>VLOOKUP($B$4&amp;" "&amp;$B47,Budget!$AG$4:$AL$132,BJ$5+1,FALSE)</f>
        <v>410176</v>
      </c>
      <c r="BL47" s="326">
        <f>BJ47-BK47</f>
        <v>-410176</v>
      </c>
      <c r="BM47" s="326"/>
      <c r="BN47" s="326" cm="1">
        <f t="array" ref="BN47">_xlfn.XLOOKUP(
   $B$4&amp;" "&amp;$B47,
   Actuals!$D:$D,
   _xlfn.XLOOKUP(
      BN$7,
      Actuals!$H$3:$BM$3,
      Actuals!$H:$BM
   )
)</f>
        <v>0</v>
      </c>
      <c r="BO47" s="326">
        <f>VLOOKUP($B$4&amp;" "&amp;$B47,Budget!$AG$4:$AL$132,BN$5+1,FALSE)</f>
        <v>409989</v>
      </c>
      <c r="BP47" s="326"/>
      <c r="BQ47" s="326"/>
      <c r="BR47" s="326" cm="1">
        <f t="array" aca="1" ref="BR47" ca="1">_xlfn.XLOOKUP(
   $B$4&amp;" "&amp;$B47,
   Actuals!$D:$D,
   _xlfn.XLOOKUP(
      BR$6,
      Actuals!$H$3:$BM$3,
      Actuals!$H:$BM
   )
)</f>
        <v>161277.80654407194</v>
      </c>
      <c r="BS47" s="326">
        <f ca="1">VLOOKUP($B$4&amp;" "&amp;$B47,Budget!$AG$4:$AL$132,6,FALSE)</f>
        <v>1666090</v>
      </c>
      <c r="BT47" s="326">
        <f ca="1">BR47-BS47</f>
        <v>-1504812.193455928</v>
      </c>
      <c r="BU47" s="326"/>
      <c r="BV47" s="326" cm="1">
        <f t="array" ref="BV47">_xlfn.XLOOKUP(
   $B$4&amp;" "&amp;$B47,
   Actuals!$D:$D,
   _xlfn.XLOOKUP(
      BV$6,
      Actuals!$H$3:$BM$3,
      Actuals!$H:$BM
   )
)</f>
        <v>605044.76732822962</v>
      </c>
    </row>
    <row r="48" spans="2:74">
      <c r="B48" s="26" t="s">
        <v>100</v>
      </c>
      <c r="C48" s="139" t="s">
        <v>99</v>
      </c>
      <c r="D48" s="171" t="str">
        <f>VLOOKUP($B$4&amp;" "&amp;$B48,Actuals!$D$4:$AG$131,3,FALSE)</f>
        <v>$</v>
      </c>
      <c r="E48" s="274">
        <f>VLOOKUP($B$4&amp;" "&amp;$B48,Actuals!$D$4:$AG$131,MONTH(E$6)+4,FALSE)</f>
        <v>2.7599495918367345</v>
      </c>
      <c r="F48" s="267" t="str">
        <f>VLOOKUP($B$4&amp;" "&amp;$B48,Actuals!$D$4:$AG$131,MONTH(F$6)+4,FALSE)</f>
        <v>-</v>
      </c>
      <c r="G48" s="274">
        <f>VLOOKUP($B$4&amp;" "&amp;$B48,Actuals!$D$4:$AG$131,MONTH(G$6)+4,FALSE)</f>
        <v>2.1003974626865674</v>
      </c>
      <c r="H48" s="274">
        <f>VLOOKUP($B$4&amp;" "&amp;$B48,Actuals!$D$4:$AG$131,MONTH(H$6)+4,FALSE)</f>
        <v>23.8097952</v>
      </c>
      <c r="I48" s="267" t="str">
        <f>VLOOKUP($B$4&amp;" "&amp;$B48,Actuals!$D$4:$AG$131,MONTH(I$6)+4,FALSE)</f>
        <v>-</v>
      </c>
      <c r="J48" s="274">
        <f>VLOOKUP($B$4&amp;" "&amp;$B48,Actuals!$D$4:$AG$131,MONTH(J$6)+4,FALSE)</f>
        <v>0.67990830252726042</v>
      </c>
      <c r="K48" s="274" t="str">
        <f>VLOOKUP($B$4&amp;" "&amp;$B48,Actuals!$D$4:$AG$131,MONTH(K$6)+4,FALSE)</f>
        <v>-</v>
      </c>
      <c r="L48" s="267">
        <f>VLOOKUP($B$4&amp;" "&amp;$B48,Actuals!$D$4:$AG$131,MONTH(L$6)+4,FALSE)</f>
        <v>0.35496666115611397</v>
      </c>
      <c r="M48" s="274">
        <f>VLOOKUP($B$4&amp;" "&amp;$B48,Actuals!$D$4:$AG$131,MONTH(M$6)+4,FALSE)</f>
        <v>11.254523999999998</v>
      </c>
      <c r="N48" s="274" t="str">
        <f>VLOOKUP($B$4&amp;" "&amp;$B48,Actuals!$D$4:$AG$131,MONTH(N$6)+4,FALSE)</f>
        <v>-</v>
      </c>
      <c r="O48" s="267" t="str">
        <f>VLOOKUP($B$4&amp;" "&amp;$B48,Actuals!$D$4:$AG$131,MONTH(O$6)+4,FALSE)</f>
        <v>-</v>
      </c>
      <c r="P48" s="267" t="str">
        <f>VLOOKUP($B$4&amp;" "&amp;$B48,Actuals!$D$4:$AG$131,MONTH(P$6)+4,FALSE)</f>
        <v>-</v>
      </c>
      <c r="Q48" s="267" t="str">
        <f>VLOOKUP($B$4&amp;" "&amp;$B48,Actuals!$D$4:$AR$131,MONTH(Q$6)+16,FALSE)</f>
        <v>-</v>
      </c>
      <c r="R48" s="267" t="str">
        <f>VLOOKUP($B$4&amp;" "&amp;$B48,Actuals!$D$4:$AR$131,MONTH(R$6)+16,FALSE)</f>
        <v>-</v>
      </c>
      <c r="S48" s="267" t="str">
        <f>VLOOKUP($B$4&amp;" "&amp;$B48,Actuals!$D$4:$AR$131,MONTH(S$6)+16,FALSE)</f>
        <v>-</v>
      </c>
      <c r="T48" s="267" t="str">
        <f>VLOOKUP($B$4&amp;" "&amp;$B48,Actuals!$D$4:$AR$131,MONTH(T$6)+16,FALSE)</f>
        <v>-</v>
      </c>
      <c r="U48" s="267" t="str">
        <f>VLOOKUP($B$4&amp;" "&amp;$B48,Actuals!$D$4:$AR$131,MONTH(U$6)+16,FALSE)</f>
        <v>-</v>
      </c>
      <c r="V48" s="267" t="str" cm="1">
        <f t="array" ref="V48">_xlfn.XLOOKUP(
   $B$4&amp;" "&amp;$B48,
   Actuals!$D:$D,
   _xlfn.XLOOKUP(
      V$6,
      Actuals!$H$3:$BD$3,
      Actuals!$H:$BD
   )
)</f>
        <v>-</v>
      </c>
      <c r="W48" s="267" t="str" cm="1">
        <f t="array" ref="W48">_xlfn.XLOOKUP(
   $B$4&amp;" "&amp;$B48,
   Actuals!$D:$D,
   _xlfn.XLOOKUP(
      W$6,
      Actuals!$H$3:$BD$3,
      Actuals!$H:$BD
   )
)</f>
        <v>-</v>
      </c>
      <c r="X48" s="267" t="str" cm="1">
        <f t="array" ref="X48">_xlfn.XLOOKUP(
   $B$4&amp;" "&amp;$B48,
   Actuals!$D:$D,
   _xlfn.XLOOKUP(
      X$6,
      Actuals!$H$3:$BD$3,
      Actuals!$H:$BD
   )
)</f>
        <v>-</v>
      </c>
      <c r="Y48" s="267" t="str" cm="1">
        <f t="array" ref="Y48">_xlfn.XLOOKUP(
   $B$4&amp;" "&amp;$B48,
   Actuals!$D:$D,
   _xlfn.XLOOKUP(
      Y$6,
      Actuals!$H$3:$BD$3,
      Actuals!$H:$BD
   )
)</f>
        <v>-</v>
      </c>
      <c r="Z48" s="267" t="str" cm="1">
        <f t="array" ref="Z48">_xlfn.XLOOKUP(
   $B$4&amp;" "&amp;$B48,
   Actuals!$D:$D,
   _xlfn.XLOOKUP(
      Z$6,
      Actuals!$H$3:$BD$3,
      Actuals!$H:$BD
   )
)</f>
        <v>-</v>
      </c>
      <c r="AA48" s="267" t="str" cm="1">
        <f t="array" ref="AA48">_xlfn.XLOOKUP(
   $B$4&amp;" "&amp;$B48,
   Actuals!$D:$D,
   _xlfn.XLOOKUP(
      AA$6,
      Actuals!$H$3:$BD$3,
      Actuals!$H:$BD
   )
)</f>
        <v>-</v>
      </c>
      <c r="AB48" s="267" t="str" cm="1">
        <f t="array" ref="AB48">_xlfn.XLOOKUP(
   $B$4&amp;" "&amp;$B48,
   Actuals!$D:$D,
   _xlfn.XLOOKUP(
      AB$6,
      Actuals!$H$3:$BD$3,
      Actuals!$H:$BD
   )
)</f>
        <v>-</v>
      </c>
      <c r="AC48" s="267" t="str" cm="1">
        <f t="array" ref="AC48">_xlfn.XLOOKUP(
   $B$4&amp;" "&amp;$B48,
   Actuals!$D:$D,
   _xlfn.XLOOKUP(
      AC$6,
      Actuals!$H$3:$BD$3,
      Actuals!$H:$BD
   )
)</f>
        <v>-</v>
      </c>
      <c r="AD48" s="267" t="str" cm="1">
        <f t="array" ref="AD48">_xlfn.XLOOKUP(
   $B$4&amp;" "&amp;$B48,
   Actuals!$D:$D,
   _xlfn.XLOOKUP(
      AD$6,
      Actuals!$H$3:$BD$3,
      Actuals!$H:$BD
   )
)</f>
        <v>-</v>
      </c>
      <c r="AE48" s="267" t="str" cm="1">
        <f t="array" ref="AE48">_xlfn.XLOOKUP(
   $B$4&amp;" "&amp;$B48,
   Actuals!$D:$D,
   _xlfn.XLOOKUP(
      AE$6,
      Actuals!$H$3:$BD$3,
      Actuals!$H:$BD
   )
)</f>
        <v>-</v>
      </c>
      <c r="AF48" s="267" t="str" cm="1">
        <f t="array" ref="AF48">_xlfn.XLOOKUP(
   $B$4&amp;" "&amp;$B48,
   Actuals!$D:$D,
   _xlfn.XLOOKUP(
      AF$6,
      Actuals!$H$3:$BD$3,
      Actuals!$H:$BD
   )
)</f>
        <v>-</v>
      </c>
      <c r="AG48" s="267" t="str" cm="1">
        <f t="array" ref="AG48">_xlfn.XLOOKUP(
   $B$4&amp;" "&amp;$B48,
   Actuals!$D:$D,
   _xlfn.XLOOKUP(
      AG$6,
      Actuals!$H$3:$BD$3,
      Actuals!$H:$BD
   )
)</f>
        <v>-</v>
      </c>
      <c r="AH48" s="267" cm="1">
        <f t="array" ref="AH48">_xlfn.XLOOKUP(
   $B$4&amp;" "&amp;$B48,
   Actuals!$D:$D,
   _xlfn.XLOOKUP(
      AH$6,
      Actuals!$H$3:$BD$3,
      Actuals!$H:$BD
   )
)</f>
        <v>0.53669345311846994</v>
      </c>
      <c r="AI48" s="267" cm="1">
        <f t="array" ref="AI48">_xlfn.XLOOKUP(
   $B$4&amp;" "&amp;$B48,
   Actuals!$D:$D,
   _xlfn.XLOOKUP(
      AI$6,
      Actuals!$H$3:$BD$3,
      Actuals!$H:$BD
   )
)</f>
        <v>2.5070292928796527</v>
      </c>
      <c r="AJ48" s="267" cm="1">
        <f t="array" ref="AJ48">_xlfn.XLOOKUP(
   $B$4&amp;" "&amp;$B48,
   Actuals!$D:$D,
   _xlfn.XLOOKUP(
      AJ$6,
      Actuals!$H$3:$BD$3,
      Actuals!$H:$BD
   )
)</f>
        <v>0.63302489645211235</v>
      </c>
      <c r="AK48" s="267" cm="1">
        <f t="array" ref="AK48">_xlfn.XLOOKUP(
   $B$4&amp;" "&amp;$B48,
   Actuals!$D:$D,
   _xlfn.XLOOKUP(
      AK$6,
      Actuals!$H$3:$BD$3,
      Actuals!$H:$BD
   )
)</f>
        <v>3.4098941088887122</v>
      </c>
      <c r="AL48" s="267" cm="1">
        <f t="array" ref="AL48">_xlfn.XLOOKUP(
   $B$4&amp;" "&amp;$B48,
   Actuals!$D:$D,
   _xlfn.XLOOKUP(
      AL$6,
      Actuals!$H$3:$BD$3,
      Actuals!$H:$BD
   )
)</f>
        <v>10.331979149932797</v>
      </c>
      <c r="AM48" s="267" cm="1">
        <f t="array" ref="AM48">_xlfn.XLOOKUP(
   $B$4&amp;" "&amp;$B48,
   Actuals!$D:$D,
   _xlfn.XLOOKUP(
      AM$6,
      Actuals!$H$3:$BD$3,
      Actuals!$H:$BD
   )
)</f>
        <v>6.9568659609547492</v>
      </c>
      <c r="AN48" s="267" cm="1">
        <f t="array" ref="AN48">_xlfn.XLOOKUP(
   $B$4&amp;" "&amp;$B48,
   Actuals!$D:$D,
   _xlfn.XLOOKUP(
      AN$6,
      Actuals!$H$3:$BD$3,
      Actuals!$H:$BD
   )
)</f>
        <v>0.31461647554765509</v>
      </c>
      <c r="AO48" s="267" t="str" cm="1">
        <f t="array" ref="AO48">_xlfn.XLOOKUP(
   $B$4&amp;" "&amp;$B48,
   Actuals!$D:$D,
   _xlfn.XLOOKUP(
      AO$6,
      Actuals!$H$3:$BD$3,
      Actuals!$H:$BD
   )
)</f>
        <v>-</v>
      </c>
      <c r="AP48" s="267" t="str" cm="1">
        <f t="array" ref="AP48">_xlfn.XLOOKUP(
   $B$4&amp;" "&amp;$B48,
   Actuals!$D:$D,
   _xlfn.XLOOKUP(
      AP$6,
      Actuals!$H$3:$BD$3,
      Actuals!$H:$BD
   )
)</f>
        <v>-</v>
      </c>
      <c r="AQ48" s="267" t="str" cm="1">
        <f t="array" ref="AQ48">_xlfn.XLOOKUP(
   $B$4&amp;" "&amp;$B48,
   Actuals!$D:$D,
   _xlfn.XLOOKUP(
      AQ$6,
      Actuals!$H$3:$BD$3,
      Actuals!$H:$BD
   )
)</f>
        <v>-</v>
      </c>
      <c r="AR48" s="267" t="str" cm="1">
        <f t="array" ref="AR48">_xlfn.XLOOKUP(
   $B$4&amp;" "&amp;$B48,
   Actuals!$D:$D,
   _xlfn.XLOOKUP(
      AR$6,
      Actuals!$H$3:$BD$3,
      Actuals!$H:$BD
   )
)</f>
        <v>-</v>
      </c>
      <c r="AS48" s="267" t="str" cm="1">
        <f t="array" ref="AS48">_xlfn.XLOOKUP(
   $B$4&amp;" "&amp;$B48,
   Actuals!$D:$D,
   _xlfn.XLOOKUP(
      AS$6,
      Actuals!$H$3:$BD$3,
      Actuals!$H:$BD
   )
)</f>
        <v>-</v>
      </c>
      <c r="AT48" s="267" t="str" cm="1">
        <f t="array" ref="AT48">_xlfn.XLOOKUP(
   $B$4&amp;" "&amp;$B48,
   Actuals!$D:$D,
   _xlfn.XLOOKUP(
      AT$6,
      Actuals!$H$3:$BD$3,
      Actuals!$H:$BD
   )
)</f>
        <v>-</v>
      </c>
      <c r="AU48" s="267" t="str" cm="1">
        <f t="array" ref="AU48">_xlfn.XLOOKUP(
   $B$4&amp;" "&amp;$B48,
   Actuals!$D:$D,
   _xlfn.XLOOKUP(
      AU$6,
      Actuals!$H$3:$BD$3,
      Actuals!$H:$BD
   )
)</f>
        <v>-</v>
      </c>
      <c r="AV48" s="267" t="str" cm="1">
        <f t="array" ref="AV48">_xlfn.XLOOKUP(
   $B$4&amp;" "&amp;$B48,
   Actuals!$D:$D,
   _xlfn.XLOOKUP(
      AV$6,
      Actuals!$H$3:$BD$3,
      Actuals!$H:$BD
   )
)</f>
        <v>-</v>
      </c>
      <c r="AW48" s="267" t="str" cm="1">
        <f t="array" ref="AW48">_xlfn.XLOOKUP(
   $B$4&amp;" "&amp;$B48,
   Actuals!$D:$D,
   _xlfn.XLOOKUP(
      AW$6,
      Actuals!$H$3:$BD$3,
      Actuals!$H:$BD
   )
)</f>
        <v>-</v>
      </c>
      <c r="AX48" s="267" t="str" cm="1">
        <f t="array" ref="AX48">_xlfn.XLOOKUP(
   $B$4&amp;" "&amp;$B48,
   Actuals!$D:$D,
   _xlfn.XLOOKUP(
      AX$6,
      Actuals!$H$3:$BD$3,
      Actuals!$H:$BD
   )
)</f>
        <v>-</v>
      </c>
      <c r="AY48" s="267" t="str" cm="1">
        <f t="array" ref="AY48">_xlfn.XLOOKUP(
   $B$4&amp;" "&amp;$B48,
   Actuals!$D:$D,
   _xlfn.XLOOKUP(
      AY$6,
      Actuals!$H$3:$BD$3,
      Actuals!$H:$BD
   )
)</f>
        <v>-</v>
      </c>
      <c r="AZ48" s="267" t="str" cm="1">
        <f t="array" ref="AZ48">_xlfn.XLOOKUP(
   $B$4&amp;" "&amp;$B48,
   Actuals!$D:$D,
   _xlfn.XLOOKUP(
      AZ$6,
      Actuals!$H$3:$BD$3,
      Actuals!$H:$BD
   )
)</f>
        <v>-</v>
      </c>
      <c r="BA48" s="267"/>
      <c r="BB48" s="267" t="str" cm="1">
        <f t="array" ref="BB48">_xlfn.XLOOKUP(
   $B$4&amp;" "&amp;$B48,
   Actuals!$D:$D,
   _xlfn.XLOOKUP(
      BB$7,
      Actuals!$H$3:$BM$3,
      Actuals!$H:$BM
   )
)</f>
        <v>-</v>
      </c>
      <c r="BC48" s="267">
        <f>VLOOKUP($B$4&amp;" "&amp;$B48,Budget!$AG$4:$AL$132,$BB$5+1,FALSE)</f>
        <v>1.3836312500000001</v>
      </c>
      <c r="BD48" s="267" t="str">
        <f t="shared" ref="BD48" si="45">IFERROR(BB48-BC48,"-")</f>
        <v>-</v>
      </c>
      <c r="BE48" s="267"/>
      <c r="BF48" s="267" t="str" cm="1">
        <f t="array" ref="BF48">_xlfn.XLOOKUP(
   $B$4&amp;" "&amp;$B48,
   Actuals!$D:$D,
   _xlfn.XLOOKUP(
      BF$7,
      Actuals!$H$3:$BM$3,
      Actuals!$H:$BM
   )
)</f>
        <v>-</v>
      </c>
      <c r="BG48" s="267">
        <f>IFERROR(VLOOKUP($B$4&amp;" "&amp;$B48,Budget!$AG$4:$AL$132,$BF$5+1,FALSE),"n.a.")</f>
        <v>0.89233333333333331</v>
      </c>
      <c r="BH48" s="267" t="str">
        <f t="shared" ref="BH48" si="46">IFERROR(BF48-BG48,"-")</f>
        <v>-</v>
      </c>
      <c r="BI48" s="267"/>
      <c r="BJ48" s="267" t="str" cm="1">
        <f t="array" ref="BJ48">_xlfn.XLOOKUP(
   $B$4&amp;" "&amp;$B48,
   Actuals!$D:$D,
   _xlfn.XLOOKUP(
      BJ$7,
      Actuals!$H$3:$BM$3,
      Actuals!$H:$BM
   )
)</f>
        <v>-</v>
      </c>
      <c r="BK48" s="267">
        <f>IFERROR(VLOOKUP($B$4&amp;" "&amp;$B48,Budget!$AG$4:$AL$132,$BJ$5+1,FALSE),"n.a.")</f>
        <v>0.91150222222222221</v>
      </c>
      <c r="BL48" s="267" t="str">
        <f t="shared" ref="BL48" si="47">IFERROR(BJ48-BK48,"-")</f>
        <v>-</v>
      </c>
      <c r="BM48" s="267"/>
      <c r="BN48" s="267" t="str" cm="1">
        <f t="array" ref="BN48">_xlfn.XLOOKUP(
   $B$4&amp;" "&amp;$B48,
   Actuals!$D:$D,
   _xlfn.XLOOKUP(
      BN$7,
      Actuals!$H$3:$BM$3,
      Actuals!$H:$BM
   )
)</f>
        <v>-</v>
      </c>
      <c r="BO48" s="267">
        <f>IFERROR(VLOOKUP($B$4&amp;" "&amp;$B48,Budget!$AG$4:$AL$132,$BN$5+1,FALSE),"n.a.")</f>
        <v>0.70687758620689656</v>
      </c>
      <c r="BP48" s="267"/>
      <c r="BQ48" s="267"/>
      <c r="BR48" s="267" cm="1">
        <f t="array" aca="1" ref="BR48" ca="1">_xlfn.XLOOKUP(
   $B$4&amp;" "&amp;$B48,
   Actuals!$D:$D,
   _xlfn.XLOOKUP(
      BR$6,
      Actuals!$H$3:$BM$3,
      Actuals!$H:$BM
   )
)</f>
        <v>2.0575086114811794</v>
      </c>
      <c r="BS48" s="267">
        <f ca="1">VLOOKUP($B$4&amp;" "&amp;$B48,Budget!$AG$4:$AL$132,6,FALSE)</f>
        <v>0.92560555555555557</v>
      </c>
      <c r="BT48" s="267">
        <f ca="1">BR48-BS48</f>
        <v>1.1319030559256238</v>
      </c>
      <c r="BU48" s="267"/>
      <c r="BV48" s="267" t="str" cm="1">
        <f t="array" ref="BV48">_xlfn.XLOOKUP(
   $B$4&amp;" "&amp;$B48,
   Actuals!$D:$D,
   _xlfn.XLOOKUP(
      BV$6,
      Actuals!$H$3:$BM$3,
      Actuals!$H:$BM
   )
)</f>
        <v/>
      </c>
    </row>
    <row r="49" spans="2:74">
      <c r="O49" s="285"/>
      <c r="P49" s="285"/>
      <c r="Q49" s="285"/>
      <c r="R49" s="285"/>
      <c r="S49" s="285"/>
      <c r="T49" s="285"/>
      <c r="U49" s="285"/>
      <c r="V49" s="285"/>
      <c r="W49" s="285"/>
      <c r="X49" s="285"/>
      <c r="Y49" s="285"/>
      <c r="Z49" s="285"/>
      <c r="AA49" s="285"/>
      <c r="AB49" s="285"/>
      <c r="AC49" s="285"/>
      <c r="AD49" s="285"/>
      <c r="AE49" s="285"/>
      <c r="AF49" s="285"/>
      <c r="AG49" s="285"/>
      <c r="AH49" s="285"/>
      <c r="AI49" s="285"/>
      <c r="AJ49" s="285"/>
      <c r="AK49" s="285"/>
      <c r="AL49" s="285"/>
      <c r="AM49" s="285"/>
      <c r="AN49" s="285"/>
      <c r="AO49" s="285"/>
      <c r="AP49" s="285"/>
      <c r="AQ49" s="285"/>
      <c r="AR49" s="285"/>
      <c r="AS49" s="285"/>
      <c r="AT49" s="285"/>
      <c r="AU49" s="285"/>
      <c r="AV49" s="285"/>
      <c r="AW49" s="285"/>
      <c r="AX49" s="285"/>
      <c r="AY49" s="285"/>
      <c r="AZ49" s="285"/>
      <c r="BA49" s="285"/>
      <c r="BB49" s="285"/>
      <c r="BC49" s="285"/>
      <c r="BD49" s="285"/>
      <c r="BE49" s="285"/>
      <c r="BF49" s="285"/>
      <c r="BG49" s="285"/>
      <c r="BH49" s="285"/>
      <c r="BI49" s="285"/>
      <c r="BJ49" s="285"/>
      <c r="BK49" s="285"/>
      <c r="BL49" s="285"/>
      <c r="BM49" s="285"/>
      <c r="BN49" s="285"/>
      <c r="BO49" s="285"/>
      <c r="BP49" s="285"/>
      <c r="BQ49" s="285"/>
      <c r="BR49" s="285"/>
      <c r="BS49" s="285"/>
      <c r="BT49" s="285"/>
      <c r="BU49" s="285"/>
    </row>
    <row r="50" spans="2:74" ht="13">
      <c r="B50" s="126" t="s">
        <v>101</v>
      </c>
      <c r="C50" s="145"/>
      <c r="D50" s="176"/>
      <c r="E50" s="128"/>
      <c r="F50" s="128"/>
      <c r="G50" s="128"/>
      <c r="H50" s="128"/>
      <c r="I50" s="128"/>
      <c r="J50" s="128"/>
      <c r="K50" s="128"/>
      <c r="L50" s="128"/>
      <c r="M50" s="128"/>
      <c r="N50" s="128"/>
      <c r="O50" s="323"/>
      <c r="P50" s="323"/>
      <c r="Q50" s="323"/>
      <c r="R50" s="323"/>
      <c r="S50" s="323"/>
      <c r="T50" s="323"/>
      <c r="U50" s="323"/>
      <c r="V50" s="323"/>
      <c r="W50" s="323"/>
      <c r="X50" s="323"/>
      <c r="Y50" s="323"/>
      <c r="Z50" s="323"/>
      <c r="AA50" s="323"/>
      <c r="AB50" s="323"/>
      <c r="AC50" s="323"/>
      <c r="AD50" s="323"/>
      <c r="AE50" s="323"/>
      <c r="AF50" s="323"/>
      <c r="AG50" s="323"/>
      <c r="AH50" s="323"/>
      <c r="AI50" s="323"/>
      <c r="AJ50" s="323"/>
      <c r="AK50" s="323"/>
      <c r="AL50" s="323"/>
      <c r="AM50" s="323"/>
      <c r="AN50" s="323"/>
      <c r="AO50" s="323"/>
      <c r="AP50" s="323"/>
      <c r="AQ50" s="323"/>
      <c r="AR50" s="323"/>
      <c r="AS50" s="323"/>
      <c r="AT50" s="323"/>
      <c r="AU50" s="323"/>
      <c r="AV50" s="323"/>
      <c r="AW50" s="323"/>
      <c r="AX50" s="323"/>
      <c r="AY50" s="323"/>
      <c r="AZ50" s="323"/>
      <c r="BA50" s="323"/>
      <c r="BB50" s="323"/>
      <c r="BC50" s="323"/>
      <c r="BD50" s="323"/>
      <c r="BE50" s="323"/>
      <c r="BF50" s="323"/>
      <c r="BG50" s="323"/>
      <c r="BH50" s="323"/>
      <c r="BI50" s="323"/>
      <c r="BJ50" s="323"/>
      <c r="BK50" s="323"/>
      <c r="BL50" s="323"/>
      <c r="BM50" s="323"/>
      <c r="BN50" s="323"/>
      <c r="BO50" s="323"/>
      <c r="BP50" s="323"/>
      <c r="BQ50" s="323"/>
      <c r="BR50" s="323"/>
      <c r="BS50" s="323"/>
      <c r="BT50" s="323"/>
      <c r="BU50" s="323"/>
      <c r="BV50" s="323"/>
    </row>
    <row r="51" spans="2:74">
      <c r="B51" s="26" t="s">
        <v>102</v>
      </c>
      <c r="E51" s="260"/>
      <c r="F51" s="260"/>
      <c r="H51" s="260"/>
      <c r="I51" s="260"/>
      <c r="K51" s="260"/>
      <c r="L51" s="260"/>
      <c r="O51" s="285"/>
      <c r="P51" s="285"/>
      <c r="Q51" s="285"/>
      <c r="R51" s="285"/>
      <c r="S51" s="285"/>
      <c r="T51" s="285"/>
      <c r="U51" s="285"/>
      <c r="V51" s="285"/>
      <c r="W51" s="285"/>
      <c r="X51" s="285"/>
      <c r="Y51" s="285"/>
      <c r="Z51" s="285"/>
      <c r="AA51" s="285"/>
      <c r="AB51" s="285"/>
      <c r="AC51" s="285"/>
      <c r="AD51" s="285"/>
      <c r="AE51" s="285"/>
      <c r="AF51" s="285"/>
      <c r="AG51" s="285"/>
      <c r="AH51" s="285"/>
      <c r="AI51" s="285"/>
      <c r="AJ51" s="285"/>
      <c r="AK51" s="285"/>
      <c r="AL51" s="285"/>
      <c r="AM51" s="285"/>
      <c r="AN51" s="285"/>
      <c r="AO51" s="285"/>
      <c r="AP51" s="285"/>
      <c r="AQ51" s="285"/>
      <c r="AR51" s="285"/>
      <c r="AS51" s="285"/>
      <c r="AT51" s="285"/>
      <c r="AU51" s="285"/>
      <c r="AV51" s="285"/>
      <c r="AW51" s="285"/>
      <c r="AX51" s="285"/>
      <c r="AY51" s="285"/>
      <c r="AZ51" s="285"/>
      <c r="BA51" s="285"/>
      <c r="BB51" s="285"/>
      <c r="BC51" s="285"/>
      <c r="BD51" s="285"/>
      <c r="BE51" s="285"/>
      <c r="BF51" s="285"/>
      <c r="BG51" s="285"/>
      <c r="BH51" s="285"/>
      <c r="BI51" s="285"/>
      <c r="BJ51" s="285"/>
      <c r="BK51" s="285"/>
      <c r="BL51" s="285"/>
      <c r="BM51" s="285"/>
      <c r="BN51" s="285"/>
      <c r="BO51" s="285"/>
      <c r="BP51" s="285"/>
      <c r="BQ51" s="285"/>
      <c r="BR51" s="285"/>
      <c r="BS51" s="285"/>
      <c r="BT51" s="285"/>
      <c r="BU51" s="285"/>
    </row>
    <row r="52" spans="2:74">
      <c r="O52" s="285"/>
      <c r="P52" s="285"/>
      <c r="Q52" s="285"/>
      <c r="R52" s="285"/>
      <c r="S52" s="285"/>
      <c r="T52" s="285"/>
      <c r="U52" s="285"/>
      <c r="V52" s="285"/>
      <c r="W52" s="285"/>
      <c r="X52" s="285"/>
      <c r="Y52" s="285"/>
      <c r="Z52" s="285"/>
      <c r="AA52" s="285"/>
      <c r="AB52" s="285"/>
      <c r="AC52" s="285"/>
      <c r="AD52" s="285"/>
      <c r="AE52" s="285"/>
      <c r="AF52" s="285"/>
      <c r="AG52" s="285"/>
      <c r="AH52" s="285"/>
      <c r="AI52" s="285"/>
      <c r="AJ52" s="285"/>
      <c r="AK52" s="285"/>
      <c r="AL52" s="285"/>
      <c r="AM52" s="285"/>
      <c r="AN52" s="285"/>
      <c r="AO52" s="285"/>
      <c r="AP52" s="285"/>
      <c r="AQ52" s="285"/>
      <c r="AR52" s="285"/>
      <c r="AS52" s="285"/>
      <c r="AT52" s="285"/>
      <c r="AU52" s="285"/>
      <c r="AV52" s="285"/>
      <c r="AW52" s="285"/>
      <c r="AX52" s="285"/>
      <c r="AY52" s="285"/>
      <c r="AZ52" s="285"/>
      <c r="BA52" s="285"/>
      <c r="BB52" s="285"/>
      <c r="BC52" s="285"/>
      <c r="BD52" s="285"/>
      <c r="BE52" s="285"/>
      <c r="BF52" s="285"/>
      <c r="BG52" s="285"/>
      <c r="BH52" s="285"/>
      <c r="BI52" s="285"/>
      <c r="BJ52" s="285"/>
      <c r="BK52" s="285"/>
      <c r="BL52" s="285"/>
      <c r="BM52" s="285"/>
      <c r="BN52" s="285"/>
      <c r="BO52" s="285"/>
      <c r="BP52" s="285"/>
      <c r="BQ52" s="285"/>
      <c r="BR52" s="285"/>
      <c r="BS52" s="285"/>
      <c r="BT52" s="285"/>
      <c r="BU52" s="285"/>
    </row>
    <row r="53" spans="2:74">
      <c r="O53" s="285"/>
      <c r="P53" s="285"/>
      <c r="Q53" s="285"/>
      <c r="R53" s="285"/>
      <c r="S53" s="285"/>
      <c r="T53" s="285"/>
      <c r="U53" s="285"/>
      <c r="V53" s="285"/>
      <c r="W53" s="285"/>
      <c r="X53" s="285"/>
      <c r="Y53" s="285"/>
      <c r="Z53" s="285"/>
      <c r="AA53" s="285"/>
      <c r="AB53" s="285"/>
      <c r="AC53" s="285"/>
      <c r="AD53" s="285"/>
      <c r="AE53" s="285"/>
      <c r="AF53" s="285"/>
      <c r="AG53" s="285"/>
      <c r="AH53" s="285"/>
      <c r="AI53" s="285"/>
      <c r="AJ53" s="285"/>
      <c r="AK53" s="285"/>
      <c r="AL53" s="285"/>
      <c r="AM53" s="285"/>
      <c r="AN53" s="285"/>
      <c r="AO53" s="285"/>
      <c r="AP53" s="285"/>
      <c r="AQ53" s="285"/>
      <c r="AR53" s="285"/>
      <c r="AS53" s="285"/>
      <c r="AT53" s="285"/>
      <c r="AU53" s="285"/>
      <c r="AV53" s="285"/>
      <c r="AW53" s="285"/>
      <c r="AX53" s="285"/>
      <c r="AY53" s="285"/>
      <c r="AZ53" s="285"/>
      <c r="BA53" s="285"/>
      <c r="BB53" s="285"/>
      <c r="BC53" s="285"/>
      <c r="BD53" s="285"/>
      <c r="BE53" s="285"/>
      <c r="BF53" s="285"/>
      <c r="BG53" s="285"/>
      <c r="BH53" s="285"/>
      <c r="BI53" s="285"/>
      <c r="BJ53" s="285"/>
      <c r="BK53" s="285"/>
      <c r="BL53" s="285"/>
      <c r="BM53" s="285"/>
      <c r="BN53" s="285"/>
      <c r="BO53" s="285"/>
      <c r="BP53" s="285"/>
      <c r="BQ53" s="285"/>
      <c r="BR53" s="285"/>
      <c r="BS53" s="285"/>
      <c r="BT53" s="285"/>
      <c r="BU53" s="285"/>
    </row>
    <row r="54" spans="2:74">
      <c r="O54" s="285"/>
      <c r="P54" s="285"/>
      <c r="Q54" s="285"/>
      <c r="R54" s="285"/>
      <c r="S54" s="285"/>
      <c r="T54" s="285"/>
      <c r="U54" s="285"/>
      <c r="V54" s="285"/>
      <c r="W54" s="285"/>
      <c r="X54" s="285"/>
      <c r="Y54" s="285"/>
      <c r="Z54" s="285"/>
      <c r="AA54" s="285"/>
      <c r="AB54" s="285"/>
      <c r="AC54" s="285"/>
      <c r="AD54" s="285"/>
      <c r="AE54" s="285"/>
      <c r="AF54" s="285"/>
      <c r="AG54" s="285"/>
      <c r="AH54" s="285"/>
      <c r="AI54" s="285"/>
      <c r="AJ54" s="285"/>
      <c r="AK54" s="285"/>
      <c r="AL54" s="285"/>
      <c r="AM54" s="285"/>
      <c r="AN54" s="285"/>
      <c r="AO54" s="285"/>
      <c r="AP54" s="285"/>
      <c r="AQ54" s="285"/>
      <c r="AR54" s="285"/>
      <c r="AS54" s="285"/>
      <c r="AT54" s="285"/>
      <c r="AU54" s="285"/>
      <c r="AV54" s="285"/>
      <c r="AW54" s="285"/>
      <c r="AX54" s="285"/>
      <c r="AY54" s="285"/>
      <c r="AZ54" s="285"/>
      <c r="BA54" s="285"/>
      <c r="BB54" s="285"/>
      <c r="BC54" s="285"/>
      <c r="BD54" s="285"/>
      <c r="BE54" s="285"/>
      <c r="BF54" s="285"/>
      <c r="BG54" s="285"/>
      <c r="BH54" s="285"/>
      <c r="BI54" s="285"/>
      <c r="BJ54" s="285"/>
      <c r="BK54" s="285"/>
      <c r="BL54" s="285"/>
      <c r="BM54" s="285"/>
      <c r="BN54" s="285"/>
      <c r="BO54" s="285"/>
      <c r="BP54" s="285"/>
      <c r="BQ54" s="285"/>
      <c r="BR54" s="285"/>
      <c r="BS54" s="285"/>
      <c r="BT54" s="285"/>
      <c r="BU54" s="285"/>
    </row>
  </sheetData>
  <mergeCells count="10">
    <mergeCell ref="E5:J5"/>
    <mergeCell ref="BB5:BD5"/>
    <mergeCell ref="BR5:BT5"/>
    <mergeCell ref="BF5:BH5"/>
    <mergeCell ref="BJ5:BL5"/>
    <mergeCell ref="BN5:BP5"/>
    <mergeCell ref="BB7:BC7"/>
    <mergeCell ref="BF7:BG7"/>
    <mergeCell ref="BJ7:BK7"/>
    <mergeCell ref="BN7:BO7"/>
  </mergeCells>
  <pageMargins left="0.25" right="0.25" top="0.25" bottom="0.25" header="0.3" footer="0.3"/>
  <pageSetup scale="53" orientation="landscape" r:id="rId1"/>
  <headerFooter>
    <oddHeader>&amp;L&amp;"Aptos"&amp;10&amp;K000000 Internal Use Only&amp;1#_x000D_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46AD3-724E-4BF0-B6E1-627CA2118FAC}">
  <sheetPr codeName="Sheet6">
    <tabColor rgb="FF7030A0"/>
    <pageSetUpPr fitToPage="1"/>
  </sheetPr>
  <dimension ref="B1:BV66"/>
  <sheetViews>
    <sheetView showGridLines="0" workbookViewId="0">
      <pane xSplit="4" ySplit="6" topLeftCell="AC7" activePane="bottomRight" state="frozen"/>
      <selection pane="topRight" activeCell="E1" sqref="E1"/>
      <selection pane="bottomLeft" activeCell="A7" sqref="A7"/>
      <selection pane="bottomRight" activeCell="AO8" sqref="AO8"/>
    </sheetView>
  </sheetViews>
  <sheetFormatPr defaultColWidth="9.1796875" defaultRowHeight="12.5" outlineLevelCol="1"/>
  <cols>
    <col min="1" max="1" width="1.453125" style="26" customWidth="1"/>
    <col min="2" max="2" width="32.81640625" style="26" customWidth="1"/>
    <col min="3" max="4" width="6.81640625" style="135" customWidth="1"/>
    <col min="5" max="5" width="11.453125" style="26" hidden="1" customWidth="1" outlineLevel="1"/>
    <col min="6" max="6" width="11" style="26" hidden="1" customWidth="1" outlineLevel="1"/>
    <col min="7" max="7" width="10.26953125" style="26" hidden="1" customWidth="1" outlineLevel="1"/>
    <col min="8" max="8" width="11.453125" style="26" hidden="1" customWidth="1" outlineLevel="1"/>
    <col min="9" max="9" width="11" style="26" hidden="1" customWidth="1" outlineLevel="1"/>
    <col min="10" max="10" width="10.26953125" style="26" hidden="1" customWidth="1" outlineLevel="1"/>
    <col min="11" max="11" width="11.453125" style="26" hidden="1" customWidth="1" outlineLevel="1"/>
    <col min="12" max="12" width="11" style="26" hidden="1" customWidth="1" outlineLevel="1"/>
    <col min="13" max="16" width="10.26953125" style="26" hidden="1" customWidth="1" outlineLevel="1"/>
    <col min="17" max="28" width="11.81640625" style="26" hidden="1" customWidth="1" outlineLevel="1"/>
    <col min="29" max="29" width="11.81640625" style="26" hidden="1" customWidth="1" outlineLevel="1" collapsed="1"/>
    <col min="30" max="40" width="11.81640625" style="26" hidden="1" customWidth="1" outlineLevel="1"/>
    <col min="41" max="41" width="11.81640625" style="26" customWidth="1" collapsed="1"/>
    <col min="42" max="52" width="11.81640625" style="26" customWidth="1"/>
    <col min="53" max="53" width="1.453125" style="26" customWidth="1"/>
    <col min="54" max="54" width="10.81640625" style="26" customWidth="1"/>
    <col min="55" max="55" width="11.453125" style="26" customWidth="1"/>
    <col min="56" max="56" width="10.81640625" style="26" hidden="1" customWidth="1"/>
    <col min="57" max="57" width="0.81640625" style="26" customWidth="1"/>
    <col min="58" max="58" width="10.81640625" style="26" customWidth="1"/>
    <col min="59" max="59" width="11.453125" style="26" customWidth="1"/>
    <col min="60" max="60" width="10.81640625" style="26" hidden="1" customWidth="1"/>
    <col min="61" max="61" width="0.81640625" style="26" customWidth="1"/>
    <col min="62" max="62" width="9" style="26" bestFit="1" customWidth="1"/>
    <col min="63" max="63" width="11.1796875" style="26" customWidth="1"/>
    <col min="64" max="64" width="11.453125" style="26" hidden="1" customWidth="1"/>
    <col min="65" max="65" width="0.81640625" style="26" customWidth="1"/>
    <col min="66" max="66" width="12.1796875" style="26" customWidth="1"/>
    <col min="67" max="67" width="11.81640625" style="26" bestFit="1" customWidth="1"/>
    <col min="68" max="68" width="7.453125" style="26" hidden="1" customWidth="1"/>
    <col min="69" max="69" width="0.81640625" style="26" customWidth="1"/>
    <col min="70" max="70" width="11.81640625" style="26" bestFit="1" customWidth="1"/>
    <col min="71" max="71" width="10.81640625" style="26" bestFit="1" customWidth="1"/>
    <col min="72" max="72" width="11.453125" style="26" customWidth="1"/>
    <col min="73" max="73" width="0.81640625" style="26" customWidth="1"/>
    <col min="74" max="74" width="11.81640625" style="285" bestFit="1" customWidth="1"/>
    <col min="75" max="16384" width="9.1796875" style="26"/>
  </cols>
  <sheetData>
    <row r="1" spans="2:74" ht="6.75" customHeight="1">
      <c r="J1" s="26" t="s">
        <v>31</v>
      </c>
      <c r="M1" s="26" t="s">
        <v>31</v>
      </c>
      <c r="N1" s="26" t="s">
        <v>31</v>
      </c>
      <c r="O1" s="26" t="s">
        <v>31</v>
      </c>
      <c r="P1" s="26" t="s">
        <v>31</v>
      </c>
      <c r="Q1" s="26" t="s">
        <v>31</v>
      </c>
      <c r="R1" s="26" t="s">
        <v>31</v>
      </c>
      <c r="S1" s="26" t="s">
        <v>31</v>
      </c>
      <c r="T1" s="26" t="s">
        <v>31</v>
      </c>
      <c r="U1" s="26" t="s">
        <v>31</v>
      </c>
      <c r="V1" s="26" t="s">
        <v>31</v>
      </c>
    </row>
    <row r="2" spans="2:74">
      <c r="B2" s="26" t="str">
        <f>'2023 Control'!$C$3</f>
        <v>Concertiv</v>
      </c>
    </row>
    <row r="3" spans="2:74">
      <c r="B3" s="30" t="str">
        <f>('2024 Control'!$C$4)&amp;" Reporting Package"</f>
        <v>December 2025 Reporting Package</v>
      </c>
      <c r="C3" s="136"/>
      <c r="D3" s="136"/>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152"/>
      <c r="BU3" s="30"/>
      <c r="BV3" s="152"/>
    </row>
    <row r="4" spans="2:74" ht="20">
      <c r="B4" s="130" t="s">
        <v>103</v>
      </c>
      <c r="C4" s="137"/>
      <c r="D4" s="137"/>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0"/>
      <c r="AX4" s="130"/>
      <c r="AY4" s="130"/>
      <c r="AZ4" s="130"/>
      <c r="BA4" s="130"/>
      <c r="BB4" s="130"/>
      <c r="BC4" s="130"/>
      <c r="BD4" s="130"/>
      <c r="BE4" s="130"/>
      <c r="BF4" s="130"/>
      <c r="BG4" s="130"/>
      <c r="BH4" s="130"/>
      <c r="BI4" s="130"/>
      <c r="BJ4" s="130"/>
      <c r="BK4" s="130"/>
      <c r="BL4" s="130"/>
      <c r="BM4" s="130"/>
      <c r="BN4" s="130"/>
      <c r="BO4" s="130"/>
      <c r="BP4" s="130"/>
      <c r="BQ4" s="130"/>
      <c r="BR4" s="130"/>
      <c r="BS4" s="130"/>
      <c r="BT4" s="130"/>
      <c r="BU4" s="130"/>
      <c r="BV4" s="318"/>
    </row>
    <row r="5" spans="2:74" ht="15.75" customHeight="1" thickBot="1">
      <c r="E5" s="388" t="s">
        <v>33</v>
      </c>
      <c r="F5" s="388"/>
      <c r="G5" s="388"/>
      <c r="H5" s="388"/>
      <c r="I5" s="388"/>
      <c r="J5" s="388"/>
      <c r="K5" s="312"/>
      <c r="L5" s="312"/>
      <c r="M5" s="312"/>
      <c r="N5" s="312"/>
      <c r="O5" s="312"/>
      <c r="P5" s="312"/>
      <c r="Q5" s="312"/>
      <c r="R5" s="312"/>
      <c r="S5" s="312"/>
      <c r="T5" s="312"/>
      <c r="U5" s="312"/>
      <c r="V5" s="312"/>
      <c r="W5" s="312"/>
      <c r="X5" s="312"/>
      <c r="Y5" s="312"/>
      <c r="Z5" s="312"/>
      <c r="AA5" s="312"/>
      <c r="AB5" s="312"/>
      <c r="AC5" s="312"/>
      <c r="AD5" s="312"/>
      <c r="AE5" s="312"/>
      <c r="AF5" s="312"/>
      <c r="AG5" s="312"/>
      <c r="AH5" s="312"/>
      <c r="AI5" s="312"/>
      <c r="AJ5" s="312"/>
      <c r="AK5" s="312"/>
      <c r="AL5" s="312"/>
      <c r="AM5" s="312"/>
      <c r="AN5" s="312"/>
      <c r="AO5" s="312"/>
      <c r="AP5" s="312"/>
      <c r="AQ5" s="312"/>
      <c r="AR5" s="312"/>
      <c r="AS5" s="312"/>
      <c r="AT5" s="312"/>
      <c r="AU5" s="312"/>
      <c r="AV5" s="312"/>
      <c r="AW5" s="312"/>
      <c r="AX5" s="312"/>
      <c r="AY5" s="312"/>
      <c r="AZ5" s="312"/>
      <c r="BA5" s="146"/>
      <c r="BB5" s="389">
        <v>1</v>
      </c>
      <c r="BC5" s="389"/>
      <c r="BD5" s="389"/>
      <c r="BE5" s="146"/>
      <c r="BF5" s="389">
        <v>2</v>
      </c>
      <c r="BG5" s="389"/>
      <c r="BH5" s="389"/>
      <c r="BI5" s="146"/>
      <c r="BJ5" s="389">
        <v>3</v>
      </c>
      <c r="BK5" s="389"/>
      <c r="BL5" s="389"/>
      <c r="BM5" s="146"/>
      <c r="BN5" s="389">
        <v>4</v>
      </c>
      <c r="BO5" s="389"/>
      <c r="BP5" s="389"/>
      <c r="BQ5" s="146"/>
      <c r="BR5" s="388" t="s">
        <v>34</v>
      </c>
      <c r="BS5" s="388"/>
      <c r="BT5" s="388"/>
      <c r="BU5" s="146"/>
      <c r="BV5" s="319"/>
    </row>
    <row r="6" spans="2:74" ht="13.5" thickBot="1">
      <c r="D6" s="148" t="s">
        <v>35</v>
      </c>
      <c r="E6" s="203">
        <v>44957</v>
      </c>
      <c r="F6" s="203">
        <v>44985</v>
      </c>
      <c r="G6" s="203">
        <v>45016</v>
      </c>
      <c r="H6" s="203">
        <f>EOMONTH(G6,1)</f>
        <v>45046</v>
      </c>
      <c r="I6" s="203">
        <f t="shared" ref="I6:J6" si="0">EOMONTH(H6,1)</f>
        <v>45077</v>
      </c>
      <c r="J6" s="203">
        <f t="shared" si="0"/>
        <v>45107</v>
      </c>
      <c r="K6" s="203">
        <f>EOMONTH(J6,1)</f>
        <v>45138</v>
      </c>
      <c r="L6" s="203">
        <f t="shared" ref="L6" si="1">EOMONTH(K6,1)</f>
        <v>45169</v>
      </c>
      <c r="M6" s="203">
        <f t="shared" ref="M6:V6" si="2">EOMONTH(L6,1)</f>
        <v>45199</v>
      </c>
      <c r="N6" s="203">
        <f t="shared" si="2"/>
        <v>45230</v>
      </c>
      <c r="O6" s="203">
        <f t="shared" si="2"/>
        <v>45260</v>
      </c>
      <c r="P6" s="203">
        <f t="shared" si="2"/>
        <v>45291</v>
      </c>
      <c r="Q6" s="203">
        <f t="shared" si="2"/>
        <v>45322</v>
      </c>
      <c r="R6" s="203">
        <f t="shared" si="2"/>
        <v>45351</v>
      </c>
      <c r="S6" s="203">
        <f t="shared" si="2"/>
        <v>45382</v>
      </c>
      <c r="T6" s="203">
        <f t="shared" si="2"/>
        <v>45412</v>
      </c>
      <c r="U6" s="203">
        <f t="shared" si="2"/>
        <v>45443</v>
      </c>
      <c r="V6" s="203">
        <f t="shared" si="2"/>
        <v>45473</v>
      </c>
      <c r="W6" s="203">
        <f t="shared" ref="W6" si="3">EOMONTH(V6,1)</f>
        <v>45504</v>
      </c>
      <c r="X6" s="203">
        <f t="shared" ref="X6" si="4">EOMONTH(W6,1)</f>
        <v>45535</v>
      </c>
      <c r="Y6" s="203">
        <f t="shared" ref="Y6" si="5">EOMONTH(X6,1)</f>
        <v>45565</v>
      </c>
      <c r="Z6" s="203">
        <f t="shared" ref="Z6" si="6">EOMONTH(Y6,1)</f>
        <v>45596</v>
      </c>
      <c r="AA6" s="203">
        <f t="shared" ref="AA6" si="7">EOMONTH(Z6,1)</f>
        <v>45626</v>
      </c>
      <c r="AB6" s="203">
        <f t="shared" ref="AB6" si="8">EOMONTH(AA6,1)</f>
        <v>45657</v>
      </c>
      <c r="AC6" s="203">
        <f t="shared" ref="AC6" si="9">EOMONTH(AB6,1)</f>
        <v>45688</v>
      </c>
      <c r="AD6" s="203">
        <f t="shared" ref="AD6" si="10">EOMONTH(AC6,1)</f>
        <v>45716</v>
      </c>
      <c r="AE6" s="203">
        <f t="shared" ref="AE6" si="11">EOMONTH(AD6,1)</f>
        <v>45747</v>
      </c>
      <c r="AF6" s="203">
        <f t="shared" ref="AF6" si="12">EOMONTH(AE6,1)</f>
        <v>45777</v>
      </c>
      <c r="AG6" s="203">
        <f t="shared" ref="AG6" si="13">EOMONTH(AF6,1)</f>
        <v>45808</v>
      </c>
      <c r="AH6" s="203">
        <f t="shared" ref="AH6" si="14">EOMONTH(AG6,1)</f>
        <v>45838</v>
      </c>
      <c r="AI6" s="203">
        <f t="shared" ref="AI6" si="15">EOMONTH(AH6,1)</f>
        <v>45869</v>
      </c>
      <c r="AJ6" s="203">
        <f t="shared" ref="AJ6" si="16">EOMONTH(AI6,1)</f>
        <v>45900</v>
      </c>
      <c r="AK6" s="203">
        <f t="shared" ref="AK6" si="17">EOMONTH(AJ6,1)</f>
        <v>45930</v>
      </c>
      <c r="AL6" s="203">
        <f t="shared" ref="AL6" si="18">EOMONTH(AK6,1)</f>
        <v>45961</v>
      </c>
      <c r="AM6" s="203">
        <f t="shared" ref="AM6" si="19">EOMONTH(AL6,1)</f>
        <v>45991</v>
      </c>
      <c r="AN6" s="203">
        <f t="shared" ref="AN6" si="20">EOMONTH(AM6,1)</f>
        <v>46022</v>
      </c>
      <c r="AO6" s="203">
        <f t="shared" ref="AO6" si="21">EOMONTH(AN6,1)</f>
        <v>46053</v>
      </c>
      <c r="AP6" s="203">
        <f t="shared" ref="AP6" si="22">EOMONTH(AO6,1)</f>
        <v>46081</v>
      </c>
      <c r="AQ6" s="203">
        <f t="shared" ref="AQ6" si="23">EOMONTH(AP6,1)</f>
        <v>46112</v>
      </c>
      <c r="AR6" s="203">
        <f t="shared" ref="AR6" si="24">EOMONTH(AQ6,1)</f>
        <v>46142</v>
      </c>
      <c r="AS6" s="203">
        <f t="shared" ref="AS6" si="25">EOMONTH(AR6,1)</f>
        <v>46173</v>
      </c>
      <c r="AT6" s="203">
        <f t="shared" ref="AT6" si="26">EOMONTH(AS6,1)</f>
        <v>46203</v>
      </c>
      <c r="AU6" s="203">
        <f t="shared" ref="AU6" si="27">EOMONTH(AT6,1)</f>
        <v>46234</v>
      </c>
      <c r="AV6" s="203">
        <f t="shared" ref="AV6" si="28">EOMONTH(AU6,1)</f>
        <v>46265</v>
      </c>
      <c r="AW6" s="203">
        <f t="shared" ref="AW6" si="29">EOMONTH(AV6,1)</f>
        <v>46295</v>
      </c>
      <c r="AX6" s="203">
        <f t="shared" ref="AX6" si="30">EOMONTH(AW6,1)</f>
        <v>46326</v>
      </c>
      <c r="AY6" s="203">
        <f t="shared" ref="AY6" si="31">EOMONTH(AX6,1)</f>
        <v>46356</v>
      </c>
      <c r="AZ6" s="203">
        <f t="shared" ref="AZ6" si="32">EOMONTH(AY6,1)</f>
        <v>46387</v>
      </c>
      <c r="BB6" s="118" t="s">
        <v>36</v>
      </c>
      <c r="BC6" s="117" t="s">
        <v>37</v>
      </c>
      <c r="BD6" s="117" t="s">
        <v>38</v>
      </c>
      <c r="BF6" s="118" t="s">
        <v>36</v>
      </c>
      <c r="BG6" s="117" t="s">
        <v>37</v>
      </c>
      <c r="BH6" s="117" t="s">
        <v>38</v>
      </c>
      <c r="BJ6" s="118" t="s">
        <v>36</v>
      </c>
      <c r="BK6" s="117" t="s">
        <v>37</v>
      </c>
      <c r="BL6" s="117" t="s">
        <v>38</v>
      </c>
      <c r="BN6" s="118" t="s">
        <v>36</v>
      </c>
      <c r="BO6" s="117" t="s">
        <v>37</v>
      </c>
      <c r="BP6" s="117" t="s">
        <v>38</v>
      </c>
      <c r="BR6" s="118" t="s">
        <v>39</v>
      </c>
      <c r="BS6" s="117" t="s">
        <v>37</v>
      </c>
      <c r="BT6" s="117" t="s">
        <v>38</v>
      </c>
      <c r="BV6" s="118" t="s">
        <v>40</v>
      </c>
    </row>
    <row r="7" spans="2:74">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B7" s="390" t="s">
        <v>41</v>
      </c>
      <c r="BC7" s="390"/>
      <c r="BD7" s="120"/>
      <c r="BF7" s="390" t="s">
        <v>42</v>
      </c>
      <c r="BG7" s="390"/>
      <c r="BH7" s="120"/>
      <c r="BJ7" s="390" t="s">
        <v>43</v>
      </c>
      <c r="BK7" s="390"/>
      <c r="BL7" s="120"/>
      <c r="BN7" s="390" t="s">
        <v>44</v>
      </c>
      <c r="BO7" s="390"/>
      <c r="BP7" s="120"/>
      <c r="BR7" s="121"/>
      <c r="BS7" s="121"/>
      <c r="BT7" s="120"/>
      <c r="BV7" s="320"/>
    </row>
    <row r="8" spans="2:74" ht="15">
      <c r="B8" s="126" t="s">
        <v>104</v>
      </c>
      <c r="C8" s="138"/>
      <c r="D8" s="138"/>
      <c r="E8" s="127"/>
      <c r="F8" s="127"/>
      <c r="G8" s="127"/>
      <c r="H8" s="127"/>
      <c r="I8" s="127"/>
      <c r="J8" s="127"/>
      <c r="K8" s="127"/>
      <c r="L8" s="127"/>
      <c r="M8" s="127"/>
      <c r="N8" s="127"/>
      <c r="O8" s="127"/>
      <c r="P8" s="127"/>
      <c r="Q8" s="127"/>
      <c r="R8" s="127"/>
      <c r="S8" s="127"/>
      <c r="T8" s="127"/>
      <c r="U8" s="127"/>
      <c r="V8" s="127"/>
      <c r="W8" s="127"/>
      <c r="X8" s="127"/>
      <c r="Y8" s="127"/>
      <c r="Z8" s="127"/>
      <c r="AA8" s="127"/>
      <c r="AB8" s="127"/>
      <c r="AC8" s="127"/>
      <c r="AD8" s="127"/>
      <c r="AE8" s="127"/>
      <c r="AF8" s="127"/>
      <c r="AG8" s="127"/>
      <c r="AH8" s="127"/>
      <c r="AI8" s="127"/>
      <c r="AJ8" s="127"/>
      <c r="AK8" s="127"/>
      <c r="AL8" s="127"/>
      <c r="AM8" s="127"/>
      <c r="AN8" s="127"/>
      <c r="AO8" s="127"/>
      <c r="AP8" s="127"/>
      <c r="AQ8" s="127"/>
      <c r="AR8" s="127"/>
      <c r="AS8" s="127"/>
      <c r="AT8" s="127"/>
      <c r="AU8" s="127"/>
      <c r="AV8" s="127"/>
      <c r="AW8" s="127"/>
      <c r="AX8" s="127"/>
      <c r="AY8" s="127"/>
      <c r="AZ8" s="127"/>
      <c r="BA8" s="127"/>
      <c r="BB8" s="127"/>
      <c r="BC8" s="127"/>
      <c r="BD8" s="127"/>
      <c r="BE8" s="127"/>
      <c r="BF8" s="127"/>
      <c r="BG8" s="127"/>
      <c r="BH8" s="127"/>
      <c r="BI8" s="127"/>
      <c r="BJ8" s="127"/>
      <c r="BK8" s="127"/>
      <c r="BL8" s="127"/>
      <c r="BM8" s="127"/>
      <c r="BN8" s="127"/>
      <c r="BO8" s="127"/>
      <c r="BP8" s="127"/>
      <c r="BQ8" s="127"/>
      <c r="BR8" s="127"/>
      <c r="BS8" s="127"/>
      <c r="BT8" s="127"/>
      <c r="BU8" s="127"/>
      <c r="BV8" s="321"/>
    </row>
    <row r="9" spans="2:74">
      <c r="B9" s="26" t="s">
        <v>105</v>
      </c>
      <c r="C9" s="139" t="s">
        <v>49</v>
      </c>
      <c r="D9" s="171" t="str">
        <f>VLOOKUP($B$4&amp;" "&amp;$B9,Actuals!$D$4:$AG$131,3,FALSE)</f>
        <v>#</v>
      </c>
      <c r="E9" s="168" cm="1">
        <f t="array" ref="E9">_xlfn.XLOOKUP(
   $B$4&amp;" "&amp;$B9,
   Actuals!$D:$D,
   _xlfn.XLOOKUP(
      E$6,
      Actuals!$H$3:$BD$3,
      Actuals!$H:$BD
   )
)</f>
        <v>13</v>
      </c>
      <c r="F9" s="168" cm="1">
        <f t="array" ref="F9">_xlfn.XLOOKUP(
   $B$4&amp;" "&amp;$B9,
   Actuals!$D:$D,
   _xlfn.XLOOKUP(
      F$6,
      Actuals!$H$3:$BD$3,
      Actuals!$H:$BD
   )
)</f>
        <v>2</v>
      </c>
      <c r="G9" s="168" cm="1">
        <f t="array" ref="G9">_xlfn.XLOOKUP(
   $B$4&amp;" "&amp;$B9,
   Actuals!$D:$D,
   _xlfn.XLOOKUP(
      G$6,
      Actuals!$H$3:$BD$3,
      Actuals!$H:$BD
   )
)</f>
        <v>2</v>
      </c>
      <c r="H9" s="168" cm="1">
        <f t="array" ref="H9">_xlfn.XLOOKUP(
   $B$4&amp;" "&amp;$B9,
   Actuals!$D:$D,
   _xlfn.XLOOKUP(
      H$6,
      Actuals!$H$3:$BD$3,
      Actuals!$H:$BD
   )
)</f>
        <v>0</v>
      </c>
      <c r="I9" s="168" cm="1">
        <f t="array" ref="I9">_xlfn.XLOOKUP(
   $B$4&amp;" "&amp;$B9,
   Actuals!$D:$D,
   _xlfn.XLOOKUP(
      I$6,
      Actuals!$H$3:$BD$3,
      Actuals!$H:$BD
   )
)</f>
        <v>8</v>
      </c>
      <c r="J9" s="168" cm="1">
        <f t="array" ref="J9">_xlfn.XLOOKUP(
   $B$4&amp;" "&amp;$B9,
   Actuals!$D:$D,
   _xlfn.XLOOKUP(
      J$6,
      Actuals!$H$3:$BD$3,
      Actuals!$H:$BD
   )
)</f>
        <v>20</v>
      </c>
      <c r="K9" s="168" cm="1">
        <f t="array" ref="K9">_xlfn.XLOOKUP(
   $B$4&amp;" "&amp;$B9,
   Actuals!$D:$D,
   _xlfn.XLOOKUP(
      K$6,
      Actuals!$H$3:$BD$3,
      Actuals!$H:$BD
   )
)</f>
        <v>13</v>
      </c>
      <c r="L9" s="168" cm="1">
        <f t="array" ref="L9">_xlfn.XLOOKUP(
   $B$4&amp;" "&amp;$B9,
   Actuals!$D:$D,
   _xlfn.XLOOKUP(
      L$6,
      Actuals!$H$3:$BD$3,
      Actuals!$H:$BD
   )
)</f>
        <v>0</v>
      </c>
      <c r="M9" s="168" cm="1">
        <f t="array" ref="M9">_xlfn.XLOOKUP(
   $B$4&amp;" "&amp;$B9,
   Actuals!$D:$D,
   _xlfn.XLOOKUP(
      M$6,
      Actuals!$H$3:$BD$3,
      Actuals!$H:$BD
   )
)</f>
        <v>14</v>
      </c>
      <c r="N9" s="168" cm="1">
        <f t="array" ref="N9">_xlfn.XLOOKUP(
   $B$4&amp;" "&amp;$B9,
   Actuals!$D:$D,
   _xlfn.XLOOKUP(
      N$6,
      Actuals!$H$3:$BD$3,
      Actuals!$H:$BD
   )
)</f>
        <v>9</v>
      </c>
      <c r="O9" s="292" cm="1">
        <f t="array" ref="O9">_xlfn.XLOOKUP(
   $B$4&amp;" "&amp;$B9,
   Actuals!$D:$D,
   _xlfn.XLOOKUP(
      O$6,
      Actuals!$H$3:$BD$3,
      Actuals!$H:$BD
   )
)</f>
        <v>0</v>
      </c>
      <c r="P9" s="292" cm="1">
        <f t="array" ref="P9">_xlfn.XLOOKUP(
   $B$4&amp;" "&amp;$B9,
   Actuals!$D:$D,
   _xlfn.XLOOKUP(
      P$6,
      Actuals!$H$3:$BD$3,
      Actuals!$H:$BD
   )
)</f>
        <v>0</v>
      </c>
      <c r="Q9" s="292" cm="1">
        <f t="array" ref="Q9">_xlfn.XLOOKUP(
   $B$4&amp;" "&amp;$B9,
   Actuals!$D:$D,
   _xlfn.XLOOKUP(
      Q$6,
      Actuals!$H$3:$BD$3,
      Actuals!$H:$BD
   )
)</f>
        <v>0</v>
      </c>
      <c r="R9" s="292" cm="1">
        <f t="array" ref="R9">_xlfn.XLOOKUP(
   $B$4&amp;" "&amp;$B9,
   Actuals!$D:$D,
   _xlfn.XLOOKUP(
      R$6,
      Actuals!$H$3:$BD$3,
      Actuals!$H:$BD
   )
)</f>
        <v>0</v>
      </c>
      <c r="S9" s="292" cm="1">
        <f t="array" ref="S9">_xlfn.XLOOKUP(
   $B$4&amp;" "&amp;$B9,
   Actuals!$D:$D,
   _xlfn.XLOOKUP(
      S$6,
      Actuals!$H$3:$BD$3,
      Actuals!$H:$BD
   )
)</f>
        <v>0</v>
      </c>
      <c r="T9" s="292" cm="1">
        <f t="array" ref="T9">_xlfn.XLOOKUP(
   $B$4&amp;" "&amp;$B9,
   Actuals!$D:$D,
   _xlfn.XLOOKUP(
      T$6,
      Actuals!$H$3:$BD$3,
      Actuals!$H:$BD
   )
)</f>
        <v>0</v>
      </c>
      <c r="U9" s="292" cm="1">
        <f t="array" ref="U9">_xlfn.XLOOKUP(
   $B$4&amp;" "&amp;$B9,
   Actuals!$D:$D,
   _xlfn.XLOOKUP(
      U$6,
      Actuals!$H$3:$BD$3,
      Actuals!$H:$BD
   )
)</f>
        <v>0</v>
      </c>
      <c r="V9" s="292" cm="1">
        <f t="array" ref="V9">_xlfn.XLOOKUP(
   $B$4&amp;" "&amp;$B9,
   Actuals!$D:$D,
   _xlfn.XLOOKUP(
      V$6,
      Actuals!$H$3:$BD$3,
      Actuals!$H:$BD
   )
)</f>
        <v>0</v>
      </c>
      <c r="W9" s="292" cm="1">
        <f t="array" ref="W9">_xlfn.XLOOKUP(
   $B$4&amp;" "&amp;$B9,
   Actuals!$D:$D,
   _xlfn.XLOOKUP(
      W$6,
      Actuals!$H$3:$BD$3,
      Actuals!$H:$BD
   )
)</f>
        <v>0</v>
      </c>
      <c r="X9" s="292" cm="1">
        <f t="array" ref="X9">_xlfn.XLOOKUP(
   $B$4&amp;" "&amp;$B9,
   Actuals!$D:$D,
   _xlfn.XLOOKUP(
      X$6,
      Actuals!$H$3:$BD$3,
      Actuals!$H:$BD
   )
)</f>
        <v>0</v>
      </c>
      <c r="Y9" s="292" cm="1">
        <f t="array" ref="Y9">_xlfn.XLOOKUP(
   $B$4&amp;" "&amp;$B9,
   Actuals!$D:$D,
   _xlfn.XLOOKUP(
      Y$6,
      Actuals!$H$3:$BD$3,
      Actuals!$H:$BD
   )
)</f>
        <v>0</v>
      </c>
      <c r="Z9" s="292" cm="1">
        <f t="array" ref="Z9">_xlfn.XLOOKUP(
   $B$4&amp;" "&amp;$B9,
   Actuals!$D:$D,
   _xlfn.XLOOKUP(
      Z$6,
      Actuals!$H$3:$BD$3,
      Actuals!$H:$BD
   )
)</f>
        <v>0</v>
      </c>
      <c r="AA9" s="292" cm="1">
        <f t="array" ref="AA9">_xlfn.XLOOKUP(
   $B$4&amp;" "&amp;$B9,
   Actuals!$D:$D,
   _xlfn.XLOOKUP(
      AA$6,
      Actuals!$H$3:$BD$3,
      Actuals!$H:$BD
   )
)</f>
        <v>0</v>
      </c>
      <c r="AB9" s="292" cm="1">
        <f t="array" ref="AB9">_xlfn.XLOOKUP(
   $B$4&amp;" "&amp;$B9,
   Actuals!$D:$D,
   _xlfn.XLOOKUP(
      AB$6,
      Actuals!$H$3:$BD$3,
      Actuals!$H:$BD
   )
)</f>
        <v>0</v>
      </c>
      <c r="AC9" s="292" cm="1">
        <f t="array" ref="AC9">_xlfn.XLOOKUP(
   $B$4&amp;" "&amp;$B9,
   Actuals!$D:$D,
   _xlfn.XLOOKUP(
      AC$6,
      Actuals!$H$3:$BD$3,
      Actuals!$H:$BD
   )
)</f>
        <v>0</v>
      </c>
      <c r="AD9" s="292" cm="1">
        <f t="array" ref="AD9">_xlfn.XLOOKUP(
   $B$4&amp;" "&amp;$B9,
   Actuals!$D:$D,
   _xlfn.XLOOKUP(
      AD$6,
      Actuals!$H$3:$BD$3,
      Actuals!$H:$BD
   )
)</f>
        <v>0</v>
      </c>
      <c r="AE9" s="292" cm="1">
        <f t="array" ref="AE9">_xlfn.XLOOKUP(
   $B$4&amp;" "&amp;$B9,
   Actuals!$D:$D,
   _xlfn.XLOOKUP(
      AE$6,
      Actuals!$H$3:$BD$3,
      Actuals!$H:$BD
   )
)</f>
        <v>0</v>
      </c>
      <c r="AF9" s="292" cm="1">
        <f t="array" ref="AF9">_xlfn.XLOOKUP(
   $B$4&amp;" "&amp;$B9,
   Actuals!$D:$D,
   _xlfn.XLOOKUP(
      AF$6,
      Actuals!$H$3:$BD$3,
      Actuals!$H:$BD
   )
)</f>
        <v>0</v>
      </c>
      <c r="AG9" s="292" cm="1">
        <f t="array" ref="AG9">_xlfn.XLOOKUP(
   $B$4&amp;" "&amp;$B9,
   Actuals!$D:$D,
   _xlfn.XLOOKUP(
      AG$6,
      Actuals!$H$3:$BD$3,
      Actuals!$H:$BD
   )
)</f>
        <v>86</v>
      </c>
      <c r="AH9" s="292" cm="1">
        <f t="array" ref="AH9">_xlfn.XLOOKUP(
   $B$4&amp;" "&amp;$B9,
   Actuals!$D:$D,
   _xlfn.XLOOKUP(
      AH$6,
      Actuals!$H$3:$BD$3,
      Actuals!$H:$BD
   )
)</f>
        <v>123</v>
      </c>
      <c r="AI9" s="292" cm="1">
        <f t="array" ref="AI9">_xlfn.XLOOKUP(
   $B$4&amp;" "&amp;$B9,
   Actuals!$D:$D,
   _xlfn.XLOOKUP(
      AI$6,
      Actuals!$H$3:$BD$3,
      Actuals!$H:$BD
   )
)</f>
        <v>123</v>
      </c>
      <c r="AJ9" s="292" cm="1">
        <f t="array" ref="AJ9">_xlfn.XLOOKUP(
   $B$4&amp;" "&amp;$B9,
   Actuals!$D:$D,
   _xlfn.XLOOKUP(
      AJ$6,
      Actuals!$H$3:$BD$3,
      Actuals!$H:$BD
   )
)</f>
        <v>334</v>
      </c>
      <c r="AK9" s="292" cm="1">
        <f t="array" ref="AK9">_xlfn.XLOOKUP(
   $B$4&amp;" "&amp;$B9,
   Actuals!$D:$D,
   _xlfn.XLOOKUP(
      AK$6,
      Actuals!$H$3:$BD$3,
      Actuals!$H:$BD
   )
)</f>
        <v>334</v>
      </c>
      <c r="AL9" s="292" cm="1">
        <f t="array" ref="AL9">_xlfn.XLOOKUP(
   $B$4&amp;" "&amp;$B9,
   Actuals!$D:$D,
   _xlfn.XLOOKUP(
      AL$6,
      Actuals!$H$3:$BD$3,
      Actuals!$H:$BD
   )
)</f>
        <v>334</v>
      </c>
      <c r="AM9" s="292" cm="1">
        <f t="array" ref="AM9">_xlfn.XLOOKUP(
   $B$4&amp;" "&amp;$B9,
   Actuals!$D:$D,
   _xlfn.XLOOKUP(
      AM$6,
      Actuals!$H$3:$BD$3,
      Actuals!$H:$BD
   )
)</f>
        <v>439</v>
      </c>
      <c r="AN9" s="292" cm="1">
        <f t="array" ref="AN9">_xlfn.XLOOKUP(
   $B$4&amp;" "&amp;$B9,
   Actuals!$D:$D,
   _xlfn.XLOOKUP(
      AN$6,
      Actuals!$H$3:$BD$3,
      Actuals!$H:$BD
   )
)</f>
        <v>95</v>
      </c>
      <c r="AO9" s="292" cm="1">
        <f t="array" ref="AO9">_xlfn.XLOOKUP(
   $B$4&amp;" "&amp;$B9,
   Actuals!$D:$D,
   _xlfn.XLOOKUP(
      AO$6,
      Actuals!$H$3:$BD$3,
      Actuals!$H:$BD
   )
)</f>
        <v>0</v>
      </c>
      <c r="AP9" s="292" cm="1">
        <f t="array" ref="AP9">_xlfn.XLOOKUP(
   $B$4&amp;" "&amp;$B9,
   Actuals!$D:$D,
   _xlfn.XLOOKUP(
      AP$6,
      Actuals!$H$3:$BD$3,
      Actuals!$H:$BD
   )
)</f>
        <v>0</v>
      </c>
      <c r="AQ9" s="292" cm="1">
        <f t="array" ref="AQ9">_xlfn.XLOOKUP(
   $B$4&amp;" "&amp;$B9,
   Actuals!$D:$D,
   _xlfn.XLOOKUP(
      AQ$6,
      Actuals!$H$3:$BD$3,
      Actuals!$H:$BD
   )
)</f>
        <v>0</v>
      </c>
      <c r="AR9" s="292" cm="1">
        <f t="array" ref="AR9">_xlfn.XLOOKUP(
   $B$4&amp;" "&amp;$B9,
   Actuals!$D:$D,
   _xlfn.XLOOKUP(
      AR$6,
      Actuals!$H$3:$BD$3,
      Actuals!$H:$BD
   )
)</f>
        <v>0</v>
      </c>
      <c r="AS9" s="292" cm="1">
        <f t="array" ref="AS9">_xlfn.XLOOKUP(
   $B$4&amp;" "&amp;$B9,
   Actuals!$D:$D,
   _xlfn.XLOOKUP(
      AS$6,
      Actuals!$H$3:$BD$3,
      Actuals!$H:$BD
   )
)</f>
        <v>0</v>
      </c>
      <c r="AT9" s="292" cm="1">
        <f t="array" ref="AT9">_xlfn.XLOOKUP(
   $B$4&amp;" "&amp;$B9,
   Actuals!$D:$D,
   _xlfn.XLOOKUP(
      AT$6,
      Actuals!$H$3:$BD$3,
      Actuals!$H:$BD
   )
)</f>
        <v>0</v>
      </c>
      <c r="AU9" s="292" cm="1">
        <f t="array" ref="AU9">_xlfn.XLOOKUP(
   $B$4&amp;" "&amp;$B9,
   Actuals!$D:$D,
   _xlfn.XLOOKUP(
      AU$6,
      Actuals!$H$3:$BD$3,
      Actuals!$H:$BD
   )
)</f>
        <v>0</v>
      </c>
      <c r="AV9" s="292" cm="1">
        <f t="array" ref="AV9">_xlfn.XLOOKUP(
   $B$4&amp;" "&amp;$B9,
   Actuals!$D:$D,
   _xlfn.XLOOKUP(
      AV$6,
      Actuals!$H$3:$BD$3,
      Actuals!$H:$BD
   )
)</f>
        <v>0</v>
      </c>
      <c r="AW9" s="292" cm="1">
        <f t="array" ref="AW9">_xlfn.XLOOKUP(
   $B$4&amp;" "&amp;$B9,
   Actuals!$D:$D,
   _xlfn.XLOOKUP(
      AW$6,
      Actuals!$H$3:$BD$3,
      Actuals!$H:$BD
   )
)</f>
        <v>0</v>
      </c>
      <c r="AX9" s="292" cm="1">
        <f t="array" ref="AX9">_xlfn.XLOOKUP(
   $B$4&amp;" "&amp;$B9,
   Actuals!$D:$D,
   _xlfn.XLOOKUP(
      AX$6,
      Actuals!$H$3:$BD$3,
      Actuals!$H:$BD
   )
)</f>
        <v>0</v>
      </c>
      <c r="AY9" s="292" cm="1">
        <f t="array" ref="AY9">_xlfn.XLOOKUP(
   $B$4&amp;" "&amp;$B9,
   Actuals!$D:$D,
   _xlfn.XLOOKUP(
      AY$6,
      Actuals!$H$3:$BD$3,
      Actuals!$H:$BD
   )
)</f>
        <v>0</v>
      </c>
      <c r="AZ9" s="292" cm="1">
        <f t="array" ref="AZ9">_xlfn.XLOOKUP(
   $B$4&amp;" "&amp;$B9,
   Actuals!$D:$D,
   _xlfn.XLOOKUP(
      AZ$6,
      Actuals!$H$3:$BD$3,
      Actuals!$H:$BD
   )
)</f>
        <v>0</v>
      </c>
      <c r="BA9" s="292"/>
      <c r="BB9" s="292" cm="1">
        <f t="array" ref="BB9">_xlfn.XLOOKUP(
   $B$4&amp;" "&amp;$B9,
   Actuals!$D:$D,
   _xlfn.XLOOKUP(
      BB$7,
      Actuals!$H$3:$BM$3,
      Actuals!$H:$BM
   )
)</f>
        <v>0</v>
      </c>
      <c r="BC9" s="292">
        <f>VLOOKUP($B$4&amp;" "&amp;$B9,Budget!$AG$4:$AL$132,$BB$5+1,FALSE)</f>
        <v>60</v>
      </c>
      <c r="BD9" s="292">
        <f>BB9-BC9</f>
        <v>-60</v>
      </c>
      <c r="BE9" s="292"/>
      <c r="BF9" s="292" cm="1">
        <f t="array" ref="BF9">_xlfn.XLOOKUP(
   $B$4&amp;" "&amp;$B9,
   Actuals!$D:$D,
   _xlfn.XLOOKUP(
      BF$7,
      Actuals!$H$3:$BM$3,
      Actuals!$H:$BM
   )
)</f>
        <v>0</v>
      </c>
      <c r="BG9" s="292">
        <f>VLOOKUP($B$4&amp;" "&amp;$B9,Budget!$AG$4:$AL$132,BF$5+1,FALSE)</f>
        <v>60</v>
      </c>
      <c r="BH9" s="292">
        <f>BF9-BG9</f>
        <v>-60</v>
      </c>
      <c r="BI9" s="292"/>
      <c r="BJ9" s="292" cm="1">
        <f t="array" ref="BJ9">_xlfn.XLOOKUP(
   $B$4&amp;" "&amp;$B9,
   Actuals!$D:$D,
   _xlfn.XLOOKUP(
      BJ$7,
      Actuals!$H$3:$BM$3,
      Actuals!$H:$BM
   )
)</f>
        <v>0</v>
      </c>
      <c r="BK9" s="292">
        <f>VLOOKUP($B$4&amp;" "&amp;$B9,Budget!$AG$4:$AL$132,BJ$5+1,FALSE)</f>
        <v>60</v>
      </c>
      <c r="BL9" s="292">
        <f>BJ9-BK9</f>
        <v>-60</v>
      </c>
      <c r="BM9" s="292"/>
      <c r="BN9" s="292" cm="1">
        <f t="array" ref="BN9">_xlfn.XLOOKUP(
   $B$4&amp;" "&amp;$B9,
   Actuals!$D:$D,
   _xlfn.XLOOKUP(
      BN$7,
      Actuals!$H$3:$BM$3,
      Actuals!$H:$BM
   )
)</f>
        <v>0</v>
      </c>
      <c r="BO9" s="292">
        <f>VLOOKUP($B$4&amp;" "&amp;$B9,Budget!$AG$4:$AL$132,BN$5+1,FALSE)</f>
        <v>60</v>
      </c>
      <c r="BP9" s="292"/>
      <c r="BQ9" s="292"/>
      <c r="BR9" s="292" cm="1">
        <f t="array" aca="1" ref="BR9" ca="1">_xlfn.XLOOKUP(
   $B$4&amp;" "&amp;$B9,
   Actuals!$D:$D,
   _xlfn.XLOOKUP(
      BR$6,
      Actuals!$H$3:$BM$3,
      Actuals!$H:$BM
   )
)</f>
        <v>0</v>
      </c>
      <c r="BS9" s="292">
        <f ca="1">VLOOKUP($B$4&amp;" "&amp;$B9,Budget!$AG$4:$AL$132,6,FALSE)</f>
        <v>240</v>
      </c>
      <c r="BT9" s="292">
        <f ca="1">BR9-BS9</f>
        <v>-240</v>
      </c>
      <c r="BU9" s="292"/>
      <c r="BV9" s="292" cm="1">
        <f t="array" ref="BV9">_xlfn.XLOOKUP(
   $B$4&amp;" "&amp;$B9,
   Actuals!$D:$D,
   _xlfn.XLOOKUP(
      BV$6,
      Actuals!$H$3:$BM$3,
      Actuals!$H:$BM
   )
)</f>
        <v>1868</v>
      </c>
    </row>
    <row r="10" spans="2:74">
      <c r="B10" s="26" t="s">
        <v>106</v>
      </c>
      <c r="C10" s="139" t="s">
        <v>49</v>
      </c>
      <c r="D10" s="171" t="str">
        <f>VLOOKUP($B$4&amp;" "&amp;$B10,Actuals!$D$4:$AG$131,3,FALSE)</f>
        <v>%</v>
      </c>
      <c r="E10" s="180" cm="1">
        <f t="array" ref="E10">_xlfn.XLOOKUP(
   $B$4&amp;" "&amp;$B10,
   Actuals!$D:$D,
   _xlfn.XLOOKUP(
      E$6,
      Actuals!$H$3:$BD$3,
      Actuals!$H:$BD
   )
)</f>
        <v>0.38461538461538464</v>
      </c>
      <c r="F10" s="180" cm="1">
        <f t="array" ref="F10">_xlfn.XLOOKUP(
   $B$4&amp;" "&amp;$B10,
   Actuals!$D:$D,
   _xlfn.XLOOKUP(
      F$6,
      Actuals!$H$3:$BD$3,
      Actuals!$H:$BD
   )
)</f>
        <v>0.5</v>
      </c>
      <c r="G10" s="180" cm="1">
        <f t="array" ref="G10">_xlfn.XLOOKUP(
   $B$4&amp;" "&amp;$B10,
   Actuals!$D:$D,
   _xlfn.XLOOKUP(
      G$6,
      Actuals!$H$3:$BD$3,
      Actuals!$H:$BD
   )
)</f>
        <v>1</v>
      </c>
      <c r="H10" s="180" t="str" cm="1">
        <f t="array" ref="H10">_xlfn.XLOOKUP(
   $B$4&amp;" "&amp;$B10,
   Actuals!$D:$D,
   _xlfn.XLOOKUP(
      H$6,
      Actuals!$H$3:$BD$3,
      Actuals!$H:$BD
   )
)</f>
        <v/>
      </c>
      <c r="I10" s="180" cm="1">
        <f t="array" ref="I10">_xlfn.XLOOKUP(
   $B$4&amp;" "&amp;$B10,
   Actuals!$D:$D,
   _xlfn.XLOOKUP(
      I$6,
      Actuals!$H$3:$BD$3,
      Actuals!$H:$BD
   )
)</f>
        <v>0.375</v>
      </c>
      <c r="J10" s="180" cm="1">
        <f t="array" ref="J10">_xlfn.XLOOKUP(
   $B$4&amp;" "&amp;$B10,
   Actuals!$D:$D,
   _xlfn.XLOOKUP(
      J$6,
      Actuals!$H$3:$BD$3,
      Actuals!$H:$BD
   )
)</f>
        <v>0.35</v>
      </c>
      <c r="K10" s="180" cm="1">
        <f t="array" ref="K10">_xlfn.XLOOKUP(
   $B$4&amp;" "&amp;$B10,
   Actuals!$D:$D,
   _xlfn.XLOOKUP(
      K$6,
      Actuals!$H$3:$BD$3,
      Actuals!$H:$BD
   )
)</f>
        <v>0.30769230769230771</v>
      </c>
      <c r="L10" s="180" t="str" cm="1">
        <f t="array" ref="L10">_xlfn.XLOOKUP(
   $B$4&amp;" "&amp;$B10,
   Actuals!$D:$D,
   _xlfn.XLOOKUP(
      L$6,
      Actuals!$H$3:$BD$3,
      Actuals!$H:$BD
   )
)</f>
        <v/>
      </c>
      <c r="M10" s="180" cm="1">
        <f t="array" ref="M10">_xlfn.XLOOKUP(
   $B$4&amp;" "&amp;$B10,
   Actuals!$D:$D,
   _xlfn.XLOOKUP(
      M$6,
      Actuals!$H$3:$BD$3,
      Actuals!$H:$BD
   )
)</f>
        <v>0.21428571428571427</v>
      </c>
      <c r="N10" s="180" cm="1">
        <f t="array" ref="N10">_xlfn.XLOOKUP(
   $B$4&amp;" "&amp;$B10,
   Actuals!$D:$D,
   _xlfn.XLOOKUP(
      N$6,
      Actuals!$H$3:$BD$3,
      Actuals!$H:$BD
   )
)</f>
        <v>0.33333333333333331</v>
      </c>
      <c r="O10" s="213" t="str" cm="1">
        <f t="array" ref="O10">_xlfn.XLOOKUP(
   $B$4&amp;" "&amp;$B10,
   Actuals!$D:$D,
   _xlfn.XLOOKUP(
      O$6,
      Actuals!$H$3:$BD$3,
      Actuals!$H:$BD
   )
)</f>
        <v/>
      </c>
      <c r="P10" s="213" t="str" cm="1">
        <f t="array" ref="P10">_xlfn.XLOOKUP(
   $B$4&amp;" "&amp;$B10,
   Actuals!$D:$D,
   _xlfn.XLOOKUP(
      P$6,
      Actuals!$H$3:$BD$3,
      Actuals!$H:$BD
   )
)</f>
        <v/>
      </c>
      <c r="Q10" s="213" t="str" cm="1">
        <f t="array" ref="Q10">_xlfn.XLOOKUP(
   $B$4&amp;" "&amp;$B10,
   Actuals!$D:$D,
   _xlfn.XLOOKUP(
      Q$6,
      Actuals!$H$3:$BD$3,
      Actuals!$H:$BD
   )
)</f>
        <v/>
      </c>
      <c r="R10" s="213" t="str" cm="1">
        <f t="array" ref="R10">_xlfn.XLOOKUP(
   $B$4&amp;" "&amp;$B10,
   Actuals!$D:$D,
   _xlfn.XLOOKUP(
      R$6,
      Actuals!$H$3:$BD$3,
      Actuals!$H:$BD
   )
)</f>
        <v/>
      </c>
      <c r="S10" s="213" t="str" cm="1">
        <f t="array" ref="S10">_xlfn.XLOOKUP(
   $B$4&amp;" "&amp;$B10,
   Actuals!$D:$D,
   _xlfn.XLOOKUP(
      S$6,
      Actuals!$H$3:$BD$3,
      Actuals!$H:$BD
   )
)</f>
        <v/>
      </c>
      <c r="T10" s="213" t="str" cm="1">
        <f t="array" ref="T10">_xlfn.XLOOKUP(
   $B$4&amp;" "&amp;$B10,
   Actuals!$D:$D,
   _xlfn.XLOOKUP(
      T$6,
      Actuals!$H$3:$BD$3,
      Actuals!$H:$BD
   )
)</f>
        <v/>
      </c>
      <c r="U10" s="213" t="str" cm="1">
        <f t="array" ref="U10">_xlfn.XLOOKUP(
   $B$4&amp;" "&amp;$B10,
   Actuals!$D:$D,
   _xlfn.XLOOKUP(
      U$6,
      Actuals!$H$3:$BD$3,
      Actuals!$H:$BD
   )
)</f>
        <v/>
      </c>
      <c r="V10" s="213" t="str" cm="1">
        <f t="array" ref="V10">_xlfn.XLOOKUP(
   $B$4&amp;" "&amp;$B10,
   Actuals!$D:$D,
   _xlfn.XLOOKUP(
      V$6,
      Actuals!$H$3:$BD$3,
      Actuals!$H:$BD
   )
)</f>
        <v/>
      </c>
      <c r="W10" s="213" t="str" cm="1">
        <f t="array" ref="W10">_xlfn.XLOOKUP(
   $B$4&amp;" "&amp;$B10,
   Actuals!$D:$D,
   _xlfn.XLOOKUP(
      W$6,
      Actuals!$H$3:$BD$3,
      Actuals!$H:$BD
   )
)</f>
        <v/>
      </c>
      <c r="X10" s="213" t="str" cm="1">
        <f t="array" ref="X10">_xlfn.XLOOKUP(
   $B$4&amp;" "&amp;$B10,
   Actuals!$D:$D,
   _xlfn.XLOOKUP(
      X$6,
      Actuals!$H$3:$BD$3,
      Actuals!$H:$BD
   )
)</f>
        <v/>
      </c>
      <c r="Y10" s="213" t="str" cm="1">
        <f t="array" ref="Y10">_xlfn.XLOOKUP(
   $B$4&amp;" "&amp;$B10,
   Actuals!$D:$D,
   _xlfn.XLOOKUP(
      Y$6,
      Actuals!$H$3:$BD$3,
      Actuals!$H:$BD
   )
)</f>
        <v/>
      </c>
      <c r="Z10" s="213" t="str" cm="1">
        <f t="array" ref="Z10">_xlfn.XLOOKUP(
   $B$4&amp;" "&amp;$B10,
   Actuals!$D:$D,
   _xlfn.XLOOKUP(
      Z$6,
      Actuals!$H$3:$BD$3,
      Actuals!$H:$BD
   )
)</f>
        <v/>
      </c>
      <c r="AA10" s="213" t="str" cm="1">
        <f t="array" ref="AA10">_xlfn.XLOOKUP(
   $B$4&amp;" "&amp;$B10,
   Actuals!$D:$D,
   _xlfn.XLOOKUP(
      AA$6,
      Actuals!$H$3:$BD$3,
      Actuals!$H:$BD
   )
)</f>
        <v/>
      </c>
      <c r="AB10" s="213" t="str" cm="1">
        <f t="array" ref="AB10">_xlfn.XLOOKUP(
   $B$4&amp;" "&amp;$B10,
   Actuals!$D:$D,
   _xlfn.XLOOKUP(
      AB$6,
      Actuals!$H$3:$BD$3,
      Actuals!$H:$BD
   )
)</f>
        <v/>
      </c>
      <c r="AC10" s="213" t="str" cm="1">
        <f t="array" ref="AC10">_xlfn.XLOOKUP(
   $B$4&amp;" "&amp;$B10,
   Actuals!$D:$D,
   _xlfn.XLOOKUP(
      AC$6,
      Actuals!$H$3:$BD$3,
      Actuals!$H:$BD
   )
)</f>
        <v/>
      </c>
      <c r="AD10" s="213" t="str" cm="1">
        <f t="array" ref="AD10">_xlfn.XLOOKUP(
   $B$4&amp;" "&amp;$B10,
   Actuals!$D:$D,
   _xlfn.XLOOKUP(
      AD$6,
      Actuals!$H$3:$BD$3,
      Actuals!$H:$BD
   )
)</f>
        <v/>
      </c>
      <c r="AE10" s="213" t="str" cm="1">
        <f t="array" ref="AE10">_xlfn.XLOOKUP(
   $B$4&amp;" "&amp;$B10,
   Actuals!$D:$D,
   _xlfn.XLOOKUP(
      AE$6,
      Actuals!$H$3:$BD$3,
      Actuals!$H:$BD
   )
)</f>
        <v/>
      </c>
      <c r="AF10" s="213" t="str" cm="1">
        <f t="array" ref="AF10">_xlfn.XLOOKUP(
   $B$4&amp;" "&amp;$B10,
   Actuals!$D:$D,
   _xlfn.XLOOKUP(
      AF$6,
      Actuals!$H$3:$BD$3,
      Actuals!$H:$BD
   )
)</f>
        <v/>
      </c>
      <c r="AG10" s="213" cm="1">
        <f t="array" ref="AG10">_xlfn.XLOOKUP(
   $B$4&amp;" "&amp;$B10,
   Actuals!$D:$D,
   _xlfn.XLOOKUP(
      AG$6,
      Actuals!$H$3:$BD$3,
      Actuals!$H:$BD
   )
)</f>
        <v>3.4883720930232558E-2</v>
      </c>
      <c r="AH10" s="213" cm="1">
        <f t="array" ref="AH10">_xlfn.XLOOKUP(
   $B$4&amp;" "&amp;$B10,
   Actuals!$D:$D,
   _xlfn.XLOOKUP(
      AH$6,
      Actuals!$H$3:$BD$3,
      Actuals!$H:$BD
   )
)</f>
        <v>0.10569105691056911</v>
      </c>
      <c r="AI10" s="213" cm="1">
        <f t="array" ref="AI10">_xlfn.XLOOKUP(
   $B$4&amp;" "&amp;$B10,
   Actuals!$D:$D,
   _xlfn.XLOOKUP(
      AI$6,
      Actuals!$H$3:$BD$3,
      Actuals!$H:$BD
   )
)</f>
        <v>3.2520325203252036E-2</v>
      </c>
      <c r="AJ10" s="213" cm="1">
        <f t="array" ref="AJ10">_xlfn.XLOOKUP(
   $B$4&amp;" "&amp;$B10,
   Actuals!$D:$D,
   _xlfn.XLOOKUP(
      AJ$6,
      Actuals!$H$3:$BD$3,
      Actuals!$H:$BD
   )
)</f>
        <v>8.9820359281437123E-3</v>
      </c>
      <c r="AK10" s="213" cm="1">
        <f t="array" ref="AK10">_xlfn.XLOOKUP(
   $B$4&amp;" "&amp;$B10,
   Actuals!$D:$D,
   _xlfn.XLOOKUP(
      AK$6,
      Actuals!$H$3:$BD$3,
      Actuals!$H:$BD
   )
)</f>
        <v>2.9940119760479044E-3</v>
      </c>
      <c r="AL10" s="213" cm="1">
        <f t="array" ref="AL10">_xlfn.XLOOKUP(
   $B$4&amp;" "&amp;$B10,
   Actuals!$D:$D,
   _xlfn.XLOOKUP(
      AL$6,
      Actuals!$H$3:$BD$3,
      Actuals!$H:$BD
   )
)</f>
        <v>1.1976047904191617E-2</v>
      </c>
      <c r="AM10" s="213" cm="1">
        <f t="array" ref="AM10">_xlfn.XLOOKUP(
   $B$4&amp;" "&amp;$B10,
   Actuals!$D:$D,
   _xlfn.XLOOKUP(
      AM$6,
      Actuals!$H$3:$BD$3,
      Actuals!$H:$BD
   )
)</f>
        <v>1.8223234624145785E-2</v>
      </c>
      <c r="AN10" s="213" cm="1">
        <f t="array" ref="AN10">_xlfn.XLOOKUP(
   $B$4&amp;" "&amp;$B10,
   Actuals!$D:$D,
   _xlfn.XLOOKUP(
      AN$6,
      Actuals!$H$3:$BD$3,
      Actuals!$H:$BD
   )
)</f>
        <v>6.3157894736842107E-2</v>
      </c>
      <c r="AO10" s="213" t="str" cm="1">
        <f t="array" ref="AO10">_xlfn.XLOOKUP(
   $B$4&amp;" "&amp;$B10,
   Actuals!$D:$D,
   _xlfn.XLOOKUP(
      AO$6,
      Actuals!$H$3:$BD$3,
      Actuals!$H:$BD
   )
)</f>
        <v/>
      </c>
      <c r="AP10" s="213" t="str" cm="1">
        <f t="array" ref="AP10">_xlfn.XLOOKUP(
   $B$4&amp;" "&amp;$B10,
   Actuals!$D:$D,
   _xlfn.XLOOKUP(
      AP$6,
      Actuals!$H$3:$BD$3,
      Actuals!$H:$BD
   )
)</f>
        <v/>
      </c>
      <c r="AQ10" s="213" t="str" cm="1">
        <f t="array" ref="AQ10">_xlfn.XLOOKUP(
   $B$4&amp;" "&amp;$B10,
   Actuals!$D:$D,
   _xlfn.XLOOKUP(
      AQ$6,
      Actuals!$H$3:$BD$3,
      Actuals!$H:$BD
   )
)</f>
        <v/>
      </c>
      <c r="AR10" s="213" t="str" cm="1">
        <f t="array" ref="AR10">_xlfn.XLOOKUP(
   $B$4&amp;" "&amp;$B10,
   Actuals!$D:$D,
   _xlfn.XLOOKUP(
      AR$6,
      Actuals!$H$3:$BD$3,
      Actuals!$H:$BD
   )
)</f>
        <v/>
      </c>
      <c r="AS10" s="213" t="str" cm="1">
        <f t="array" ref="AS10">_xlfn.XLOOKUP(
   $B$4&amp;" "&amp;$B10,
   Actuals!$D:$D,
   _xlfn.XLOOKUP(
      AS$6,
      Actuals!$H$3:$BD$3,
      Actuals!$H:$BD
   )
)</f>
        <v/>
      </c>
      <c r="AT10" s="213" t="str" cm="1">
        <f t="array" ref="AT10">_xlfn.XLOOKUP(
   $B$4&amp;" "&amp;$B10,
   Actuals!$D:$D,
   _xlfn.XLOOKUP(
      AT$6,
      Actuals!$H$3:$BD$3,
      Actuals!$H:$BD
   )
)</f>
        <v/>
      </c>
      <c r="AU10" s="213" t="str" cm="1">
        <f t="array" ref="AU10">_xlfn.XLOOKUP(
   $B$4&amp;" "&amp;$B10,
   Actuals!$D:$D,
   _xlfn.XLOOKUP(
      AU$6,
      Actuals!$H$3:$BD$3,
      Actuals!$H:$BD
   )
)</f>
        <v/>
      </c>
      <c r="AV10" s="213" t="str" cm="1">
        <f t="array" ref="AV10">_xlfn.XLOOKUP(
   $B$4&amp;" "&amp;$B10,
   Actuals!$D:$D,
   _xlfn.XLOOKUP(
      AV$6,
      Actuals!$H$3:$BD$3,
      Actuals!$H:$BD
   )
)</f>
        <v/>
      </c>
      <c r="AW10" s="213" t="str" cm="1">
        <f t="array" ref="AW10">_xlfn.XLOOKUP(
   $B$4&amp;" "&amp;$B10,
   Actuals!$D:$D,
   _xlfn.XLOOKUP(
      AW$6,
      Actuals!$H$3:$BD$3,
      Actuals!$H:$BD
   )
)</f>
        <v/>
      </c>
      <c r="AX10" s="213" t="str" cm="1">
        <f t="array" ref="AX10">_xlfn.XLOOKUP(
   $B$4&amp;" "&amp;$B10,
   Actuals!$D:$D,
   _xlfn.XLOOKUP(
      AX$6,
      Actuals!$H$3:$BD$3,
      Actuals!$H:$BD
   )
)</f>
        <v/>
      </c>
      <c r="AY10" s="213" t="str" cm="1">
        <f t="array" ref="AY10">_xlfn.XLOOKUP(
   $B$4&amp;" "&amp;$B10,
   Actuals!$D:$D,
   _xlfn.XLOOKUP(
      AY$6,
      Actuals!$H$3:$BD$3,
      Actuals!$H:$BD
   )
)</f>
        <v/>
      </c>
      <c r="AZ10" s="213" t="str" cm="1">
        <f t="array" ref="AZ10">_xlfn.XLOOKUP(
   $B$4&amp;" "&amp;$B10,
   Actuals!$D:$D,
   _xlfn.XLOOKUP(
      AZ$6,
      Actuals!$H$3:$BD$3,
      Actuals!$H:$BD
   )
)</f>
        <v/>
      </c>
      <c r="BA10" s="213"/>
      <c r="BB10" s="213" t="str" cm="1">
        <f t="array" ref="BB10">_xlfn.XLOOKUP(
   $B$4&amp;" "&amp;$B10,
   Actuals!$D:$D,
   _xlfn.XLOOKUP(
      BB$7,
      Actuals!$H$3:$BM$3,
      Actuals!$H:$BM
   )
)</f>
        <v>-</v>
      </c>
      <c r="BC10" s="213">
        <f>VLOOKUP($B$4&amp;" "&amp;$B10,Budget!$AG$4:$AL$132,$BB$5+1,FALSE)</f>
        <v>0.52</v>
      </c>
      <c r="BD10" s="213" t="str">
        <f>IFERROR(BB10-BC10,"-")</f>
        <v>-</v>
      </c>
      <c r="BE10" s="213"/>
      <c r="BF10" s="213" t="str" cm="1">
        <f t="array" ref="BF10">_xlfn.XLOOKUP(
   $B$4&amp;" "&amp;$B10,
   Actuals!$D:$D,
   _xlfn.XLOOKUP(
      BF$7,
      Actuals!$H$3:$BM$3,
      Actuals!$H:$BM
   )
)</f>
        <v>-</v>
      </c>
      <c r="BG10" s="213">
        <f>IFERROR(VLOOKUP($B$4&amp;" "&amp;$B10,Budget!$AG$4:$AL$132,$BF$5+1,FALSE),"n.a.")</f>
        <v>0.52</v>
      </c>
      <c r="BH10" s="213" t="str">
        <f>IFERROR(BF10-BG10,"-")</f>
        <v>-</v>
      </c>
      <c r="BI10" s="213"/>
      <c r="BJ10" s="213" t="str" cm="1">
        <f t="array" ref="BJ10">_xlfn.XLOOKUP(
   $B$4&amp;" "&amp;$B10,
   Actuals!$D:$D,
   _xlfn.XLOOKUP(
      BJ$7,
      Actuals!$H$3:$BM$3,
      Actuals!$H:$BM
   )
)</f>
        <v>-</v>
      </c>
      <c r="BK10" s="213">
        <f>IFERROR(VLOOKUP($B$4&amp;" "&amp;$B10,Budget!$AG$4:$AL$132,$BJ$5+1,FALSE),"n.a.")</f>
        <v>0.52</v>
      </c>
      <c r="BL10" s="213" t="str">
        <f>IFERROR(BJ10-BK10,"-")</f>
        <v>-</v>
      </c>
      <c r="BM10" s="213"/>
      <c r="BN10" s="213" t="str" cm="1">
        <f t="array" ref="BN10">_xlfn.XLOOKUP(
   $B$4&amp;" "&amp;$B10,
   Actuals!$D:$D,
   _xlfn.XLOOKUP(
      BN$7,
      Actuals!$H$3:$BM$3,
      Actuals!$H:$BM
   )
)</f>
        <v>-</v>
      </c>
      <c r="BO10" s="213">
        <f>IFERROR(VLOOKUP($B$4&amp;" "&amp;$B10,Budget!$AG$4:$AL$132,$BN$5+1,FALSE),"n.a.")</f>
        <v>0.52</v>
      </c>
      <c r="BP10" s="213"/>
      <c r="BQ10" s="213"/>
      <c r="BR10" s="213" cm="1">
        <f t="array" aca="1" ref="BR10" ca="1">_xlfn.XLOOKUP(
   $B$4&amp;" "&amp;$B10,
   Actuals!$D:$D,
   _xlfn.XLOOKUP(
      BR$6,
      Actuals!$H$3:$BM$3,
      Actuals!$H:$BM
   )
)</f>
        <v>0</v>
      </c>
      <c r="BS10" s="213">
        <f ca="1">VLOOKUP($B$4&amp;" "&amp;$B10,Budget!$AG$4:$AL$132,6,FALSE)</f>
        <v>0.51999999999999991</v>
      </c>
      <c r="BT10" s="213">
        <f ca="1">BR10-BS10</f>
        <v>-0.51999999999999991</v>
      </c>
      <c r="BU10" s="213"/>
      <c r="BV10" s="213" cm="1">
        <f t="array" ref="BV10">_xlfn.XLOOKUP(
   $B$4&amp;" "&amp;$B10,
   Actuals!$D:$D,
   _xlfn.XLOOKUP(
      BV$6,
      Actuals!$H$3:$BM$3,
      Actuals!$H:$BM
   )
)</f>
        <v>3.4803541026678105E-2</v>
      </c>
    </row>
    <row r="11" spans="2:74">
      <c r="B11" s="149" t="s">
        <v>107</v>
      </c>
      <c r="C11" s="142" t="s">
        <v>49</v>
      </c>
      <c r="D11" s="172" t="str">
        <f>VLOOKUP($B$4&amp;" "&amp;$B11,Actuals!$D$4:$AG$131,3,FALSE)</f>
        <v>#</v>
      </c>
      <c r="E11" s="182" cm="1">
        <f t="array" ref="E11">_xlfn.XLOOKUP(
   $B$4&amp;" "&amp;$B11,
   Actuals!$D:$D,
   _xlfn.XLOOKUP(
      E$6,
      Actuals!$H$3:$BD$3,
      Actuals!$H:$BD
   )
)</f>
        <v>5</v>
      </c>
      <c r="F11" s="182" cm="1">
        <f t="array" ref="F11">_xlfn.XLOOKUP(
   $B$4&amp;" "&amp;$B11,
   Actuals!$D:$D,
   _xlfn.XLOOKUP(
      F$6,
      Actuals!$H$3:$BD$3,
      Actuals!$H:$BD
   )
)</f>
        <v>1</v>
      </c>
      <c r="G11" s="182" cm="1">
        <f t="array" ref="G11">_xlfn.XLOOKUP(
   $B$4&amp;" "&amp;$B11,
   Actuals!$D:$D,
   _xlfn.XLOOKUP(
      G$6,
      Actuals!$H$3:$BD$3,
      Actuals!$H:$BD
   )
)</f>
        <v>2</v>
      </c>
      <c r="H11" s="182" cm="1">
        <f t="array" ref="H11">_xlfn.XLOOKUP(
   $B$4&amp;" "&amp;$B11,
   Actuals!$D:$D,
   _xlfn.XLOOKUP(
      H$6,
      Actuals!$H$3:$BD$3,
      Actuals!$H:$BD
   )
)</f>
        <v>0</v>
      </c>
      <c r="I11" s="182" cm="1">
        <f t="array" ref="I11">_xlfn.XLOOKUP(
   $B$4&amp;" "&amp;$B11,
   Actuals!$D:$D,
   _xlfn.XLOOKUP(
      I$6,
      Actuals!$H$3:$BD$3,
      Actuals!$H:$BD
   )
)</f>
        <v>3</v>
      </c>
      <c r="J11" s="182" cm="1">
        <f t="array" ref="J11">_xlfn.XLOOKUP(
   $B$4&amp;" "&amp;$B11,
   Actuals!$D:$D,
   _xlfn.XLOOKUP(
      J$6,
      Actuals!$H$3:$BD$3,
      Actuals!$H:$BD
   )
)</f>
        <v>7</v>
      </c>
      <c r="K11" s="182" cm="1">
        <f t="array" ref="K11">_xlfn.XLOOKUP(
   $B$4&amp;" "&amp;$B11,
   Actuals!$D:$D,
   _xlfn.XLOOKUP(
      K$6,
      Actuals!$H$3:$BD$3,
      Actuals!$H:$BD
   )
)</f>
        <v>4</v>
      </c>
      <c r="L11" s="182" cm="1">
        <f t="array" ref="L11">_xlfn.XLOOKUP(
   $B$4&amp;" "&amp;$B11,
   Actuals!$D:$D,
   _xlfn.XLOOKUP(
      L$6,
      Actuals!$H$3:$BD$3,
      Actuals!$H:$BD
   )
)</f>
        <v>2</v>
      </c>
      <c r="M11" s="182" cm="1">
        <f t="array" ref="M11">_xlfn.XLOOKUP(
   $B$4&amp;" "&amp;$B11,
   Actuals!$D:$D,
   _xlfn.XLOOKUP(
      M$6,
      Actuals!$H$3:$BD$3,
      Actuals!$H:$BD
   )
)</f>
        <v>3</v>
      </c>
      <c r="N11" s="182" cm="1">
        <f t="array" ref="N11">_xlfn.XLOOKUP(
   $B$4&amp;" "&amp;$B11,
   Actuals!$D:$D,
   _xlfn.XLOOKUP(
      N$6,
      Actuals!$H$3:$BD$3,
      Actuals!$H:$BD
   )
)</f>
        <v>3</v>
      </c>
      <c r="O11" s="293" cm="1">
        <f t="array" ref="O11">_xlfn.XLOOKUP(
   $B$4&amp;" "&amp;$B11,
   Actuals!$D:$D,
   _xlfn.XLOOKUP(
      O$6,
      Actuals!$H$3:$BD$3,
      Actuals!$H:$BD
   )
)</f>
        <v>0</v>
      </c>
      <c r="P11" s="293" cm="1">
        <f t="array" ref="P11">_xlfn.XLOOKUP(
   $B$4&amp;" "&amp;$B11,
   Actuals!$D:$D,
   _xlfn.XLOOKUP(
      P$6,
      Actuals!$H$3:$BD$3,
      Actuals!$H:$BD
   )
)</f>
        <v>0</v>
      </c>
      <c r="Q11" s="293" cm="1">
        <f t="array" ref="Q11">_xlfn.XLOOKUP(
   $B$4&amp;" "&amp;$B11,
   Actuals!$D:$D,
   _xlfn.XLOOKUP(
      Q$6,
      Actuals!$H$3:$BD$3,
      Actuals!$H:$BD
   )
)</f>
        <v>0</v>
      </c>
      <c r="R11" s="293" cm="1">
        <f t="array" ref="R11">_xlfn.XLOOKUP(
   $B$4&amp;" "&amp;$B11,
   Actuals!$D:$D,
   _xlfn.XLOOKUP(
      R$6,
      Actuals!$H$3:$BD$3,
      Actuals!$H:$BD
   )
)</f>
        <v>0</v>
      </c>
      <c r="S11" s="293" cm="1">
        <f t="array" ref="S11">_xlfn.XLOOKUP(
   $B$4&amp;" "&amp;$B11,
   Actuals!$D:$D,
   _xlfn.XLOOKUP(
      S$6,
      Actuals!$H$3:$BD$3,
      Actuals!$H:$BD
   )
)</f>
        <v>0</v>
      </c>
      <c r="T11" s="293" cm="1">
        <f t="array" ref="T11">_xlfn.XLOOKUP(
   $B$4&amp;" "&amp;$B11,
   Actuals!$D:$D,
   _xlfn.XLOOKUP(
      T$6,
      Actuals!$H$3:$BD$3,
      Actuals!$H:$BD
   )
)</f>
        <v>0</v>
      </c>
      <c r="U11" s="293" cm="1">
        <f t="array" ref="U11">_xlfn.XLOOKUP(
   $B$4&amp;" "&amp;$B11,
   Actuals!$D:$D,
   _xlfn.XLOOKUP(
      U$6,
      Actuals!$H$3:$BD$3,
      Actuals!$H:$BD
   )
)</f>
        <v>0</v>
      </c>
      <c r="V11" s="293" cm="1">
        <f t="array" ref="V11">_xlfn.XLOOKUP(
   $B$4&amp;" "&amp;$B11,
   Actuals!$D:$D,
   _xlfn.XLOOKUP(
      V$6,
      Actuals!$H$3:$BD$3,
      Actuals!$H:$BD
   )
)</f>
        <v>0</v>
      </c>
      <c r="W11" s="293" cm="1">
        <f t="array" ref="W11">_xlfn.XLOOKUP(
   $B$4&amp;" "&amp;$B11,
   Actuals!$D:$D,
   _xlfn.XLOOKUP(
      W$6,
      Actuals!$H$3:$BD$3,
      Actuals!$H:$BD
   )
)</f>
        <v>0</v>
      </c>
      <c r="X11" s="293" cm="1">
        <f t="array" ref="X11">_xlfn.XLOOKUP(
   $B$4&amp;" "&amp;$B11,
   Actuals!$D:$D,
   _xlfn.XLOOKUP(
      X$6,
      Actuals!$H$3:$BD$3,
      Actuals!$H:$BD
   )
)</f>
        <v>0</v>
      </c>
      <c r="Y11" s="293" cm="1">
        <f t="array" ref="Y11">_xlfn.XLOOKUP(
   $B$4&amp;" "&amp;$B11,
   Actuals!$D:$D,
   _xlfn.XLOOKUP(
      Y$6,
      Actuals!$H$3:$BD$3,
      Actuals!$H:$BD
   )
)</f>
        <v>0</v>
      </c>
      <c r="Z11" s="293" cm="1">
        <f t="array" ref="Z11">_xlfn.XLOOKUP(
   $B$4&amp;" "&amp;$B11,
   Actuals!$D:$D,
   _xlfn.XLOOKUP(
      Z$6,
      Actuals!$H$3:$BD$3,
      Actuals!$H:$BD
   )
)</f>
        <v>0</v>
      </c>
      <c r="AA11" s="293" cm="1">
        <f t="array" ref="AA11">_xlfn.XLOOKUP(
   $B$4&amp;" "&amp;$B11,
   Actuals!$D:$D,
   _xlfn.XLOOKUP(
      AA$6,
      Actuals!$H$3:$BD$3,
      Actuals!$H:$BD
   )
)</f>
        <v>0</v>
      </c>
      <c r="AB11" s="293" cm="1">
        <f t="array" ref="AB11">_xlfn.XLOOKUP(
   $B$4&amp;" "&amp;$B11,
   Actuals!$D:$D,
   _xlfn.XLOOKUP(
      AB$6,
      Actuals!$H$3:$BD$3,
      Actuals!$H:$BD
   )
)</f>
        <v>0</v>
      </c>
      <c r="AC11" s="293" cm="1">
        <f t="array" ref="AC11">_xlfn.XLOOKUP(
   $B$4&amp;" "&amp;$B11,
   Actuals!$D:$D,
   _xlfn.XLOOKUP(
      AC$6,
      Actuals!$H$3:$BD$3,
      Actuals!$H:$BD
   )
)</f>
        <v>0</v>
      </c>
      <c r="AD11" s="293" cm="1">
        <f t="array" ref="AD11">_xlfn.XLOOKUP(
   $B$4&amp;" "&amp;$B11,
   Actuals!$D:$D,
   _xlfn.XLOOKUP(
      AD$6,
      Actuals!$H$3:$BD$3,
      Actuals!$H:$BD
   )
)</f>
        <v>2</v>
      </c>
      <c r="AE11" s="293" cm="1">
        <f t="array" ref="AE11">_xlfn.XLOOKUP(
   $B$4&amp;" "&amp;$B11,
   Actuals!$D:$D,
   _xlfn.XLOOKUP(
      AE$6,
      Actuals!$H$3:$BD$3,
      Actuals!$H:$BD
   )
)</f>
        <v>2</v>
      </c>
      <c r="AF11" s="293" cm="1">
        <f t="array" ref="AF11">_xlfn.XLOOKUP(
   $B$4&amp;" "&amp;$B11,
   Actuals!$D:$D,
   _xlfn.XLOOKUP(
      AF$6,
      Actuals!$H$3:$BD$3,
      Actuals!$H:$BD
   )
)</f>
        <v>2</v>
      </c>
      <c r="AG11" s="293" cm="1">
        <f t="array" ref="AG11">_xlfn.XLOOKUP(
   $B$4&amp;" "&amp;$B11,
   Actuals!$D:$D,
   _xlfn.XLOOKUP(
      AG$6,
      Actuals!$H$3:$BD$3,
      Actuals!$H:$BD
   )
)</f>
        <v>3</v>
      </c>
      <c r="AH11" s="293" cm="1">
        <f t="array" ref="AH11">_xlfn.XLOOKUP(
   $B$4&amp;" "&amp;$B11,
   Actuals!$D:$D,
   _xlfn.XLOOKUP(
      AH$6,
      Actuals!$H$3:$BD$3,
      Actuals!$H:$BD
   )
)</f>
        <v>13</v>
      </c>
      <c r="AI11" s="293" cm="1">
        <f t="array" ref="AI11">_xlfn.XLOOKUP(
   $B$4&amp;" "&amp;$B11,
   Actuals!$D:$D,
   _xlfn.XLOOKUP(
      AI$6,
      Actuals!$H$3:$BD$3,
      Actuals!$H:$BD
   )
)</f>
        <v>4</v>
      </c>
      <c r="AJ11" s="293" cm="1">
        <f t="array" ref="AJ11">_xlfn.XLOOKUP(
   $B$4&amp;" "&amp;$B11,
   Actuals!$D:$D,
   _xlfn.XLOOKUP(
      AJ$6,
      Actuals!$H$3:$BD$3,
      Actuals!$H:$BD
   )
)</f>
        <v>3</v>
      </c>
      <c r="AK11" s="293" cm="1">
        <f t="array" ref="AK11">_xlfn.XLOOKUP(
   $B$4&amp;" "&amp;$B11,
   Actuals!$D:$D,
   _xlfn.XLOOKUP(
      AK$6,
      Actuals!$H$3:$BD$3,
      Actuals!$H:$BD
   )
)</f>
        <v>1</v>
      </c>
      <c r="AL11" s="293" cm="1">
        <f t="array" ref="AL11">_xlfn.XLOOKUP(
   $B$4&amp;" "&amp;$B11,
   Actuals!$D:$D,
   _xlfn.XLOOKUP(
      AL$6,
      Actuals!$H$3:$BD$3,
      Actuals!$H:$BD
   )
)</f>
        <v>4</v>
      </c>
      <c r="AM11" s="293" cm="1">
        <f t="array" ref="AM11">_xlfn.XLOOKUP(
   $B$4&amp;" "&amp;$B11,
   Actuals!$D:$D,
   _xlfn.XLOOKUP(
      AM$6,
      Actuals!$H$3:$BD$3,
      Actuals!$H:$BD
   )
)</f>
        <v>8</v>
      </c>
      <c r="AN11" s="293" cm="1">
        <f t="array" ref="AN11">_xlfn.XLOOKUP(
   $B$4&amp;" "&amp;$B11,
   Actuals!$D:$D,
   _xlfn.XLOOKUP(
      AN$6,
      Actuals!$H$3:$BD$3,
      Actuals!$H:$BD
   )
)</f>
        <v>6</v>
      </c>
      <c r="AO11" s="293" cm="1">
        <f t="array" ref="AO11">_xlfn.XLOOKUP(
   $B$4&amp;" "&amp;$B11,
   Actuals!$D:$D,
   _xlfn.XLOOKUP(
      AO$6,
      Actuals!$H$3:$BD$3,
      Actuals!$H:$BD
   )
)</f>
        <v>0</v>
      </c>
      <c r="AP11" s="293" cm="1">
        <f t="array" ref="AP11">_xlfn.XLOOKUP(
   $B$4&amp;" "&amp;$B11,
   Actuals!$D:$D,
   _xlfn.XLOOKUP(
      AP$6,
      Actuals!$H$3:$BD$3,
      Actuals!$H:$BD
   )
)</f>
        <v>0</v>
      </c>
      <c r="AQ11" s="293" cm="1">
        <f t="array" ref="AQ11">_xlfn.XLOOKUP(
   $B$4&amp;" "&amp;$B11,
   Actuals!$D:$D,
   _xlfn.XLOOKUP(
      AQ$6,
      Actuals!$H$3:$BD$3,
      Actuals!$H:$BD
   )
)</f>
        <v>0</v>
      </c>
      <c r="AR11" s="293" cm="1">
        <f t="array" ref="AR11">_xlfn.XLOOKUP(
   $B$4&amp;" "&amp;$B11,
   Actuals!$D:$D,
   _xlfn.XLOOKUP(
      AR$6,
      Actuals!$H$3:$BD$3,
      Actuals!$H:$BD
   )
)</f>
        <v>0</v>
      </c>
      <c r="AS11" s="293" cm="1">
        <f t="array" ref="AS11">_xlfn.XLOOKUP(
   $B$4&amp;" "&amp;$B11,
   Actuals!$D:$D,
   _xlfn.XLOOKUP(
      AS$6,
      Actuals!$H$3:$BD$3,
      Actuals!$H:$BD
   )
)</f>
        <v>0</v>
      </c>
      <c r="AT11" s="293" cm="1">
        <f t="array" ref="AT11">_xlfn.XLOOKUP(
   $B$4&amp;" "&amp;$B11,
   Actuals!$D:$D,
   _xlfn.XLOOKUP(
      AT$6,
      Actuals!$H$3:$BD$3,
      Actuals!$H:$BD
   )
)</f>
        <v>0</v>
      </c>
      <c r="AU11" s="293" cm="1">
        <f t="array" ref="AU11">_xlfn.XLOOKUP(
   $B$4&amp;" "&amp;$B11,
   Actuals!$D:$D,
   _xlfn.XLOOKUP(
      AU$6,
      Actuals!$H$3:$BD$3,
      Actuals!$H:$BD
   )
)</f>
        <v>0</v>
      </c>
      <c r="AV11" s="293" cm="1">
        <f t="array" ref="AV11">_xlfn.XLOOKUP(
   $B$4&amp;" "&amp;$B11,
   Actuals!$D:$D,
   _xlfn.XLOOKUP(
      AV$6,
      Actuals!$H$3:$BD$3,
      Actuals!$H:$BD
   )
)</f>
        <v>0</v>
      </c>
      <c r="AW11" s="293" cm="1">
        <f t="array" ref="AW11">_xlfn.XLOOKUP(
   $B$4&amp;" "&amp;$B11,
   Actuals!$D:$D,
   _xlfn.XLOOKUP(
      AW$6,
      Actuals!$H$3:$BD$3,
      Actuals!$H:$BD
   )
)</f>
        <v>0</v>
      </c>
      <c r="AX11" s="293" cm="1">
        <f t="array" ref="AX11">_xlfn.XLOOKUP(
   $B$4&amp;" "&amp;$B11,
   Actuals!$D:$D,
   _xlfn.XLOOKUP(
      AX$6,
      Actuals!$H$3:$BD$3,
      Actuals!$H:$BD
   )
)</f>
        <v>0</v>
      </c>
      <c r="AY11" s="293" cm="1">
        <f t="array" ref="AY11">_xlfn.XLOOKUP(
   $B$4&amp;" "&amp;$B11,
   Actuals!$D:$D,
   _xlfn.XLOOKUP(
      AY$6,
      Actuals!$H$3:$BD$3,
      Actuals!$H:$BD
   )
)</f>
        <v>0</v>
      </c>
      <c r="AZ11" s="293" cm="1">
        <f t="array" ref="AZ11">_xlfn.XLOOKUP(
   $B$4&amp;" "&amp;$B11,
   Actuals!$D:$D,
   _xlfn.XLOOKUP(
      AZ$6,
      Actuals!$H$3:$BD$3,
      Actuals!$H:$BD
   )
)</f>
        <v>0</v>
      </c>
      <c r="BA11" s="293"/>
      <c r="BB11" s="293" cm="1">
        <f t="array" ref="BB11">_xlfn.XLOOKUP(
   $B$4&amp;" "&amp;$B11,
   Actuals!$D:$D,
   _xlfn.XLOOKUP(
      BB$7,
      Actuals!$H$3:$BM$3,
      Actuals!$H:$BM
   )
)</f>
        <v>0</v>
      </c>
      <c r="BC11" s="293">
        <f>VLOOKUP($B$4&amp;" "&amp;$B11,Budget!$AG$4:$AL$132,$BB$5+1,FALSE)</f>
        <v>31.200000000000003</v>
      </c>
      <c r="BD11" s="293">
        <f>BB11-BC11</f>
        <v>-31.200000000000003</v>
      </c>
      <c r="BE11" s="293"/>
      <c r="BF11" s="293" cm="1">
        <f t="array" ref="BF11">_xlfn.XLOOKUP(
   $B$4&amp;" "&amp;$B11,
   Actuals!$D:$D,
   _xlfn.XLOOKUP(
      BF$7,
      Actuals!$H$3:$BM$3,
      Actuals!$H:$BM
   )
)</f>
        <v>0</v>
      </c>
      <c r="BG11" s="293">
        <f>VLOOKUP($B$4&amp;" "&amp;$B11,Budget!$AG$4:$AL$132,BF$5+1,FALSE)</f>
        <v>31.200000000000003</v>
      </c>
      <c r="BH11" s="293">
        <f>BF11-BG11</f>
        <v>-31.200000000000003</v>
      </c>
      <c r="BI11" s="293"/>
      <c r="BJ11" s="293" cm="1">
        <f t="array" ref="BJ11">_xlfn.XLOOKUP(
   $B$4&amp;" "&amp;$B11,
   Actuals!$D:$D,
   _xlfn.XLOOKUP(
      BJ$7,
      Actuals!$H$3:$BM$3,
      Actuals!$H:$BM
   )
)</f>
        <v>0</v>
      </c>
      <c r="BK11" s="293">
        <f>VLOOKUP($B$4&amp;" "&amp;$B11,Budget!$AG$4:$AL$132,BJ$5+1,FALSE)</f>
        <v>31.200000000000003</v>
      </c>
      <c r="BL11" s="293">
        <f>BJ11-BK11</f>
        <v>-31.200000000000003</v>
      </c>
      <c r="BM11" s="293"/>
      <c r="BN11" s="293" cm="1">
        <f t="array" ref="BN11">_xlfn.XLOOKUP(
   $B$4&amp;" "&amp;$B11,
   Actuals!$D:$D,
   _xlfn.XLOOKUP(
      BN$7,
      Actuals!$H$3:$BM$3,
      Actuals!$H:$BM
   )
)</f>
        <v>0</v>
      </c>
      <c r="BO11" s="293">
        <f>VLOOKUP($B$4&amp;" "&amp;$B11,Budget!$AG$4:$AL$132,BN$5+1,FALSE)</f>
        <v>31.200000000000003</v>
      </c>
      <c r="BP11" s="293"/>
      <c r="BQ11" s="293"/>
      <c r="BR11" s="293" cm="1">
        <f t="array" aca="1" ref="BR11" ca="1">_xlfn.XLOOKUP(
   $B$4&amp;" "&amp;$B11,
   Actuals!$D:$D,
   _xlfn.XLOOKUP(
      BR$6,
      Actuals!$H$3:$BM$3,
      Actuals!$H:$BM
   )
)</f>
        <v>0</v>
      </c>
      <c r="BS11" s="293">
        <f ca="1">VLOOKUP($B$4&amp;" "&amp;$B11,Budget!$AG$4:$AL$132,6,FALSE)</f>
        <v>124.80000000000003</v>
      </c>
      <c r="BT11" s="293">
        <f ca="1">BR11-BS11</f>
        <v>-124.80000000000003</v>
      </c>
      <c r="BU11" s="293"/>
      <c r="BV11" s="293" cm="1">
        <f t="array" ref="BV11">_xlfn.XLOOKUP(
   $B$4&amp;" "&amp;$B11,
   Actuals!$D:$D,
   _xlfn.XLOOKUP(
      BV$6,
      Actuals!$H$3:$BM$3,
      Actuals!$H:$BM
   )
)</f>
        <v>48</v>
      </c>
    </row>
    <row r="12" spans="2:74">
      <c r="E12" s="163"/>
      <c r="F12" s="162"/>
      <c r="G12" s="162"/>
      <c r="H12" s="163"/>
      <c r="I12" s="162"/>
      <c r="J12" s="162"/>
      <c r="K12" s="163"/>
      <c r="L12" s="162"/>
      <c r="M12" s="162"/>
      <c r="N12" s="162"/>
      <c r="O12" s="210"/>
      <c r="P12" s="210"/>
      <c r="Q12" s="210"/>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c r="AS12" s="210"/>
      <c r="AT12" s="210"/>
      <c r="AU12" s="210"/>
      <c r="AV12" s="210"/>
      <c r="AW12" s="210"/>
      <c r="AX12" s="210"/>
      <c r="AY12" s="210"/>
      <c r="AZ12" s="210"/>
      <c r="BA12" s="210"/>
      <c r="BB12" s="329"/>
      <c r="BC12" s="329"/>
      <c r="BD12" s="329"/>
      <c r="BE12" s="210"/>
      <c r="BF12" s="329"/>
      <c r="BG12" s="329"/>
      <c r="BH12" s="329"/>
      <c r="BI12" s="210"/>
      <c r="BJ12" s="329"/>
      <c r="BK12" s="329"/>
      <c r="BL12" s="329"/>
      <c r="BM12" s="210"/>
      <c r="BN12" s="329"/>
      <c r="BO12" s="329"/>
      <c r="BP12" s="329"/>
      <c r="BQ12" s="210"/>
      <c r="BR12" s="329"/>
      <c r="BS12" s="329"/>
      <c r="BT12" s="329"/>
      <c r="BU12" s="210"/>
      <c r="BV12" s="329"/>
    </row>
    <row r="13" spans="2:74" ht="15">
      <c r="B13" s="126" t="s">
        <v>108</v>
      </c>
      <c r="C13" s="138"/>
      <c r="D13" s="138"/>
      <c r="E13" s="164"/>
      <c r="F13" s="164"/>
      <c r="G13" s="164"/>
      <c r="H13" s="164"/>
      <c r="I13" s="164"/>
      <c r="J13" s="164"/>
      <c r="K13" s="164"/>
      <c r="L13" s="164"/>
      <c r="M13" s="164"/>
      <c r="N13" s="164"/>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c r="AT13" s="330"/>
      <c r="AU13" s="330"/>
      <c r="AV13" s="330"/>
      <c r="AW13" s="330"/>
      <c r="AX13" s="330"/>
      <c r="AY13" s="330"/>
      <c r="AZ13" s="330"/>
      <c r="BA13" s="330"/>
      <c r="BB13" s="330"/>
      <c r="BC13" s="330"/>
      <c r="BD13" s="330"/>
      <c r="BE13" s="330"/>
      <c r="BF13" s="330"/>
      <c r="BG13" s="330"/>
      <c r="BH13" s="330"/>
      <c r="BI13" s="330"/>
      <c r="BJ13" s="330"/>
      <c r="BK13" s="330"/>
      <c r="BL13" s="330"/>
      <c r="BM13" s="330"/>
      <c r="BN13" s="330"/>
      <c r="BO13" s="330"/>
      <c r="BP13" s="330"/>
      <c r="BQ13" s="330"/>
      <c r="BR13" s="330"/>
      <c r="BS13" s="330"/>
      <c r="BT13" s="330"/>
      <c r="BU13" s="330"/>
      <c r="BV13" s="330"/>
    </row>
    <row r="14" spans="2:74">
      <c r="B14" s="26" t="s">
        <v>109</v>
      </c>
      <c r="C14" s="139" t="s">
        <v>49</v>
      </c>
      <c r="D14" s="171" t="str">
        <f>VLOOKUP($B$4&amp;" "&amp;$B14,Actuals!$D$4:$AG$131,3,FALSE)</f>
        <v>#</v>
      </c>
      <c r="E14" s="168" cm="1">
        <f t="array" ref="E14">_xlfn.XLOOKUP(
   $B$4&amp;" "&amp;$B14,
   Actuals!$D:$D,
   _xlfn.XLOOKUP(
      E$6,
      Actuals!$H$3:$BD$3,
      Actuals!$H:$BD
   )
)</f>
        <v>5</v>
      </c>
      <c r="F14" s="168" cm="1">
        <f t="array" ref="F14">_xlfn.XLOOKUP(
   $B$4&amp;" "&amp;$B14,
   Actuals!$D:$D,
   _xlfn.XLOOKUP(
      F$6,
      Actuals!$H$3:$BD$3,
      Actuals!$H:$BD
   )
)</f>
        <v>1</v>
      </c>
      <c r="G14" s="168" cm="1">
        <f t="array" ref="G14">_xlfn.XLOOKUP(
   $B$4&amp;" "&amp;$B14,
   Actuals!$D:$D,
   _xlfn.XLOOKUP(
      G$6,
      Actuals!$H$3:$BD$3,
      Actuals!$H:$BD
   )
)</f>
        <v>2</v>
      </c>
      <c r="H14" s="168" cm="1">
        <f t="array" ref="H14">_xlfn.XLOOKUP(
   $B$4&amp;" "&amp;$B14,
   Actuals!$D:$D,
   _xlfn.XLOOKUP(
      H$6,
      Actuals!$H$3:$BD$3,
      Actuals!$H:$BD
   )
)</f>
        <v>0</v>
      </c>
      <c r="I14" s="168" cm="1">
        <f t="array" ref="I14">_xlfn.XLOOKUP(
   $B$4&amp;" "&amp;$B14,
   Actuals!$D:$D,
   _xlfn.XLOOKUP(
      I$6,
      Actuals!$H$3:$BD$3,
      Actuals!$H:$BD
   )
)</f>
        <v>3</v>
      </c>
      <c r="J14" s="168" cm="1">
        <f t="array" ref="J14">_xlfn.XLOOKUP(
   $B$4&amp;" "&amp;$B14,
   Actuals!$D:$D,
   _xlfn.XLOOKUP(
      J$6,
      Actuals!$H$3:$BD$3,
      Actuals!$H:$BD
   )
)</f>
        <v>7</v>
      </c>
      <c r="K14" s="168" cm="1">
        <f t="array" ref="K14">_xlfn.XLOOKUP(
   $B$4&amp;" "&amp;$B14,
   Actuals!$D:$D,
   _xlfn.XLOOKUP(
      K$6,
      Actuals!$H$3:$BD$3,
      Actuals!$H:$BD
   )
)</f>
        <v>4</v>
      </c>
      <c r="L14" s="168" cm="1">
        <f t="array" ref="L14">_xlfn.XLOOKUP(
   $B$4&amp;" "&amp;$B14,
   Actuals!$D:$D,
   _xlfn.XLOOKUP(
      L$6,
      Actuals!$H$3:$BD$3,
      Actuals!$H:$BD
   )
)</f>
        <v>2</v>
      </c>
      <c r="M14" s="168" cm="1">
        <f t="array" ref="M14">_xlfn.XLOOKUP(
   $B$4&amp;" "&amp;$B14,
   Actuals!$D:$D,
   _xlfn.XLOOKUP(
      M$6,
      Actuals!$H$3:$BD$3,
      Actuals!$H:$BD
   )
)</f>
        <v>3</v>
      </c>
      <c r="N14" s="168" cm="1">
        <f t="array" ref="N14">_xlfn.XLOOKUP(
   $B$4&amp;" "&amp;$B14,
   Actuals!$D:$D,
   _xlfn.XLOOKUP(
      N$6,
      Actuals!$H$3:$BD$3,
      Actuals!$H:$BD
   )
)</f>
        <v>3</v>
      </c>
      <c r="O14" s="292" cm="1">
        <f t="array" ref="O14">_xlfn.XLOOKUP(
   $B$4&amp;" "&amp;$B14,
   Actuals!$D:$D,
   _xlfn.XLOOKUP(
      O$6,
      Actuals!$H$3:$BD$3,
      Actuals!$H:$BD
   )
)</f>
        <v>0</v>
      </c>
      <c r="P14" s="292" cm="1">
        <f t="array" ref="P14">_xlfn.XLOOKUP(
   $B$4&amp;" "&amp;$B14,
   Actuals!$D:$D,
   _xlfn.XLOOKUP(
      P$6,
      Actuals!$H$3:$BD$3,
      Actuals!$H:$BD
   )
)</f>
        <v>0</v>
      </c>
      <c r="Q14" s="292" cm="1">
        <f t="array" ref="Q14">_xlfn.XLOOKUP(
   $B$4&amp;" "&amp;$B14,
   Actuals!$D:$D,
   _xlfn.XLOOKUP(
      Q$6,
      Actuals!$H$3:$BD$3,
      Actuals!$H:$BD
   )
)</f>
        <v>0</v>
      </c>
      <c r="R14" s="292" cm="1">
        <f t="array" ref="R14">_xlfn.XLOOKUP(
   $B$4&amp;" "&amp;$B14,
   Actuals!$D:$D,
   _xlfn.XLOOKUP(
      R$6,
      Actuals!$H$3:$BD$3,
      Actuals!$H:$BD
   )
)</f>
        <v>0</v>
      </c>
      <c r="S14" s="292" cm="1">
        <f t="array" ref="S14">_xlfn.XLOOKUP(
   $B$4&amp;" "&amp;$B14,
   Actuals!$D:$D,
   _xlfn.XLOOKUP(
      S$6,
      Actuals!$H$3:$BD$3,
      Actuals!$H:$BD
   )
)</f>
        <v>0</v>
      </c>
      <c r="T14" s="292" cm="1">
        <f t="array" ref="T14">_xlfn.XLOOKUP(
   $B$4&amp;" "&amp;$B14,
   Actuals!$D:$D,
   _xlfn.XLOOKUP(
      T$6,
      Actuals!$H$3:$BD$3,
      Actuals!$H:$BD
   )
)</f>
        <v>0</v>
      </c>
      <c r="U14" s="292" cm="1">
        <f t="array" ref="U14">_xlfn.XLOOKUP(
   $B$4&amp;" "&amp;$B14,
   Actuals!$D:$D,
   _xlfn.XLOOKUP(
      U$6,
      Actuals!$H$3:$BD$3,
      Actuals!$H:$BD
   )
)</f>
        <v>0</v>
      </c>
      <c r="V14" s="292" cm="1">
        <f t="array" ref="V14">_xlfn.XLOOKUP(
   $B$4&amp;" "&amp;$B14,
   Actuals!$D:$D,
   _xlfn.XLOOKUP(
      V$6,
      Actuals!$H$3:$BD$3,
      Actuals!$H:$BD
   )
)</f>
        <v>0</v>
      </c>
      <c r="W14" s="292" cm="1">
        <f t="array" ref="W14">_xlfn.XLOOKUP(
   $B$4&amp;" "&amp;$B14,
   Actuals!$D:$D,
   _xlfn.XLOOKUP(
      W$6,
      Actuals!$H$3:$BD$3,
      Actuals!$H:$BD
   )
)</f>
        <v>0</v>
      </c>
      <c r="X14" s="292" cm="1">
        <f t="array" ref="X14">_xlfn.XLOOKUP(
   $B$4&amp;" "&amp;$B14,
   Actuals!$D:$D,
   _xlfn.XLOOKUP(
      X$6,
      Actuals!$H$3:$BD$3,
      Actuals!$H:$BD
   )
)</f>
        <v>0</v>
      </c>
      <c r="Y14" s="292" cm="1">
        <f t="array" ref="Y14">_xlfn.XLOOKUP(
   $B$4&amp;" "&amp;$B14,
   Actuals!$D:$D,
   _xlfn.XLOOKUP(
      Y$6,
      Actuals!$H$3:$BD$3,
      Actuals!$H:$BD
   )
)</f>
        <v>0</v>
      </c>
      <c r="Z14" s="292" cm="1">
        <f t="array" ref="Z14">_xlfn.XLOOKUP(
   $B$4&amp;" "&amp;$B14,
   Actuals!$D:$D,
   _xlfn.XLOOKUP(
      Z$6,
      Actuals!$H$3:$BD$3,
      Actuals!$H:$BD
   )
)</f>
        <v>0</v>
      </c>
      <c r="AA14" s="292" cm="1">
        <f t="array" ref="AA14">_xlfn.XLOOKUP(
   $B$4&amp;" "&amp;$B14,
   Actuals!$D:$D,
   _xlfn.XLOOKUP(
      AA$6,
      Actuals!$H$3:$BD$3,
      Actuals!$H:$BD
   )
)</f>
        <v>0</v>
      </c>
      <c r="AB14" s="292" cm="1">
        <f t="array" ref="AB14">_xlfn.XLOOKUP(
   $B$4&amp;" "&amp;$B14,
   Actuals!$D:$D,
   _xlfn.XLOOKUP(
      AB$6,
      Actuals!$H$3:$BD$3,
      Actuals!$H:$BD
   )
)</f>
        <v>0</v>
      </c>
      <c r="AC14" s="292" cm="1">
        <f t="array" ref="AC14">_xlfn.XLOOKUP(
   $B$4&amp;" "&amp;$B14,
   Actuals!$D:$D,
   _xlfn.XLOOKUP(
      AC$6,
      Actuals!$H$3:$BD$3,
      Actuals!$H:$BD
   )
)</f>
        <v>0</v>
      </c>
      <c r="AD14" s="292" cm="1">
        <f t="array" ref="AD14">_xlfn.XLOOKUP(
   $B$4&amp;" "&amp;$B14,
   Actuals!$D:$D,
   _xlfn.XLOOKUP(
      AD$6,
      Actuals!$H$3:$BD$3,
      Actuals!$H:$BD
   )
)</f>
        <v>2</v>
      </c>
      <c r="AE14" s="292" cm="1">
        <f t="array" ref="AE14">_xlfn.XLOOKUP(
   $B$4&amp;" "&amp;$B14,
   Actuals!$D:$D,
   _xlfn.XLOOKUP(
      AE$6,
      Actuals!$H$3:$BD$3,
      Actuals!$H:$BD
   )
)</f>
        <v>2</v>
      </c>
      <c r="AF14" s="292" cm="1">
        <f t="array" ref="AF14">_xlfn.XLOOKUP(
   $B$4&amp;" "&amp;$B14,
   Actuals!$D:$D,
   _xlfn.XLOOKUP(
      AF$6,
      Actuals!$H$3:$BD$3,
      Actuals!$H:$BD
   )
)</f>
        <v>2</v>
      </c>
      <c r="AG14" s="292" cm="1">
        <f t="array" ref="AG14">_xlfn.XLOOKUP(
   $B$4&amp;" "&amp;$B14,
   Actuals!$D:$D,
   _xlfn.XLOOKUP(
      AG$6,
      Actuals!$H$3:$BD$3,
      Actuals!$H:$BD
   )
)</f>
        <v>3</v>
      </c>
      <c r="AH14" s="292" cm="1">
        <f t="array" ref="AH14">_xlfn.XLOOKUP(
   $B$4&amp;" "&amp;$B14,
   Actuals!$D:$D,
   _xlfn.XLOOKUP(
      AH$6,
      Actuals!$H$3:$BD$3,
      Actuals!$H:$BD
   )
)</f>
        <v>13</v>
      </c>
      <c r="AI14" s="292" cm="1">
        <f t="array" ref="AI14">_xlfn.XLOOKUP(
   $B$4&amp;" "&amp;$B14,
   Actuals!$D:$D,
   _xlfn.XLOOKUP(
      AI$6,
      Actuals!$H$3:$BD$3,
      Actuals!$H:$BD
   )
)</f>
        <v>4</v>
      </c>
      <c r="AJ14" s="292" cm="1">
        <f t="array" ref="AJ14">_xlfn.XLOOKUP(
   $B$4&amp;" "&amp;$B14,
   Actuals!$D:$D,
   _xlfn.XLOOKUP(
      AJ$6,
      Actuals!$H$3:$BD$3,
      Actuals!$H:$BD
   )
)</f>
        <v>3</v>
      </c>
      <c r="AK14" s="292" cm="1">
        <f t="array" ref="AK14">_xlfn.XLOOKUP(
   $B$4&amp;" "&amp;$B14,
   Actuals!$D:$D,
   _xlfn.XLOOKUP(
      AK$6,
      Actuals!$H$3:$BD$3,
      Actuals!$H:$BD
   )
)</f>
        <v>1</v>
      </c>
      <c r="AL14" s="292" cm="1">
        <f t="array" ref="AL14">_xlfn.XLOOKUP(
   $B$4&amp;" "&amp;$B14,
   Actuals!$D:$D,
   _xlfn.XLOOKUP(
      AL$6,
      Actuals!$H$3:$BD$3,
      Actuals!$H:$BD
   )
)</f>
        <v>4</v>
      </c>
      <c r="AM14" s="292" cm="1">
        <f t="array" ref="AM14">_xlfn.XLOOKUP(
   $B$4&amp;" "&amp;$B14,
   Actuals!$D:$D,
   _xlfn.XLOOKUP(
      AM$6,
      Actuals!$H$3:$BD$3,
      Actuals!$H:$BD
   )
)</f>
        <v>8</v>
      </c>
      <c r="AN14" s="292" cm="1">
        <f t="array" ref="AN14">_xlfn.XLOOKUP(
   $B$4&amp;" "&amp;$B14,
   Actuals!$D:$D,
   _xlfn.XLOOKUP(
      AN$6,
      Actuals!$H$3:$BD$3,
      Actuals!$H:$BD
   )
)</f>
        <v>6</v>
      </c>
      <c r="AO14" s="292" cm="1">
        <f t="array" ref="AO14">_xlfn.XLOOKUP(
   $B$4&amp;" "&amp;$B14,
   Actuals!$D:$D,
   _xlfn.XLOOKUP(
      AO$6,
      Actuals!$H$3:$BD$3,
      Actuals!$H:$BD
   )
)</f>
        <v>0</v>
      </c>
      <c r="AP14" s="292" cm="1">
        <f t="array" ref="AP14">_xlfn.XLOOKUP(
   $B$4&amp;" "&amp;$B14,
   Actuals!$D:$D,
   _xlfn.XLOOKUP(
      AP$6,
      Actuals!$H$3:$BD$3,
      Actuals!$H:$BD
   )
)</f>
        <v>0</v>
      </c>
      <c r="AQ14" s="292" cm="1">
        <f t="array" ref="AQ14">_xlfn.XLOOKUP(
   $B$4&amp;" "&amp;$B14,
   Actuals!$D:$D,
   _xlfn.XLOOKUP(
      AQ$6,
      Actuals!$H$3:$BD$3,
      Actuals!$H:$BD
   )
)</f>
        <v>0</v>
      </c>
      <c r="AR14" s="292" cm="1">
        <f t="array" ref="AR14">_xlfn.XLOOKUP(
   $B$4&amp;" "&amp;$B14,
   Actuals!$D:$D,
   _xlfn.XLOOKUP(
      AR$6,
      Actuals!$H$3:$BD$3,
      Actuals!$H:$BD
   )
)</f>
        <v>0</v>
      </c>
      <c r="AS14" s="292" cm="1">
        <f t="array" ref="AS14">_xlfn.XLOOKUP(
   $B$4&amp;" "&amp;$B14,
   Actuals!$D:$D,
   _xlfn.XLOOKUP(
      AS$6,
      Actuals!$H$3:$BD$3,
      Actuals!$H:$BD
   )
)</f>
        <v>0</v>
      </c>
      <c r="AT14" s="292" cm="1">
        <f t="array" ref="AT14">_xlfn.XLOOKUP(
   $B$4&amp;" "&amp;$B14,
   Actuals!$D:$D,
   _xlfn.XLOOKUP(
      AT$6,
      Actuals!$H$3:$BD$3,
      Actuals!$H:$BD
   )
)</f>
        <v>0</v>
      </c>
      <c r="AU14" s="292" cm="1">
        <f t="array" ref="AU14">_xlfn.XLOOKUP(
   $B$4&amp;" "&amp;$B14,
   Actuals!$D:$D,
   _xlfn.XLOOKUP(
      AU$6,
      Actuals!$H$3:$BD$3,
      Actuals!$H:$BD
   )
)</f>
        <v>0</v>
      </c>
      <c r="AV14" s="292" cm="1">
        <f t="array" ref="AV14">_xlfn.XLOOKUP(
   $B$4&amp;" "&amp;$B14,
   Actuals!$D:$D,
   _xlfn.XLOOKUP(
      AV$6,
      Actuals!$H$3:$BD$3,
      Actuals!$H:$BD
   )
)</f>
        <v>0</v>
      </c>
      <c r="AW14" s="292" cm="1">
        <f t="array" ref="AW14">_xlfn.XLOOKUP(
   $B$4&amp;" "&amp;$B14,
   Actuals!$D:$D,
   _xlfn.XLOOKUP(
      AW$6,
      Actuals!$H$3:$BD$3,
      Actuals!$H:$BD
   )
)</f>
        <v>0</v>
      </c>
      <c r="AX14" s="292" cm="1">
        <f t="array" ref="AX14">_xlfn.XLOOKUP(
   $B$4&amp;" "&amp;$B14,
   Actuals!$D:$D,
   _xlfn.XLOOKUP(
      AX$6,
      Actuals!$H$3:$BD$3,
      Actuals!$H:$BD
   )
)</f>
        <v>0</v>
      </c>
      <c r="AY14" s="292" cm="1">
        <f t="array" ref="AY14">_xlfn.XLOOKUP(
   $B$4&amp;" "&amp;$B14,
   Actuals!$D:$D,
   _xlfn.XLOOKUP(
      AY$6,
      Actuals!$H$3:$BD$3,
      Actuals!$H:$BD
   )
)</f>
        <v>0</v>
      </c>
      <c r="AZ14" s="292" cm="1">
        <f t="array" ref="AZ14">_xlfn.XLOOKUP(
   $B$4&amp;" "&amp;$B14,
   Actuals!$D:$D,
   _xlfn.XLOOKUP(
      AZ$6,
      Actuals!$H$3:$BD$3,
      Actuals!$H:$BD
   )
)</f>
        <v>0</v>
      </c>
      <c r="BA14" s="292"/>
      <c r="BB14" s="292" cm="1">
        <f t="array" ref="BB14">_xlfn.XLOOKUP(
   $B$4&amp;" "&amp;$B14,
   Actuals!$D:$D,
   _xlfn.XLOOKUP(
      BB$7,
      Actuals!$H$3:$BM$3,
      Actuals!$H:$BM
   )
)</f>
        <v>0</v>
      </c>
      <c r="BC14" s="292">
        <f>VLOOKUP($B$4&amp;" "&amp;$B14,Budget!$AG$4:$AL$132,$BB$5+1,FALSE)</f>
        <v>31.200000000000003</v>
      </c>
      <c r="BD14" s="292">
        <f>BB14-BC14</f>
        <v>-31.200000000000003</v>
      </c>
      <c r="BE14" s="292"/>
      <c r="BF14" s="292" cm="1">
        <f t="array" ref="BF14">_xlfn.XLOOKUP(
   $B$4&amp;" "&amp;$B14,
   Actuals!$D:$D,
   _xlfn.XLOOKUP(
      BF$7,
      Actuals!$H$3:$BM$3,
      Actuals!$H:$BM
   )
)</f>
        <v>0</v>
      </c>
      <c r="BG14" s="292">
        <f>VLOOKUP($B$4&amp;" "&amp;$B14,Budget!$AG$4:$AL$132,BF$5+1,FALSE)</f>
        <v>31.200000000000003</v>
      </c>
      <c r="BH14" s="292">
        <f>BF14-BG14</f>
        <v>-31.200000000000003</v>
      </c>
      <c r="BI14" s="292"/>
      <c r="BJ14" s="292" cm="1">
        <f t="array" ref="BJ14">_xlfn.XLOOKUP(
   $B$4&amp;" "&amp;$B14,
   Actuals!$D:$D,
   _xlfn.XLOOKUP(
      BJ$7,
      Actuals!$H$3:$BM$3,
      Actuals!$H:$BM
   )
)</f>
        <v>0</v>
      </c>
      <c r="BK14" s="292">
        <f>VLOOKUP($B$4&amp;" "&amp;$B14,Budget!$AG$4:$AL$132,BJ$5+1,FALSE)</f>
        <v>31.200000000000003</v>
      </c>
      <c r="BL14" s="292">
        <f>BJ14-BK14</f>
        <v>-31.200000000000003</v>
      </c>
      <c r="BM14" s="292"/>
      <c r="BN14" s="292" cm="1">
        <f t="array" ref="BN14">_xlfn.XLOOKUP(
   $B$4&amp;" "&amp;$B14,
   Actuals!$D:$D,
   _xlfn.XLOOKUP(
      BN$7,
      Actuals!$H$3:$BM$3,
      Actuals!$H:$BM
   )
)</f>
        <v>0</v>
      </c>
      <c r="BO14" s="292">
        <f>VLOOKUP($B$4&amp;" "&amp;$B14,Budget!$AG$4:$AL$132,BN$5+1,FALSE)</f>
        <v>31.200000000000003</v>
      </c>
      <c r="BP14" s="292"/>
      <c r="BQ14" s="292"/>
      <c r="BR14" s="292" cm="1">
        <f t="array" aca="1" ref="BR14" ca="1">_xlfn.XLOOKUP(
   $B$4&amp;" "&amp;$B14,
   Actuals!$D:$D,
   _xlfn.XLOOKUP(
      BR$6,
      Actuals!$H$3:$BM$3,
      Actuals!$H:$BM
   )
)</f>
        <v>0</v>
      </c>
      <c r="BS14" s="292">
        <f ca="1">VLOOKUP($B$4&amp;" "&amp;$B14,Budget!$AG$4:$AL$132,6,FALSE)</f>
        <v>124.80000000000003</v>
      </c>
      <c r="BT14" s="292">
        <f ca="1">BR14-BS14</f>
        <v>-124.80000000000003</v>
      </c>
      <c r="BU14" s="292"/>
      <c r="BV14" s="292" cm="1">
        <f t="array" ref="BV14">_xlfn.XLOOKUP(
   $B$4&amp;" "&amp;$B14,
   Actuals!$D:$D,
   _xlfn.XLOOKUP(
      BV$6,
      Actuals!$H$3:$BM$3,
      Actuals!$H:$BM
   )
)</f>
        <v>48</v>
      </c>
    </row>
    <row r="15" spans="2:74">
      <c r="B15" s="26" t="s">
        <v>110</v>
      </c>
      <c r="C15" s="139" t="s">
        <v>49</v>
      </c>
      <c r="D15" s="171" t="str">
        <f>VLOOKUP($B$4&amp;" "&amp;$B15,Actuals!$D$4:$AG$131,3,FALSE)</f>
        <v>$</v>
      </c>
      <c r="E15" s="211" cm="1">
        <f t="array" ref="E15">_xlfn.XLOOKUP(
   $B$4&amp;" "&amp;$B15,
   Actuals!$D:$D,
   _xlfn.XLOOKUP(
      E$6,
      Actuals!$H$3:$BD$3,
      Actuals!$H:$BD
   )
)</f>
        <v>140000</v>
      </c>
      <c r="F15" s="211" cm="1">
        <f t="array" ref="F15">_xlfn.XLOOKUP(
   $B$4&amp;" "&amp;$B15,
   Actuals!$D:$D,
   _xlfn.XLOOKUP(
      F$6,
      Actuals!$H$3:$BD$3,
      Actuals!$H:$BD
   )
)</f>
        <v>100000</v>
      </c>
      <c r="G15" s="211" cm="1">
        <f t="array" ref="G15">_xlfn.XLOOKUP(
   $B$4&amp;" "&amp;$B15,
   Actuals!$D:$D,
   _xlfn.XLOOKUP(
      G$6,
      Actuals!$H$3:$BD$3,
      Actuals!$H:$BD
   )
)</f>
        <v>0</v>
      </c>
      <c r="H15" s="211" t="e" cm="1">
        <f t="array" ref="H15">_xlfn.XLOOKUP(
   $B$4&amp;" "&amp;$B15,
   Actuals!$D:$D,
   _xlfn.XLOOKUP(
      H$6,
      Actuals!$H$3:$BD$3,
      Actuals!$H:$BD
   )
)</f>
        <v>#DIV/0!</v>
      </c>
      <c r="I15" s="211" cm="1">
        <f t="array" ref="I15">_xlfn.XLOOKUP(
   $B$4&amp;" "&amp;$B15,
   Actuals!$D:$D,
   _xlfn.XLOOKUP(
      I$6,
      Actuals!$H$3:$BD$3,
      Actuals!$H:$BD
   )
)</f>
        <v>25000</v>
      </c>
      <c r="J15" s="211" cm="1">
        <f t="array" ref="J15">_xlfn.XLOOKUP(
   $B$4&amp;" "&amp;$B15,
   Actuals!$D:$D,
   _xlfn.XLOOKUP(
      J$6,
      Actuals!$H$3:$BD$3,
      Actuals!$H:$BD
   )
)</f>
        <v>28571.428571428572</v>
      </c>
      <c r="K15" s="211" cm="1">
        <f t="array" ref="K15">_xlfn.XLOOKUP(
   $B$4&amp;" "&amp;$B15,
   Actuals!$D:$D,
   _xlfn.XLOOKUP(
      K$6,
      Actuals!$H$3:$BD$3,
      Actuals!$H:$BD
   )
)</f>
        <v>18750</v>
      </c>
      <c r="L15" s="211" cm="1">
        <f t="array" ref="L15">_xlfn.XLOOKUP(
   $B$4&amp;" "&amp;$B15,
   Actuals!$D:$D,
   _xlfn.XLOOKUP(
      L$6,
      Actuals!$H$3:$BD$3,
      Actuals!$H:$BD
   )
)</f>
        <v>0</v>
      </c>
      <c r="M15" s="211" cm="1">
        <f t="array" ref="M15">_xlfn.XLOOKUP(
   $B$4&amp;" "&amp;$B15,
   Actuals!$D:$D,
   _xlfn.XLOOKUP(
      M$6,
      Actuals!$H$3:$BD$3,
      Actuals!$H:$BD
   )
)</f>
        <v>16666.666666666668</v>
      </c>
      <c r="N15" s="211" cm="1">
        <f t="array" ref="N15">_xlfn.XLOOKUP(
   $B$4&amp;" "&amp;$B15,
   Actuals!$D:$D,
   _xlfn.XLOOKUP(
      N$6,
      Actuals!$H$3:$BD$3,
      Actuals!$H:$BD
   )
)</f>
        <v>0</v>
      </c>
      <c r="O15" s="211" t="str" cm="1">
        <f t="array" ref="O15">_xlfn.XLOOKUP(
   $B$4&amp;" "&amp;$B15,
   Actuals!$D:$D,
   _xlfn.XLOOKUP(
      O$6,
      Actuals!$H$3:$BD$3,
      Actuals!$H:$BD
   )
)</f>
        <v/>
      </c>
      <c r="P15" s="211" t="str" cm="1">
        <f t="array" ref="P15">_xlfn.XLOOKUP(
   $B$4&amp;" "&amp;$B15,
   Actuals!$D:$D,
   _xlfn.XLOOKUP(
      P$6,
      Actuals!$H$3:$BD$3,
      Actuals!$H:$BD
   )
)</f>
        <v/>
      </c>
      <c r="Q15" s="211" t="str" cm="1">
        <f t="array" ref="Q15">_xlfn.XLOOKUP(
   $B$4&amp;" "&amp;$B15,
   Actuals!$D:$D,
   _xlfn.XLOOKUP(
      Q$6,
      Actuals!$H$3:$BD$3,
      Actuals!$H:$BD
   )
)</f>
        <v/>
      </c>
      <c r="R15" s="211" t="str" cm="1">
        <f t="array" ref="R15">_xlfn.XLOOKUP(
   $B$4&amp;" "&amp;$B15,
   Actuals!$D:$D,
   _xlfn.XLOOKUP(
      R$6,
      Actuals!$H$3:$BD$3,
      Actuals!$H:$BD
   )
)</f>
        <v/>
      </c>
      <c r="S15" s="211" t="str" cm="1">
        <f t="array" ref="S15">_xlfn.XLOOKUP(
   $B$4&amp;" "&amp;$B15,
   Actuals!$D:$D,
   _xlfn.XLOOKUP(
      S$6,
      Actuals!$H$3:$BD$3,
      Actuals!$H:$BD
   )
)</f>
        <v/>
      </c>
      <c r="T15" s="211" t="str" cm="1">
        <f t="array" ref="T15">_xlfn.XLOOKUP(
   $B$4&amp;" "&amp;$B15,
   Actuals!$D:$D,
   _xlfn.XLOOKUP(
      T$6,
      Actuals!$H$3:$BD$3,
      Actuals!$H:$BD
   )
)</f>
        <v/>
      </c>
      <c r="U15" s="211" t="str" cm="1">
        <f t="array" ref="U15">_xlfn.XLOOKUP(
   $B$4&amp;" "&amp;$B15,
   Actuals!$D:$D,
   _xlfn.XLOOKUP(
      U$6,
      Actuals!$H$3:$BD$3,
      Actuals!$H:$BD
   )
)</f>
        <v/>
      </c>
      <c r="V15" s="211" t="str" cm="1">
        <f t="array" ref="V15">_xlfn.XLOOKUP(
   $B$4&amp;" "&amp;$B15,
   Actuals!$D:$D,
   _xlfn.XLOOKUP(
      V$6,
      Actuals!$H$3:$BD$3,
      Actuals!$H:$BD
   )
)</f>
        <v/>
      </c>
      <c r="W15" s="211" t="str" cm="1">
        <f t="array" ref="W15">_xlfn.XLOOKUP(
   $B$4&amp;" "&amp;$B15,
   Actuals!$D:$D,
   _xlfn.XLOOKUP(
      W$6,
      Actuals!$H$3:$BD$3,
      Actuals!$H:$BD
   )
)</f>
        <v/>
      </c>
      <c r="X15" s="211" t="str" cm="1">
        <f t="array" ref="X15">_xlfn.XLOOKUP(
   $B$4&amp;" "&amp;$B15,
   Actuals!$D:$D,
   _xlfn.XLOOKUP(
      X$6,
      Actuals!$H$3:$BD$3,
      Actuals!$H:$BD
   )
)</f>
        <v/>
      </c>
      <c r="Y15" s="211" t="str" cm="1">
        <f t="array" ref="Y15">_xlfn.XLOOKUP(
   $B$4&amp;" "&amp;$B15,
   Actuals!$D:$D,
   _xlfn.XLOOKUP(
      Y$6,
      Actuals!$H$3:$BD$3,
      Actuals!$H:$BD
   )
)</f>
        <v/>
      </c>
      <c r="Z15" s="211" t="str" cm="1">
        <f t="array" ref="Z15">_xlfn.XLOOKUP(
   $B$4&amp;" "&amp;$B15,
   Actuals!$D:$D,
   _xlfn.XLOOKUP(
      Z$6,
      Actuals!$H$3:$BD$3,
      Actuals!$H:$BD
   )
)</f>
        <v/>
      </c>
      <c r="AA15" s="211" t="str" cm="1">
        <f t="array" ref="AA15">_xlfn.XLOOKUP(
   $B$4&amp;" "&amp;$B15,
   Actuals!$D:$D,
   _xlfn.XLOOKUP(
      AA$6,
      Actuals!$H$3:$BD$3,
      Actuals!$H:$BD
   )
)</f>
        <v/>
      </c>
      <c r="AB15" s="211" t="str" cm="1">
        <f t="array" ref="AB15">_xlfn.XLOOKUP(
   $B$4&amp;" "&amp;$B15,
   Actuals!$D:$D,
   _xlfn.XLOOKUP(
      AB$6,
      Actuals!$H$3:$BD$3,
      Actuals!$H:$BD
   )
)</f>
        <v/>
      </c>
      <c r="AC15" s="211" t="str" cm="1">
        <f t="array" ref="AC15">_xlfn.XLOOKUP(
   $B$4&amp;" "&amp;$B15,
   Actuals!$D:$D,
   _xlfn.XLOOKUP(
      AC$6,
      Actuals!$H$3:$BD$3,
      Actuals!$H:$BD
   )
)</f>
        <v/>
      </c>
      <c r="AD15" s="211" cm="1">
        <f t="array" ref="AD15">_xlfn.XLOOKUP(
   $B$4&amp;" "&amp;$B15,
   Actuals!$D:$D,
   _xlfn.XLOOKUP(
      AD$6,
      Actuals!$H$3:$BD$3,
      Actuals!$H:$BD
   )
)</f>
        <v>0</v>
      </c>
      <c r="AE15" s="211" cm="1">
        <f t="array" ref="AE15">_xlfn.XLOOKUP(
   $B$4&amp;" "&amp;$B15,
   Actuals!$D:$D,
   _xlfn.XLOOKUP(
      AE$6,
      Actuals!$H$3:$BD$3,
      Actuals!$H:$BD
   )
)</f>
        <v>75000</v>
      </c>
      <c r="AF15" s="211" cm="1">
        <f t="array" ref="AF15">_xlfn.XLOOKUP(
   $B$4&amp;" "&amp;$B15,
   Actuals!$D:$D,
   _xlfn.XLOOKUP(
      AF$6,
      Actuals!$H$3:$BD$3,
      Actuals!$H:$BD
   )
)</f>
        <v>75000</v>
      </c>
      <c r="AG15" s="211" cm="1">
        <f t="array" ref="AG15">_xlfn.XLOOKUP(
   $B$4&amp;" "&amp;$B15,
   Actuals!$D:$D,
   _xlfn.XLOOKUP(
      AG$6,
      Actuals!$H$3:$BD$3,
      Actuals!$H:$BD
   )
)</f>
        <v>75000</v>
      </c>
      <c r="AH15" s="211" cm="1">
        <f t="array" ref="AH15">_xlfn.XLOOKUP(
   $B$4&amp;" "&amp;$B15,
   Actuals!$D:$D,
   _xlfn.XLOOKUP(
      AH$6,
      Actuals!$H$3:$BD$3,
      Actuals!$H:$BD
   )
)</f>
        <v>75000</v>
      </c>
      <c r="AI15" s="211" cm="1">
        <f t="array" ref="AI15">_xlfn.XLOOKUP(
   $B$4&amp;" "&amp;$B15,
   Actuals!$D:$D,
   _xlfn.XLOOKUP(
      AI$6,
      Actuals!$H$3:$BD$3,
      Actuals!$H:$BD
   )
)</f>
        <v>75000</v>
      </c>
      <c r="AJ15" s="211" cm="1">
        <f t="array" ref="AJ15">_xlfn.XLOOKUP(
   $B$4&amp;" "&amp;$B15,
   Actuals!$D:$D,
   _xlfn.XLOOKUP(
      AJ$6,
      Actuals!$H$3:$BD$3,
      Actuals!$H:$BD
   )
)</f>
        <v>75000</v>
      </c>
      <c r="AK15" s="211" cm="1">
        <f t="array" ref="AK15">_xlfn.XLOOKUP(
   $B$4&amp;" "&amp;$B15,
   Actuals!$D:$D,
   _xlfn.XLOOKUP(
      AK$6,
      Actuals!$H$3:$BD$3,
      Actuals!$H:$BD
   )
)</f>
        <v>75000</v>
      </c>
      <c r="AL15" s="211" cm="1">
        <f t="array" ref="AL15">_xlfn.XLOOKUP(
   $B$4&amp;" "&amp;$B15,
   Actuals!$D:$D,
   _xlfn.XLOOKUP(
      AL$6,
      Actuals!$H$3:$BD$3,
      Actuals!$H:$BD
   )
)</f>
        <v>75000</v>
      </c>
      <c r="AM15" s="211" cm="1">
        <f t="array" ref="AM15">_xlfn.XLOOKUP(
   $B$4&amp;" "&amp;$B15,
   Actuals!$D:$D,
   _xlfn.XLOOKUP(
      AM$6,
      Actuals!$H$3:$BD$3,
      Actuals!$H:$BD
   )
)</f>
        <v>75000</v>
      </c>
      <c r="AN15" s="211" cm="1">
        <f t="array" ref="AN15">_xlfn.XLOOKUP(
   $B$4&amp;" "&amp;$B15,
   Actuals!$D:$D,
   _xlfn.XLOOKUP(
      AN$6,
      Actuals!$H$3:$BD$3,
      Actuals!$H:$BD
   )
)</f>
        <v>75000</v>
      </c>
      <c r="AO15" s="211" cm="1">
        <f t="array" ref="AO15">_xlfn.XLOOKUP(
   $B$4&amp;" "&amp;$B15,
   Actuals!$D:$D,
   _xlfn.XLOOKUP(
      AO$6,
      Actuals!$H$3:$BD$3,
      Actuals!$H:$BD
   )
)</f>
        <v>0</v>
      </c>
      <c r="AP15" s="211" cm="1">
        <f t="array" ref="AP15">_xlfn.XLOOKUP(
   $B$4&amp;" "&amp;$B15,
   Actuals!$D:$D,
   _xlfn.XLOOKUP(
      AP$6,
      Actuals!$H$3:$BD$3,
      Actuals!$H:$BD
   )
)</f>
        <v>0</v>
      </c>
      <c r="AQ15" s="211" cm="1">
        <f t="array" ref="AQ15">_xlfn.XLOOKUP(
   $B$4&amp;" "&amp;$B15,
   Actuals!$D:$D,
   _xlfn.XLOOKUP(
      AQ$6,
      Actuals!$H$3:$BD$3,
      Actuals!$H:$BD
   )
)</f>
        <v>0</v>
      </c>
      <c r="AR15" s="211" cm="1">
        <f t="array" ref="AR15">_xlfn.XLOOKUP(
   $B$4&amp;" "&amp;$B15,
   Actuals!$D:$D,
   _xlfn.XLOOKUP(
      AR$6,
      Actuals!$H$3:$BD$3,
      Actuals!$H:$BD
   )
)</f>
        <v>0</v>
      </c>
      <c r="AS15" s="211" cm="1">
        <f t="array" ref="AS15">_xlfn.XLOOKUP(
   $B$4&amp;" "&amp;$B15,
   Actuals!$D:$D,
   _xlfn.XLOOKUP(
      AS$6,
      Actuals!$H$3:$BD$3,
      Actuals!$H:$BD
   )
)</f>
        <v>0</v>
      </c>
      <c r="AT15" s="211" cm="1">
        <f t="array" ref="AT15">_xlfn.XLOOKUP(
   $B$4&amp;" "&amp;$B15,
   Actuals!$D:$D,
   _xlfn.XLOOKUP(
      AT$6,
      Actuals!$H$3:$BD$3,
      Actuals!$H:$BD
   )
)</f>
        <v>0</v>
      </c>
      <c r="AU15" s="211" cm="1">
        <f t="array" ref="AU15">_xlfn.XLOOKUP(
   $B$4&amp;" "&amp;$B15,
   Actuals!$D:$D,
   _xlfn.XLOOKUP(
      AU$6,
      Actuals!$H$3:$BD$3,
      Actuals!$H:$BD
   )
)</f>
        <v>0</v>
      </c>
      <c r="AV15" s="211" cm="1">
        <f t="array" ref="AV15">_xlfn.XLOOKUP(
   $B$4&amp;" "&amp;$B15,
   Actuals!$D:$D,
   _xlfn.XLOOKUP(
      AV$6,
      Actuals!$H$3:$BD$3,
      Actuals!$H:$BD
   )
)</f>
        <v>0</v>
      </c>
      <c r="AW15" s="211" cm="1">
        <f t="array" ref="AW15">_xlfn.XLOOKUP(
   $B$4&amp;" "&amp;$B15,
   Actuals!$D:$D,
   _xlfn.XLOOKUP(
      AW$6,
      Actuals!$H$3:$BD$3,
      Actuals!$H:$BD
   )
)</f>
        <v>0</v>
      </c>
      <c r="AX15" s="211" cm="1">
        <f t="array" ref="AX15">_xlfn.XLOOKUP(
   $B$4&amp;" "&amp;$B15,
   Actuals!$D:$D,
   _xlfn.XLOOKUP(
      AX$6,
      Actuals!$H$3:$BD$3,
      Actuals!$H:$BD
   )
)</f>
        <v>0</v>
      </c>
      <c r="AY15" s="211" cm="1">
        <f t="array" ref="AY15">_xlfn.XLOOKUP(
   $B$4&amp;" "&amp;$B15,
   Actuals!$D:$D,
   _xlfn.XLOOKUP(
      AY$6,
      Actuals!$H$3:$BD$3,
      Actuals!$H:$BD
   )
)</f>
        <v>0</v>
      </c>
      <c r="AZ15" s="211" cm="1">
        <f t="array" ref="AZ15">_xlfn.XLOOKUP(
   $B$4&amp;" "&amp;$B15,
   Actuals!$D:$D,
   _xlfn.XLOOKUP(
      AZ$6,
      Actuals!$H$3:$BD$3,
      Actuals!$H:$BD
   )
)</f>
        <v>0</v>
      </c>
      <c r="BA15" s="211"/>
      <c r="BB15" s="211" t="str" cm="1">
        <f t="array" ref="BB15">_xlfn.XLOOKUP(
   $B$4&amp;" "&amp;$B15,
   Actuals!$D:$D,
   _xlfn.XLOOKUP(
      BB$7,
      Actuals!$H$3:$BM$3,
      Actuals!$H:$BM
   )
)</f>
        <v>-</v>
      </c>
      <c r="BC15" s="211">
        <f>IFERROR(VLOOKUP($B$4&amp;" "&amp;$B15,Budget!$AG$4:$AL$132,$BB$5+1,FALSE),"n.a.")</f>
        <v>75000</v>
      </c>
      <c r="BD15" s="213" t="str">
        <f>IFERROR(BB15-BC15,"-")</f>
        <v>-</v>
      </c>
      <c r="BE15" s="213"/>
      <c r="BF15" s="211" t="str" cm="1">
        <f t="array" ref="BF15">_xlfn.XLOOKUP(
   $B$4&amp;" "&amp;$B15,
   Actuals!$D:$D,
   _xlfn.XLOOKUP(
      BF$7,
      Actuals!$H$3:$BM$3,
      Actuals!$H:$BM
   )
)</f>
        <v>-</v>
      </c>
      <c r="BG15" s="211">
        <f>IFERROR(VLOOKUP($B$4&amp;" "&amp;$B15,Budget!$AG$4:$AL$132,$BF$5+1,FALSE),"n.a.")</f>
        <v>75000</v>
      </c>
      <c r="BH15" s="213" t="str">
        <f>IFERROR(BF15-BG15,"-")</f>
        <v>-</v>
      </c>
      <c r="BI15" s="213"/>
      <c r="BJ15" s="211" t="str" cm="1">
        <f t="array" ref="BJ15">_xlfn.XLOOKUP(
   $B$4&amp;" "&amp;$B15,
   Actuals!$D:$D,
   _xlfn.XLOOKUP(
      BJ$7,
      Actuals!$H$3:$BM$3,
      Actuals!$H:$BM
   )
)</f>
        <v>-</v>
      </c>
      <c r="BK15" s="211">
        <f>IFERROR(VLOOKUP($B$4&amp;" "&amp;$B15,Budget!$AG$4:$AL$132,$BJ$5+1,FALSE),"n.a.")</f>
        <v>75000</v>
      </c>
      <c r="BL15" s="213" t="str">
        <f>IFERROR(BJ15-BK15,"-")</f>
        <v>-</v>
      </c>
      <c r="BM15" s="213"/>
      <c r="BN15" s="211" t="str" cm="1">
        <f t="array" ref="BN15">_xlfn.XLOOKUP(
   $B$4&amp;" "&amp;$B15,
   Actuals!$D:$D,
   _xlfn.XLOOKUP(
      BN$7,
      Actuals!$H$3:$BM$3,
      Actuals!$H:$BM
   )
)</f>
        <v>-</v>
      </c>
      <c r="BO15" s="211">
        <f>IFERROR(VLOOKUP($B$4&amp;" "&amp;$B15,Budget!$AG$4:$AL$132,$BN$5+1,FALSE),"n.a.")</f>
        <v>75000</v>
      </c>
      <c r="BP15" s="211"/>
      <c r="BQ15" s="211"/>
      <c r="BR15" s="211" cm="1">
        <f t="array" aca="1" ref="BR15" ca="1">_xlfn.XLOOKUP(
   $B$4&amp;" "&amp;$B15,
   Actuals!$D:$D,
   _xlfn.XLOOKUP(
      BR$6,
      Actuals!$H$3:$BM$3,
      Actuals!$H:$BM
   )
)</f>
        <v>0</v>
      </c>
      <c r="BS15" s="211">
        <f ca="1">VLOOKUP($B$4&amp;" "&amp;$B15,Budget!$AG$4:$AL$132,6,FALSE)</f>
        <v>75000</v>
      </c>
      <c r="BT15" s="211">
        <f ca="1">BR15-BS15</f>
        <v>-75000</v>
      </c>
      <c r="BU15" s="211"/>
      <c r="BV15" s="211" cm="1">
        <f t="array" ref="BV15">_xlfn.XLOOKUP(
   $B$4&amp;" "&amp;$B15,
   Actuals!$D:$D,
   _xlfn.XLOOKUP(
      BV$6,
      Actuals!$H$3:$BM$3,
      Actuals!$H:$BM
   )
)</f>
        <v>68181.818181818177</v>
      </c>
    </row>
    <row r="16" spans="2:74">
      <c r="B16" s="149" t="s">
        <v>111</v>
      </c>
      <c r="C16" s="142" t="s">
        <v>49</v>
      </c>
      <c r="D16" s="172" t="str">
        <f>VLOOKUP($B$4&amp;" "&amp;$B16,Actuals!$D$4:$AG$131,3,FALSE)</f>
        <v>$</v>
      </c>
      <c r="E16" s="212" cm="1">
        <f t="array" ref="E16">_xlfn.XLOOKUP(
   $B$4&amp;" "&amp;$B16,
   Actuals!$D:$D,
   _xlfn.XLOOKUP(
      E$6,
      Actuals!$H$3:$BD$3,
      Actuals!$H:$BD
   )
)</f>
        <v>700000</v>
      </c>
      <c r="F16" s="212" cm="1">
        <f t="array" ref="F16">_xlfn.XLOOKUP(
   $B$4&amp;" "&amp;$B16,
   Actuals!$D:$D,
   _xlfn.XLOOKUP(
      F$6,
      Actuals!$H$3:$BD$3,
      Actuals!$H:$BD
   )
)</f>
        <v>100000</v>
      </c>
      <c r="G16" s="212" cm="1">
        <f t="array" ref="G16">_xlfn.XLOOKUP(
   $B$4&amp;" "&amp;$B16,
   Actuals!$D:$D,
   _xlfn.XLOOKUP(
      G$6,
      Actuals!$H$3:$BD$3,
      Actuals!$H:$BD
   )
)</f>
        <v>0</v>
      </c>
      <c r="H16" s="212" cm="1">
        <f t="array" ref="H16">_xlfn.XLOOKUP(
   $B$4&amp;" "&amp;$B16,
   Actuals!$D:$D,
   _xlfn.XLOOKUP(
      H$6,
      Actuals!$H$3:$BD$3,
      Actuals!$H:$BD
   )
)</f>
        <v>0</v>
      </c>
      <c r="I16" s="212" cm="1">
        <f t="array" ref="I16">_xlfn.XLOOKUP(
   $B$4&amp;" "&amp;$B16,
   Actuals!$D:$D,
   _xlfn.XLOOKUP(
      I$6,
      Actuals!$H$3:$BD$3,
      Actuals!$H:$BD
   )
)</f>
        <v>75000</v>
      </c>
      <c r="J16" s="212" cm="1">
        <f t="array" ref="J16">_xlfn.XLOOKUP(
   $B$4&amp;" "&amp;$B16,
   Actuals!$D:$D,
   _xlfn.XLOOKUP(
      J$6,
      Actuals!$H$3:$BD$3,
      Actuals!$H:$BD
   )
)</f>
        <v>200000</v>
      </c>
      <c r="K16" s="212" cm="1">
        <f t="array" ref="K16">_xlfn.XLOOKUP(
   $B$4&amp;" "&amp;$B16,
   Actuals!$D:$D,
   _xlfn.XLOOKUP(
      K$6,
      Actuals!$H$3:$BD$3,
      Actuals!$H:$BD
   )
)</f>
        <v>75000</v>
      </c>
      <c r="L16" s="212" cm="1">
        <f t="array" ref="L16">_xlfn.XLOOKUP(
   $B$4&amp;" "&amp;$B16,
   Actuals!$D:$D,
   _xlfn.XLOOKUP(
      L$6,
      Actuals!$H$3:$BD$3,
      Actuals!$H:$BD
   )
)</f>
        <v>0</v>
      </c>
      <c r="M16" s="212" cm="1">
        <f t="array" ref="M16">_xlfn.XLOOKUP(
   $B$4&amp;" "&amp;$B16,
   Actuals!$D:$D,
   _xlfn.XLOOKUP(
      M$6,
      Actuals!$H$3:$BD$3,
      Actuals!$H:$BD
   )
)</f>
        <v>50000</v>
      </c>
      <c r="N16" s="212" cm="1">
        <f t="array" ref="N16">_xlfn.XLOOKUP(
   $B$4&amp;" "&amp;$B16,
   Actuals!$D:$D,
   _xlfn.XLOOKUP(
      N$6,
      Actuals!$H$3:$BD$3,
      Actuals!$H:$BD
   )
)</f>
        <v>0</v>
      </c>
      <c r="O16" s="212" cm="1">
        <f t="array" ref="O16">_xlfn.XLOOKUP(
   $B$4&amp;" "&amp;$B16,
   Actuals!$D:$D,
   _xlfn.XLOOKUP(
      O$6,
      Actuals!$H$3:$BD$3,
      Actuals!$H:$BD
   )
)</f>
        <v>0</v>
      </c>
      <c r="P16" s="212" cm="1">
        <f t="array" ref="P16">_xlfn.XLOOKUP(
   $B$4&amp;" "&amp;$B16,
   Actuals!$D:$D,
   _xlfn.XLOOKUP(
      P$6,
      Actuals!$H$3:$BD$3,
      Actuals!$H:$BD
   )
)</f>
        <v>0</v>
      </c>
      <c r="Q16" s="212" cm="1">
        <f t="array" ref="Q16">_xlfn.XLOOKUP(
   $B$4&amp;" "&amp;$B16,
   Actuals!$D:$D,
   _xlfn.XLOOKUP(
      Q$6,
      Actuals!$H$3:$BD$3,
      Actuals!$H:$BD
   )
)</f>
        <v>0</v>
      </c>
      <c r="R16" s="212" cm="1">
        <f t="array" ref="R16">_xlfn.XLOOKUP(
   $B$4&amp;" "&amp;$B16,
   Actuals!$D:$D,
   _xlfn.XLOOKUP(
      R$6,
      Actuals!$H$3:$BD$3,
      Actuals!$H:$BD
   )
)</f>
        <v>0</v>
      </c>
      <c r="S16" s="212" cm="1">
        <f t="array" ref="S16">_xlfn.XLOOKUP(
   $B$4&amp;" "&amp;$B16,
   Actuals!$D:$D,
   _xlfn.XLOOKUP(
      S$6,
      Actuals!$H$3:$BD$3,
      Actuals!$H:$BD
   )
)</f>
        <v>0</v>
      </c>
      <c r="T16" s="212" cm="1">
        <f t="array" ref="T16">_xlfn.XLOOKUP(
   $B$4&amp;" "&amp;$B16,
   Actuals!$D:$D,
   _xlfn.XLOOKUP(
      T$6,
      Actuals!$H$3:$BD$3,
      Actuals!$H:$BD
   )
)</f>
        <v>0</v>
      </c>
      <c r="U16" s="212" cm="1">
        <f t="array" ref="U16">_xlfn.XLOOKUP(
   $B$4&amp;" "&amp;$B16,
   Actuals!$D:$D,
   _xlfn.XLOOKUP(
      U$6,
      Actuals!$H$3:$BD$3,
      Actuals!$H:$BD
   )
)</f>
        <v>0</v>
      </c>
      <c r="V16" s="212" cm="1">
        <f t="array" ref="V16">_xlfn.XLOOKUP(
   $B$4&amp;" "&amp;$B16,
   Actuals!$D:$D,
   _xlfn.XLOOKUP(
      V$6,
      Actuals!$H$3:$BD$3,
      Actuals!$H:$BD
   )
)</f>
        <v>0</v>
      </c>
      <c r="W16" s="212" cm="1">
        <f t="array" ref="W16">_xlfn.XLOOKUP(
   $B$4&amp;" "&amp;$B16,
   Actuals!$D:$D,
   _xlfn.XLOOKUP(
      W$6,
      Actuals!$H$3:$BD$3,
      Actuals!$H:$BD
   )
)</f>
        <v>0</v>
      </c>
      <c r="X16" s="212" cm="1">
        <f t="array" ref="X16">_xlfn.XLOOKUP(
   $B$4&amp;" "&amp;$B16,
   Actuals!$D:$D,
   _xlfn.XLOOKUP(
      X$6,
      Actuals!$H$3:$BD$3,
      Actuals!$H:$BD
   )
)</f>
        <v>0</v>
      </c>
      <c r="Y16" s="212" cm="1">
        <f t="array" ref="Y16">_xlfn.XLOOKUP(
   $B$4&amp;" "&amp;$B16,
   Actuals!$D:$D,
   _xlfn.XLOOKUP(
      Y$6,
      Actuals!$H$3:$BD$3,
      Actuals!$H:$BD
   )
)</f>
        <v>0</v>
      </c>
      <c r="Z16" s="212" cm="1">
        <f t="array" ref="Z16">_xlfn.XLOOKUP(
   $B$4&amp;" "&amp;$B16,
   Actuals!$D:$D,
   _xlfn.XLOOKUP(
      Z$6,
      Actuals!$H$3:$BD$3,
      Actuals!$H:$BD
   )
)</f>
        <v>0</v>
      </c>
      <c r="AA16" s="212" cm="1">
        <f t="array" ref="AA16">_xlfn.XLOOKUP(
   $B$4&amp;" "&amp;$B16,
   Actuals!$D:$D,
   _xlfn.XLOOKUP(
      AA$6,
      Actuals!$H$3:$BD$3,
      Actuals!$H:$BD
   )
)</f>
        <v>0</v>
      </c>
      <c r="AB16" s="212" cm="1">
        <f t="array" ref="AB16">_xlfn.XLOOKUP(
   $B$4&amp;" "&amp;$B16,
   Actuals!$D:$D,
   _xlfn.XLOOKUP(
      AB$6,
      Actuals!$H$3:$BD$3,
      Actuals!$H:$BD
   )
)</f>
        <v>0</v>
      </c>
      <c r="AC16" s="212" cm="1">
        <f t="array" ref="AC16">_xlfn.XLOOKUP(
   $B$4&amp;" "&amp;$B16,
   Actuals!$D:$D,
   _xlfn.XLOOKUP(
      AC$6,
      Actuals!$H$3:$BD$3,
      Actuals!$H:$BD
   )
)</f>
        <v>0</v>
      </c>
      <c r="AD16" s="212" cm="1">
        <f t="array" ref="AD16">_xlfn.XLOOKUP(
   $B$4&amp;" "&amp;$B16,
   Actuals!$D:$D,
   _xlfn.XLOOKUP(
      AD$6,
      Actuals!$H$3:$BD$3,
      Actuals!$H:$BD
   )
)</f>
        <v>0</v>
      </c>
      <c r="AE16" s="212" cm="1">
        <f t="array" ref="AE16">_xlfn.XLOOKUP(
   $B$4&amp;" "&amp;$B16,
   Actuals!$D:$D,
   _xlfn.XLOOKUP(
      AE$6,
      Actuals!$H$3:$BD$3,
      Actuals!$H:$BD
   )
)</f>
        <v>150000</v>
      </c>
      <c r="AF16" s="212" cm="1">
        <f t="array" ref="AF16">_xlfn.XLOOKUP(
   $B$4&amp;" "&amp;$B16,
   Actuals!$D:$D,
   _xlfn.XLOOKUP(
      AF$6,
      Actuals!$H$3:$BD$3,
      Actuals!$H:$BD
   )
)</f>
        <v>150000</v>
      </c>
      <c r="AG16" s="212" cm="1">
        <f t="array" ref="AG16">_xlfn.XLOOKUP(
   $B$4&amp;" "&amp;$B16,
   Actuals!$D:$D,
   _xlfn.XLOOKUP(
      AG$6,
      Actuals!$H$3:$BD$3,
      Actuals!$H:$BD
   )
)</f>
        <v>225000</v>
      </c>
      <c r="AH16" s="212" cm="1">
        <f t="array" ref="AH16">_xlfn.XLOOKUP(
   $B$4&amp;" "&amp;$B16,
   Actuals!$D:$D,
   _xlfn.XLOOKUP(
      AH$6,
      Actuals!$H$3:$BD$3,
      Actuals!$H:$BD
   )
)</f>
        <v>975000</v>
      </c>
      <c r="AI16" s="212" cm="1">
        <f t="array" ref="AI16">_xlfn.XLOOKUP(
   $B$4&amp;" "&amp;$B16,
   Actuals!$D:$D,
   _xlfn.XLOOKUP(
      AI$6,
      Actuals!$H$3:$BD$3,
      Actuals!$H:$BD
   )
)</f>
        <v>300000</v>
      </c>
      <c r="AJ16" s="212" cm="1">
        <f t="array" ref="AJ16">_xlfn.XLOOKUP(
   $B$4&amp;" "&amp;$B16,
   Actuals!$D:$D,
   _xlfn.XLOOKUP(
      AJ$6,
      Actuals!$H$3:$BD$3,
      Actuals!$H:$BD
   )
)</f>
        <v>225000</v>
      </c>
      <c r="AK16" s="212" cm="1">
        <f t="array" ref="AK16">_xlfn.XLOOKUP(
   $B$4&amp;" "&amp;$B16,
   Actuals!$D:$D,
   _xlfn.XLOOKUP(
      AK$6,
      Actuals!$H$3:$BD$3,
      Actuals!$H:$BD
   )
)</f>
        <v>75000</v>
      </c>
      <c r="AL16" s="212" cm="1">
        <f t="array" ref="AL16">_xlfn.XLOOKUP(
   $B$4&amp;" "&amp;$B16,
   Actuals!$D:$D,
   _xlfn.XLOOKUP(
      AL$6,
      Actuals!$H$3:$BD$3,
      Actuals!$H:$BD
   )
)</f>
        <v>300000</v>
      </c>
      <c r="AM16" s="212" cm="1">
        <f t="array" ref="AM16">_xlfn.XLOOKUP(
   $B$4&amp;" "&amp;$B16,
   Actuals!$D:$D,
   _xlfn.XLOOKUP(
      AM$6,
      Actuals!$H$3:$BD$3,
      Actuals!$H:$BD
   )
)</f>
        <v>600000</v>
      </c>
      <c r="AN16" s="212" cm="1">
        <f t="array" ref="AN16">_xlfn.XLOOKUP(
   $B$4&amp;" "&amp;$B16,
   Actuals!$D:$D,
   _xlfn.XLOOKUP(
      AN$6,
      Actuals!$H$3:$BD$3,
      Actuals!$H:$BD
   )
)</f>
        <v>450000</v>
      </c>
      <c r="AO16" s="212" cm="1">
        <f t="array" ref="AO16">_xlfn.XLOOKUP(
   $B$4&amp;" "&amp;$B16,
   Actuals!$D:$D,
   _xlfn.XLOOKUP(
      AO$6,
      Actuals!$H$3:$BD$3,
      Actuals!$H:$BD
   )
)</f>
        <v>0</v>
      </c>
      <c r="AP16" s="212" cm="1">
        <f t="array" ref="AP16">_xlfn.XLOOKUP(
   $B$4&amp;" "&amp;$B16,
   Actuals!$D:$D,
   _xlfn.XLOOKUP(
      AP$6,
      Actuals!$H$3:$BD$3,
      Actuals!$H:$BD
   )
)</f>
        <v>0</v>
      </c>
      <c r="AQ16" s="212" cm="1">
        <f t="array" ref="AQ16">_xlfn.XLOOKUP(
   $B$4&amp;" "&amp;$B16,
   Actuals!$D:$D,
   _xlfn.XLOOKUP(
      AQ$6,
      Actuals!$H$3:$BD$3,
      Actuals!$H:$BD
   )
)</f>
        <v>0</v>
      </c>
      <c r="AR16" s="212" cm="1">
        <f t="array" ref="AR16">_xlfn.XLOOKUP(
   $B$4&amp;" "&amp;$B16,
   Actuals!$D:$D,
   _xlfn.XLOOKUP(
      AR$6,
      Actuals!$H$3:$BD$3,
      Actuals!$H:$BD
   )
)</f>
        <v>0</v>
      </c>
      <c r="AS16" s="212" cm="1">
        <f t="array" ref="AS16">_xlfn.XLOOKUP(
   $B$4&amp;" "&amp;$B16,
   Actuals!$D:$D,
   _xlfn.XLOOKUP(
      AS$6,
      Actuals!$H$3:$BD$3,
      Actuals!$H:$BD
   )
)</f>
        <v>0</v>
      </c>
      <c r="AT16" s="212" cm="1">
        <f t="array" ref="AT16">_xlfn.XLOOKUP(
   $B$4&amp;" "&amp;$B16,
   Actuals!$D:$D,
   _xlfn.XLOOKUP(
      AT$6,
      Actuals!$H$3:$BD$3,
      Actuals!$H:$BD
   )
)</f>
        <v>0</v>
      </c>
      <c r="AU16" s="212" cm="1">
        <f t="array" ref="AU16">_xlfn.XLOOKUP(
   $B$4&amp;" "&amp;$B16,
   Actuals!$D:$D,
   _xlfn.XLOOKUP(
      AU$6,
      Actuals!$H$3:$BD$3,
      Actuals!$H:$BD
   )
)</f>
        <v>0</v>
      </c>
      <c r="AV16" s="212" cm="1">
        <f t="array" ref="AV16">_xlfn.XLOOKUP(
   $B$4&amp;" "&amp;$B16,
   Actuals!$D:$D,
   _xlfn.XLOOKUP(
      AV$6,
      Actuals!$H$3:$BD$3,
      Actuals!$H:$BD
   )
)</f>
        <v>0</v>
      </c>
      <c r="AW16" s="212" cm="1">
        <f t="array" ref="AW16">_xlfn.XLOOKUP(
   $B$4&amp;" "&amp;$B16,
   Actuals!$D:$D,
   _xlfn.XLOOKUP(
      AW$6,
      Actuals!$H$3:$BD$3,
      Actuals!$H:$BD
   )
)</f>
        <v>0</v>
      </c>
      <c r="AX16" s="212" cm="1">
        <f t="array" ref="AX16">_xlfn.XLOOKUP(
   $B$4&amp;" "&amp;$B16,
   Actuals!$D:$D,
   _xlfn.XLOOKUP(
      AX$6,
      Actuals!$H$3:$BD$3,
      Actuals!$H:$BD
   )
)</f>
        <v>0</v>
      </c>
      <c r="AY16" s="212" cm="1">
        <f t="array" ref="AY16">_xlfn.XLOOKUP(
   $B$4&amp;" "&amp;$B16,
   Actuals!$D:$D,
   _xlfn.XLOOKUP(
      AY$6,
      Actuals!$H$3:$BD$3,
      Actuals!$H:$BD
   )
)</f>
        <v>0</v>
      </c>
      <c r="AZ16" s="212" cm="1">
        <f t="array" ref="AZ16">_xlfn.XLOOKUP(
   $B$4&amp;" "&amp;$B16,
   Actuals!$D:$D,
   _xlfn.XLOOKUP(
      AZ$6,
      Actuals!$H$3:$BD$3,
      Actuals!$H:$BD
   )
)</f>
        <v>0</v>
      </c>
      <c r="BA16" s="212"/>
      <c r="BB16" s="212" cm="1">
        <f t="array" ref="BB16">_xlfn.XLOOKUP(
   $B$4&amp;" "&amp;$B16,
   Actuals!$D:$D,
   _xlfn.XLOOKUP(
      BB$7,
      Actuals!$H$3:$BM$3,
      Actuals!$H:$BM
   )
)</f>
        <v>0</v>
      </c>
      <c r="BC16" s="212">
        <f>VLOOKUP($B$4&amp;" "&amp;$B16,Budget!$AG$4:$AL$132,$BB$5+1,FALSE)</f>
        <v>2340000</v>
      </c>
      <c r="BD16" s="212">
        <f>BB16-BC16</f>
        <v>-2340000</v>
      </c>
      <c r="BE16" s="212"/>
      <c r="BF16" s="212" cm="1">
        <f t="array" ref="BF16">_xlfn.XLOOKUP(
   $B$4&amp;" "&amp;$B16,
   Actuals!$D:$D,
   _xlfn.XLOOKUP(
      BF$7,
      Actuals!$H$3:$BM$3,
      Actuals!$H:$BM
   )
)</f>
        <v>0</v>
      </c>
      <c r="BG16" s="212">
        <f>VLOOKUP($B$4&amp;" "&amp;$B16,Budget!$AG$4:$AL$132,BF$5+1,FALSE)</f>
        <v>2340000</v>
      </c>
      <c r="BH16" s="212">
        <f>BF16-BG16</f>
        <v>-2340000</v>
      </c>
      <c r="BI16" s="212"/>
      <c r="BJ16" s="212" cm="1">
        <f t="array" ref="BJ16">_xlfn.XLOOKUP(
   $B$4&amp;" "&amp;$B16,
   Actuals!$D:$D,
   _xlfn.XLOOKUP(
      BJ$7,
      Actuals!$H$3:$BM$3,
      Actuals!$H:$BM
   )
)</f>
        <v>0</v>
      </c>
      <c r="BK16" s="212">
        <f>VLOOKUP($B$4&amp;" "&amp;$B16,Budget!$AG$4:$AL$132,BJ$5+1,FALSE)</f>
        <v>2340000</v>
      </c>
      <c r="BL16" s="212">
        <f>BJ16-BK16</f>
        <v>-2340000</v>
      </c>
      <c r="BM16" s="212"/>
      <c r="BN16" s="212" cm="1">
        <f t="array" ref="BN16">_xlfn.XLOOKUP(
   $B$4&amp;" "&amp;$B16,
   Actuals!$D:$D,
   _xlfn.XLOOKUP(
      BN$7,
      Actuals!$H$3:$BM$3,
      Actuals!$H:$BM
   )
)</f>
        <v>0</v>
      </c>
      <c r="BO16" s="212">
        <f>VLOOKUP($B$4&amp;" "&amp;$B16,Budget!$AG$4:$AL$132,BN$5+1,FALSE)</f>
        <v>2340000</v>
      </c>
      <c r="BP16" s="212"/>
      <c r="BQ16" s="212"/>
      <c r="BR16" s="212" cm="1">
        <f t="array" aca="1" ref="BR16" ca="1">_xlfn.XLOOKUP(
   $B$4&amp;" "&amp;$B16,
   Actuals!$D:$D,
   _xlfn.XLOOKUP(
      BR$6,
      Actuals!$H$3:$BM$3,
      Actuals!$H:$BM
   )
)</f>
        <v>0</v>
      </c>
      <c r="BS16" s="212">
        <f ca="1">VLOOKUP($B$4&amp;" "&amp;$B16,Budget!$AG$4:$AL$132,6,FALSE)</f>
        <v>9360000</v>
      </c>
      <c r="BT16" s="212">
        <f ca="1">BR16-BS16</f>
        <v>-9360000</v>
      </c>
      <c r="BU16" s="212"/>
      <c r="BV16" s="212" cm="1">
        <f t="array" ref="BV16">_xlfn.XLOOKUP(
   $B$4&amp;" "&amp;$B16,
   Actuals!$D:$D,
   _xlfn.XLOOKUP(
      BV$6,
      Actuals!$H$3:$BM$3,
      Actuals!$H:$BM
   )
)</f>
        <v>3450000</v>
      </c>
    </row>
    <row r="17" spans="2:74">
      <c r="B17" s="26" t="s">
        <v>112</v>
      </c>
      <c r="C17" s="139" t="s">
        <v>49</v>
      </c>
      <c r="D17" s="171" t="str">
        <f>VLOOKUP($B$4&amp;" "&amp;$B17,Actuals!$D$4:$AG$131,3,FALSE)</f>
        <v>%</v>
      </c>
      <c r="E17" s="180" cm="1">
        <f t="array" ref="E17">_xlfn.XLOOKUP(
   $B$4&amp;" "&amp;$B17,
   Actuals!$D:$D,
   _xlfn.XLOOKUP(
      E$6,
      Actuals!$H$3:$BD$3,
      Actuals!$H:$BD
   )
)</f>
        <v>0.25</v>
      </c>
      <c r="F17" s="180" cm="1">
        <f t="array" ref="F17">_xlfn.XLOOKUP(
   $B$4&amp;" "&amp;$B17,
   Actuals!$D:$D,
   _xlfn.XLOOKUP(
      F$6,
      Actuals!$H$3:$BD$3,
      Actuals!$H:$BD
   )
)</f>
        <v>0.25</v>
      </c>
      <c r="G17" s="180" cm="1">
        <f t="array" ref="G17">_xlfn.XLOOKUP(
   $B$4&amp;" "&amp;$B17,
   Actuals!$D:$D,
   _xlfn.XLOOKUP(
      G$6,
      Actuals!$H$3:$BD$3,
      Actuals!$H:$BD
   )
)</f>
        <v>0.25</v>
      </c>
      <c r="H17" s="180" cm="1">
        <f t="array" ref="H17">_xlfn.XLOOKUP(
   $B$4&amp;" "&amp;$B17,
   Actuals!$D:$D,
   _xlfn.XLOOKUP(
      H$6,
      Actuals!$H$3:$BD$3,
      Actuals!$H:$BD
   )
)</f>
        <v>0.25</v>
      </c>
      <c r="I17" s="180" cm="1">
        <f t="array" ref="I17">_xlfn.XLOOKUP(
   $B$4&amp;" "&amp;$B17,
   Actuals!$D:$D,
   _xlfn.XLOOKUP(
      I$6,
      Actuals!$H$3:$BD$3,
      Actuals!$H:$BD
   )
)</f>
        <v>0.25</v>
      </c>
      <c r="J17" s="180" cm="1">
        <f t="array" ref="J17">_xlfn.XLOOKUP(
   $B$4&amp;" "&amp;$B17,
   Actuals!$D:$D,
   _xlfn.XLOOKUP(
      J$6,
      Actuals!$H$3:$BD$3,
      Actuals!$H:$BD
   )
)</f>
        <v>0.25</v>
      </c>
      <c r="K17" s="180" cm="1">
        <f t="array" ref="K17">_xlfn.XLOOKUP(
   $B$4&amp;" "&amp;$B17,
   Actuals!$D:$D,
   _xlfn.XLOOKUP(
      K$6,
      Actuals!$H$3:$BD$3,
      Actuals!$H:$BD
   )
)</f>
        <v>0.25</v>
      </c>
      <c r="L17" s="180" cm="1">
        <f t="array" ref="L17">_xlfn.XLOOKUP(
   $B$4&amp;" "&amp;$B17,
   Actuals!$D:$D,
   _xlfn.XLOOKUP(
      L$6,
      Actuals!$H$3:$BD$3,
      Actuals!$H:$BD
   )
)</f>
        <v>0.25</v>
      </c>
      <c r="M17" s="180" cm="1">
        <f t="array" ref="M17">_xlfn.XLOOKUP(
   $B$4&amp;" "&amp;$B17,
   Actuals!$D:$D,
   _xlfn.XLOOKUP(
      M$6,
      Actuals!$H$3:$BD$3,
      Actuals!$H:$BD
   )
)</f>
        <v>0.25</v>
      </c>
      <c r="N17" s="180" cm="1">
        <f t="array" ref="N17">_xlfn.XLOOKUP(
   $B$4&amp;" "&amp;$B17,
   Actuals!$D:$D,
   _xlfn.XLOOKUP(
      N$6,
      Actuals!$H$3:$BD$3,
      Actuals!$H:$BD
   )
)</f>
        <v>0.25</v>
      </c>
      <c r="O17" s="213" cm="1">
        <f t="array" ref="O17">_xlfn.XLOOKUP(
   $B$4&amp;" "&amp;$B17,
   Actuals!$D:$D,
   _xlfn.XLOOKUP(
      O$6,
      Actuals!$H$3:$BD$3,
      Actuals!$H:$BD
   )
)</f>
        <v>0</v>
      </c>
      <c r="P17" s="213" cm="1">
        <f t="array" ref="P17">_xlfn.XLOOKUP(
   $B$4&amp;" "&amp;$B17,
   Actuals!$D:$D,
   _xlfn.XLOOKUP(
      P$6,
      Actuals!$H$3:$BD$3,
      Actuals!$H:$BD
   )
)</f>
        <v>0</v>
      </c>
      <c r="Q17" s="213" cm="1">
        <f t="array" ref="Q17">_xlfn.XLOOKUP(
   $B$4&amp;" "&amp;$B17,
   Actuals!$D:$D,
   _xlfn.XLOOKUP(
      Q$6,
      Actuals!$H$3:$BD$3,
      Actuals!$H:$BD
   )
)</f>
        <v>0</v>
      </c>
      <c r="R17" s="213" cm="1">
        <f t="array" ref="R17">_xlfn.XLOOKUP(
   $B$4&amp;" "&amp;$B17,
   Actuals!$D:$D,
   _xlfn.XLOOKUP(
      R$6,
      Actuals!$H$3:$BD$3,
      Actuals!$H:$BD
   )
)</f>
        <v>0</v>
      </c>
      <c r="S17" s="213" cm="1">
        <f t="array" ref="S17">_xlfn.XLOOKUP(
   $B$4&amp;" "&amp;$B17,
   Actuals!$D:$D,
   _xlfn.XLOOKUP(
      S$6,
      Actuals!$H$3:$BD$3,
      Actuals!$H:$BD
   )
)</f>
        <v>0</v>
      </c>
      <c r="T17" s="213" cm="1">
        <f t="array" ref="T17">_xlfn.XLOOKUP(
   $B$4&amp;" "&amp;$B17,
   Actuals!$D:$D,
   _xlfn.XLOOKUP(
      T$6,
      Actuals!$H$3:$BD$3,
      Actuals!$H:$BD
   )
)</f>
        <v>0</v>
      </c>
      <c r="U17" s="213" cm="1">
        <f t="array" ref="U17">_xlfn.XLOOKUP(
   $B$4&amp;" "&amp;$B17,
   Actuals!$D:$D,
   _xlfn.XLOOKUP(
      U$6,
      Actuals!$H$3:$BD$3,
      Actuals!$H:$BD
   )
)</f>
        <v>0</v>
      </c>
      <c r="V17" s="213" cm="1">
        <f t="array" ref="V17">_xlfn.XLOOKUP(
   $B$4&amp;" "&amp;$B17,
   Actuals!$D:$D,
   _xlfn.XLOOKUP(
      V$6,
      Actuals!$H$3:$BD$3,
      Actuals!$H:$BD
   )
)</f>
        <v>0</v>
      </c>
      <c r="W17" s="213" cm="1">
        <f t="array" ref="W17">_xlfn.XLOOKUP(
   $B$4&amp;" "&amp;$B17,
   Actuals!$D:$D,
   _xlfn.XLOOKUP(
      W$6,
      Actuals!$H$3:$BD$3,
      Actuals!$H:$BD
   )
)</f>
        <v>0</v>
      </c>
      <c r="X17" s="213" cm="1">
        <f t="array" ref="X17">_xlfn.XLOOKUP(
   $B$4&amp;" "&amp;$B17,
   Actuals!$D:$D,
   _xlfn.XLOOKUP(
      X$6,
      Actuals!$H$3:$BD$3,
      Actuals!$H:$BD
   )
)</f>
        <v>0</v>
      </c>
      <c r="Y17" s="213" cm="1">
        <f t="array" ref="Y17">_xlfn.XLOOKUP(
   $B$4&amp;" "&amp;$B17,
   Actuals!$D:$D,
   _xlfn.XLOOKUP(
      Y$6,
      Actuals!$H$3:$BD$3,
      Actuals!$H:$BD
   )
)</f>
        <v>0</v>
      </c>
      <c r="Z17" s="213" cm="1">
        <f t="array" ref="Z17">_xlfn.XLOOKUP(
   $B$4&amp;" "&amp;$B17,
   Actuals!$D:$D,
   _xlfn.XLOOKUP(
      Z$6,
      Actuals!$H$3:$BD$3,
      Actuals!$H:$BD
   )
)</f>
        <v>0</v>
      </c>
      <c r="AA17" s="213" cm="1">
        <f t="array" ref="AA17">_xlfn.XLOOKUP(
   $B$4&amp;" "&amp;$B17,
   Actuals!$D:$D,
   _xlfn.XLOOKUP(
      AA$6,
      Actuals!$H$3:$BD$3,
      Actuals!$H:$BD
   )
)</f>
        <v>0</v>
      </c>
      <c r="AB17" s="213" cm="1">
        <f t="array" ref="AB17">_xlfn.XLOOKUP(
   $B$4&amp;" "&amp;$B17,
   Actuals!$D:$D,
   _xlfn.XLOOKUP(
      AB$6,
      Actuals!$H$3:$BD$3,
      Actuals!$H:$BD
   )
)</f>
        <v>0</v>
      </c>
      <c r="AC17" s="213" cm="1">
        <f t="array" ref="AC17">_xlfn.XLOOKUP(
   $B$4&amp;" "&amp;$B17,
   Actuals!$D:$D,
   _xlfn.XLOOKUP(
      AC$6,
      Actuals!$H$3:$BD$3,
      Actuals!$H:$BD
   )
)</f>
        <v>0.25</v>
      </c>
      <c r="AD17" s="213" cm="1">
        <f t="array" ref="AD17">_xlfn.XLOOKUP(
   $B$4&amp;" "&amp;$B17,
   Actuals!$D:$D,
   _xlfn.XLOOKUP(
      AD$6,
      Actuals!$H$3:$BD$3,
      Actuals!$H:$BD
   )
)</f>
        <v>0.25</v>
      </c>
      <c r="AE17" s="213" cm="1">
        <f t="array" ref="AE17">_xlfn.XLOOKUP(
   $B$4&amp;" "&amp;$B17,
   Actuals!$D:$D,
   _xlfn.XLOOKUP(
      AE$6,
      Actuals!$H$3:$BD$3,
      Actuals!$H:$BD
   )
)</f>
        <v>0.192</v>
      </c>
      <c r="AF17" s="213" cm="1">
        <f t="array" ref="AF17">_xlfn.XLOOKUP(
   $B$4&amp;" "&amp;$B17,
   Actuals!$D:$D,
   _xlfn.XLOOKUP(
      AF$6,
      Actuals!$H$3:$BD$3,
      Actuals!$H:$BD
   )
)</f>
        <v>0.192</v>
      </c>
      <c r="AG17" s="213" cm="1">
        <f t="array" ref="AG17">_xlfn.XLOOKUP(
   $B$4&amp;" "&amp;$B17,
   Actuals!$D:$D,
   _xlfn.XLOOKUP(
      AG$6,
      Actuals!$H$3:$BD$3,
      Actuals!$H:$BD
   )
)</f>
        <v>0.192</v>
      </c>
      <c r="AH17" s="213" cm="1">
        <f t="array" ref="AH17">_xlfn.XLOOKUP(
   $B$4&amp;" "&amp;$B17,
   Actuals!$D:$D,
   _xlfn.XLOOKUP(
      AH$6,
      Actuals!$H$3:$BD$3,
      Actuals!$H:$BD
   )
)</f>
        <v>0.192</v>
      </c>
      <c r="AI17" s="213" cm="1">
        <f t="array" ref="AI17">_xlfn.XLOOKUP(
   $B$4&amp;" "&amp;$B17,
   Actuals!$D:$D,
   _xlfn.XLOOKUP(
      AI$6,
      Actuals!$H$3:$BD$3,
      Actuals!$H:$BD
   )
)</f>
        <v>0.192</v>
      </c>
      <c r="AJ17" s="213" cm="1">
        <f t="array" ref="AJ17">_xlfn.XLOOKUP(
   $B$4&amp;" "&amp;$B17,
   Actuals!$D:$D,
   _xlfn.XLOOKUP(
      AJ$6,
      Actuals!$H$3:$BD$3,
      Actuals!$H:$BD
   )
)</f>
        <v>0.192</v>
      </c>
      <c r="AK17" s="213" cm="1">
        <f t="array" ref="AK17">_xlfn.XLOOKUP(
   $B$4&amp;" "&amp;$B17,
   Actuals!$D:$D,
   _xlfn.XLOOKUP(
      AK$6,
      Actuals!$H$3:$BD$3,
      Actuals!$H:$BD
   )
)</f>
        <v>0.192</v>
      </c>
      <c r="AL17" s="213" cm="1">
        <f t="array" ref="AL17">_xlfn.XLOOKUP(
   $B$4&amp;" "&amp;$B17,
   Actuals!$D:$D,
   _xlfn.XLOOKUP(
      AL$6,
      Actuals!$H$3:$BD$3,
      Actuals!$H:$BD
   )
)</f>
        <v>0.192</v>
      </c>
      <c r="AM17" s="213" cm="1">
        <f t="array" ref="AM17">_xlfn.XLOOKUP(
   $B$4&amp;" "&amp;$B17,
   Actuals!$D:$D,
   _xlfn.XLOOKUP(
      AM$6,
      Actuals!$H$3:$BD$3,
      Actuals!$H:$BD
   )
)</f>
        <v>0.192</v>
      </c>
      <c r="AN17" s="213" cm="1">
        <f t="array" ref="AN17">_xlfn.XLOOKUP(
   $B$4&amp;" "&amp;$B17,
   Actuals!$D:$D,
   _xlfn.XLOOKUP(
      AN$6,
      Actuals!$H$3:$BD$3,
      Actuals!$H:$BD
   )
)</f>
        <v>0.192</v>
      </c>
      <c r="AO17" s="213" cm="1">
        <f t="array" ref="AO17">_xlfn.XLOOKUP(
   $B$4&amp;" "&amp;$B17,
   Actuals!$D:$D,
   _xlfn.XLOOKUP(
      AO$6,
      Actuals!$H$3:$BD$3,
      Actuals!$H:$BD
   )
)</f>
        <v>0</v>
      </c>
      <c r="AP17" s="213" cm="1">
        <f t="array" ref="AP17">_xlfn.XLOOKUP(
   $B$4&amp;" "&amp;$B17,
   Actuals!$D:$D,
   _xlfn.XLOOKUP(
      AP$6,
      Actuals!$H$3:$BD$3,
      Actuals!$H:$BD
   )
)</f>
        <v>0</v>
      </c>
      <c r="AQ17" s="213" cm="1">
        <f t="array" ref="AQ17">_xlfn.XLOOKUP(
   $B$4&amp;" "&amp;$B17,
   Actuals!$D:$D,
   _xlfn.XLOOKUP(
      AQ$6,
      Actuals!$H$3:$BD$3,
      Actuals!$H:$BD
   )
)</f>
        <v>0</v>
      </c>
      <c r="AR17" s="213" cm="1">
        <f t="array" ref="AR17">_xlfn.XLOOKUP(
   $B$4&amp;" "&amp;$B17,
   Actuals!$D:$D,
   _xlfn.XLOOKUP(
      AR$6,
      Actuals!$H$3:$BD$3,
      Actuals!$H:$BD
   )
)</f>
        <v>0</v>
      </c>
      <c r="AS17" s="213" cm="1">
        <f t="array" ref="AS17">_xlfn.XLOOKUP(
   $B$4&amp;" "&amp;$B17,
   Actuals!$D:$D,
   _xlfn.XLOOKUP(
      AS$6,
      Actuals!$H$3:$BD$3,
      Actuals!$H:$BD
   )
)</f>
        <v>0</v>
      </c>
      <c r="AT17" s="213" cm="1">
        <f t="array" ref="AT17">_xlfn.XLOOKUP(
   $B$4&amp;" "&amp;$B17,
   Actuals!$D:$D,
   _xlfn.XLOOKUP(
      AT$6,
      Actuals!$H$3:$BD$3,
      Actuals!$H:$BD
   )
)</f>
        <v>0</v>
      </c>
      <c r="AU17" s="213" cm="1">
        <f t="array" ref="AU17">_xlfn.XLOOKUP(
   $B$4&amp;" "&amp;$B17,
   Actuals!$D:$D,
   _xlfn.XLOOKUP(
      AU$6,
      Actuals!$H$3:$BD$3,
      Actuals!$H:$BD
   )
)</f>
        <v>0</v>
      </c>
      <c r="AV17" s="213" cm="1">
        <f t="array" ref="AV17">_xlfn.XLOOKUP(
   $B$4&amp;" "&amp;$B17,
   Actuals!$D:$D,
   _xlfn.XLOOKUP(
      AV$6,
      Actuals!$H$3:$BD$3,
      Actuals!$H:$BD
   )
)</f>
        <v>0</v>
      </c>
      <c r="AW17" s="213" cm="1">
        <f t="array" ref="AW17">_xlfn.XLOOKUP(
   $B$4&amp;" "&amp;$B17,
   Actuals!$D:$D,
   _xlfn.XLOOKUP(
      AW$6,
      Actuals!$H$3:$BD$3,
      Actuals!$H:$BD
   )
)</f>
        <v>0</v>
      </c>
      <c r="AX17" s="213" cm="1">
        <f t="array" ref="AX17">_xlfn.XLOOKUP(
   $B$4&amp;" "&amp;$B17,
   Actuals!$D:$D,
   _xlfn.XLOOKUP(
      AX$6,
      Actuals!$H$3:$BD$3,
      Actuals!$H:$BD
   )
)</f>
        <v>0</v>
      </c>
      <c r="AY17" s="213" cm="1">
        <f t="array" ref="AY17">_xlfn.XLOOKUP(
   $B$4&amp;" "&amp;$B17,
   Actuals!$D:$D,
   _xlfn.XLOOKUP(
      AY$6,
      Actuals!$H$3:$BD$3,
      Actuals!$H:$BD
   )
)</f>
        <v>0</v>
      </c>
      <c r="AZ17" s="213" cm="1">
        <f t="array" ref="AZ17">_xlfn.XLOOKUP(
   $B$4&amp;" "&amp;$B17,
   Actuals!$D:$D,
   _xlfn.XLOOKUP(
      AZ$6,
      Actuals!$H$3:$BD$3,
      Actuals!$H:$BD
   )
)</f>
        <v>0</v>
      </c>
      <c r="BA17" s="213"/>
      <c r="BB17" s="213" t="str" cm="1">
        <f t="array" ref="BB17">_xlfn.XLOOKUP(
   $B$4&amp;" "&amp;$B17,
   Actuals!$D:$D,
   _xlfn.XLOOKUP(
      BB$7,
      Actuals!$H$3:$BM$3,
      Actuals!$H:$BM
   )
)</f>
        <v>-</v>
      </c>
      <c r="BC17" s="213">
        <f>IFERROR(VLOOKUP($B$4&amp;" "&amp;$B17,Budget!$AG$4:$AL$132,$BB$5+1,FALSE),"n.a.")</f>
        <v>0.19200000000000003</v>
      </c>
      <c r="BD17" s="213" t="str">
        <f>IFERROR(BB17-BC17,"-")</f>
        <v>-</v>
      </c>
      <c r="BE17" s="213"/>
      <c r="BF17" s="213" t="str" cm="1">
        <f t="array" ref="BF17">_xlfn.XLOOKUP(
   $B$4&amp;" "&amp;$B17,
   Actuals!$D:$D,
   _xlfn.XLOOKUP(
      BF$7,
      Actuals!$H$3:$BM$3,
      Actuals!$H:$BM
   )
)</f>
        <v>-</v>
      </c>
      <c r="BG17" s="213">
        <f>IFERROR(VLOOKUP($B$4&amp;" "&amp;$B17,Budget!$AG$4:$AL$132,$BF$5+1,FALSE),"n.a.")</f>
        <v>0.19200000000000003</v>
      </c>
      <c r="BH17" s="213" t="str">
        <f>IFERROR(BF17-BG17,"-")</f>
        <v>-</v>
      </c>
      <c r="BI17" s="213"/>
      <c r="BJ17" s="213" t="str" cm="1">
        <f t="array" ref="BJ17">_xlfn.XLOOKUP(
   $B$4&amp;" "&amp;$B17,
   Actuals!$D:$D,
   _xlfn.XLOOKUP(
      BJ$7,
      Actuals!$H$3:$BM$3,
      Actuals!$H:$BM
   )
)</f>
        <v>-</v>
      </c>
      <c r="BK17" s="213">
        <f>IFERROR(VLOOKUP($B$4&amp;" "&amp;$B17,Budget!$AG$4:$AL$132,$BJ$5+1,FALSE),"n.a.")</f>
        <v>0.19200000000000003</v>
      </c>
      <c r="BL17" s="213" t="str">
        <f>IFERROR(BJ17-BK17,"-")</f>
        <v>-</v>
      </c>
      <c r="BM17" s="213"/>
      <c r="BN17" s="213" t="str" cm="1">
        <f t="array" ref="BN17">_xlfn.XLOOKUP(
   $B$4&amp;" "&amp;$B17,
   Actuals!$D:$D,
   _xlfn.XLOOKUP(
      BN$7,
      Actuals!$H$3:$BM$3,
      Actuals!$H:$BM
   )
)</f>
        <v>-</v>
      </c>
      <c r="BO17" s="213">
        <f>IFERROR(VLOOKUP($B$4&amp;" "&amp;$B17,Budget!$AG$4:$AL$132,$BN$5+1,FALSE),"n.a.")</f>
        <v>0.19200000000000003</v>
      </c>
      <c r="BP17" s="213"/>
      <c r="BQ17" s="213"/>
      <c r="BR17" s="213" cm="1">
        <f t="array" aca="1" ref="BR17" ca="1">_xlfn.XLOOKUP(
   $B$4&amp;" "&amp;$B17,
   Actuals!$D:$D,
   _xlfn.XLOOKUP(
      BR$6,
      Actuals!$H$3:$BM$3,
      Actuals!$H:$BM
   )
)</f>
        <v>0</v>
      </c>
      <c r="BS17" s="213">
        <f ca="1">VLOOKUP($B$4&amp;" "&amp;$B17,Budget!$AG$4:$AL$132,6,FALSE)</f>
        <v>0.19199999999999998</v>
      </c>
      <c r="BT17" s="213">
        <f ca="1">BR17-BS17</f>
        <v>-0.19199999999999998</v>
      </c>
      <c r="BU17" s="213"/>
      <c r="BV17" s="213" cm="1">
        <f t="array" ref="BV17">_xlfn.XLOOKUP(
   $B$4&amp;" "&amp;$B17,
   Actuals!$D:$D,
   _xlfn.XLOOKUP(
      BV$6,
      Actuals!$H$3:$BM$3,
      Actuals!$H:$BM
   )
)</f>
        <v>0.19727272727272727</v>
      </c>
    </row>
    <row r="18" spans="2:74">
      <c r="B18" s="149" t="s">
        <v>113</v>
      </c>
      <c r="C18" s="142" t="s">
        <v>49</v>
      </c>
      <c r="D18" s="172" t="str">
        <f>VLOOKUP($B$4&amp;" "&amp;$B18,Actuals!$D$4:$AG$131,3,FALSE)</f>
        <v>$</v>
      </c>
      <c r="E18" s="212" cm="1">
        <f t="array" ref="E18">_xlfn.XLOOKUP(
   $B$4&amp;" "&amp;$B18,
   Actuals!$D:$D,
   _xlfn.XLOOKUP(
      E$6,
      Actuals!$H$3:$BD$3,
      Actuals!$H:$BD
   )
)</f>
        <v>175000</v>
      </c>
      <c r="F18" s="212" cm="1">
        <f t="array" ref="F18">_xlfn.XLOOKUP(
   $B$4&amp;" "&amp;$B18,
   Actuals!$D:$D,
   _xlfn.XLOOKUP(
      F$6,
      Actuals!$H$3:$BD$3,
      Actuals!$H:$BD
   )
)</f>
        <v>25000</v>
      </c>
      <c r="G18" s="212" cm="1">
        <f t="array" ref="G18">_xlfn.XLOOKUP(
   $B$4&amp;" "&amp;$B18,
   Actuals!$D:$D,
   _xlfn.XLOOKUP(
      G$6,
      Actuals!$H$3:$BD$3,
      Actuals!$H:$BD
   )
)</f>
        <v>0</v>
      </c>
      <c r="H18" s="212" cm="1">
        <f t="array" ref="H18">_xlfn.XLOOKUP(
   $B$4&amp;" "&amp;$B18,
   Actuals!$D:$D,
   _xlfn.XLOOKUP(
      H$6,
      Actuals!$H$3:$BD$3,
      Actuals!$H:$BD
   )
)</f>
        <v>0</v>
      </c>
      <c r="I18" s="212" cm="1">
        <f t="array" ref="I18">_xlfn.XLOOKUP(
   $B$4&amp;" "&amp;$B18,
   Actuals!$D:$D,
   _xlfn.XLOOKUP(
      I$6,
      Actuals!$H$3:$BD$3,
      Actuals!$H:$BD
   )
)</f>
        <v>18750</v>
      </c>
      <c r="J18" s="212" cm="1">
        <f t="array" ref="J18">_xlfn.XLOOKUP(
   $B$4&amp;" "&amp;$B18,
   Actuals!$D:$D,
   _xlfn.XLOOKUP(
      J$6,
      Actuals!$H$3:$BD$3,
      Actuals!$H:$BD
   )
)</f>
        <v>50000</v>
      </c>
      <c r="K18" s="212" cm="1">
        <f t="array" ref="K18">_xlfn.XLOOKUP(
   $B$4&amp;" "&amp;$B18,
   Actuals!$D:$D,
   _xlfn.XLOOKUP(
      K$6,
      Actuals!$H$3:$BD$3,
      Actuals!$H:$BD
   )
)</f>
        <v>18750</v>
      </c>
      <c r="L18" s="212" cm="1">
        <f t="array" ref="L18">_xlfn.XLOOKUP(
   $B$4&amp;" "&amp;$B18,
   Actuals!$D:$D,
   _xlfn.XLOOKUP(
      L$6,
      Actuals!$H$3:$BD$3,
      Actuals!$H:$BD
   )
)</f>
        <v>0</v>
      </c>
      <c r="M18" s="212" cm="1">
        <f t="array" ref="M18">_xlfn.XLOOKUP(
   $B$4&amp;" "&amp;$B18,
   Actuals!$D:$D,
   _xlfn.XLOOKUP(
      M$6,
      Actuals!$H$3:$BD$3,
      Actuals!$H:$BD
   )
)</f>
        <v>12500</v>
      </c>
      <c r="N18" s="212" cm="1">
        <f t="array" ref="N18">_xlfn.XLOOKUP(
   $B$4&amp;" "&amp;$B18,
   Actuals!$D:$D,
   _xlfn.XLOOKUP(
      N$6,
      Actuals!$H$3:$BD$3,
      Actuals!$H:$BD
   )
)</f>
        <v>0</v>
      </c>
      <c r="O18" s="212" cm="1">
        <f t="array" ref="O18">_xlfn.XLOOKUP(
   $B$4&amp;" "&amp;$B18,
   Actuals!$D:$D,
   _xlfn.XLOOKUP(
      O$6,
      Actuals!$H$3:$BD$3,
      Actuals!$H:$BD
   )
)</f>
        <v>0</v>
      </c>
      <c r="P18" s="212" cm="1">
        <f t="array" ref="P18">_xlfn.XLOOKUP(
   $B$4&amp;" "&amp;$B18,
   Actuals!$D:$D,
   _xlfn.XLOOKUP(
      P$6,
      Actuals!$H$3:$BD$3,
      Actuals!$H:$BD
   )
)</f>
        <v>0</v>
      </c>
      <c r="Q18" s="212" cm="1">
        <f t="array" ref="Q18">_xlfn.XLOOKUP(
   $B$4&amp;" "&amp;$B18,
   Actuals!$D:$D,
   _xlfn.XLOOKUP(
      Q$6,
      Actuals!$H$3:$BD$3,
      Actuals!$H:$BD
   )
)</f>
        <v>0</v>
      </c>
      <c r="R18" s="212" cm="1">
        <f t="array" ref="R18">_xlfn.XLOOKUP(
   $B$4&amp;" "&amp;$B18,
   Actuals!$D:$D,
   _xlfn.XLOOKUP(
      R$6,
      Actuals!$H$3:$BD$3,
      Actuals!$H:$BD
   )
)</f>
        <v>0</v>
      </c>
      <c r="S18" s="212" cm="1">
        <f t="array" ref="S18">_xlfn.XLOOKUP(
   $B$4&amp;" "&amp;$B18,
   Actuals!$D:$D,
   _xlfn.XLOOKUP(
      S$6,
      Actuals!$H$3:$BD$3,
      Actuals!$H:$BD
   )
)</f>
        <v>0</v>
      </c>
      <c r="T18" s="212" cm="1">
        <f t="array" ref="T18">_xlfn.XLOOKUP(
   $B$4&amp;" "&amp;$B18,
   Actuals!$D:$D,
   _xlfn.XLOOKUP(
      T$6,
      Actuals!$H$3:$BD$3,
      Actuals!$H:$BD
   )
)</f>
        <v>0</v>
      </c>
      <c r="U18" s="212" cm="1">
        <f t="array" ref="U18">_xlfn.XLOOKUP(
   $B$4&amp;" "&amp;$B18,
   Actuals!$D:$D,
   _xlfn.XLOOKUP(
      U$6,
      Actuals!$H$3:$BD$3,
      Actuals!$H:$BD
   )
)</f>
        <v>0</v>
      </c>
      <c r="V18" s="212" cm="1">
        <f t="array" ref="V18">_xlfn.XLOOKUP(
   $B$4&amp;" "&amp;$B18,
   Actuals!$D:$D,
   _xlfn.XLOOKUP(
      V$6,
      Actuals!$H$3:$BD$3,
      Actuals!$H:$BD
   )
)</f>
        <v>0</v>
      </c>
      <c r="W18" s="212" cm="1">
        <f t="array" ref="W18">_xlfn.XLOOKUP(
   $B$4&amp;" "&amp;$B18,
   Actuals!$D:$D,
   _xlfn.XLOOKUP(
      W$6,
      Actuals!$H$3:$BD$3,
      Actuals!$H:$BD
   )
)</f>
        <v>0</v>
      </c>
      <c r="X18" s="212" cm="1">
        <f t="array" ref="X18">_xlfn.XLOOKUP(
   $B$4&amp;" "&amp;$B18,
   Actuals!$D:$D,
   _xlfn.XLOOKUP(
      X$6,
      Actuals!$H$3:$BD$3,
      Actuals!$H:$BD
   )
)</f>
        <v>0</v>
      </c>
      <c r="Y18" s="212" cm="1">
        <f t="array" ref="Y18">_xlfn.XLOOKUP(
   $B$4&amp;" "&amp;$B18,
   Actuals!$D:$D,
   _xlfn.XLOOKUP(
      Y$6,
      Actuals!$H$3:$BD$3,
      Actuals!$H:$BD
   )
)</f>
        <v>0</v>
      </c>
      <c r="Z18" s="212" cm="1">
        <f t="array" ref="Z18">_xlfn.XLOOKUP(
   $B$4&amp;" "&amp;$B18,
   Actuals!$D:$D,
   _xlfn.XLOOKUP(
      Z$6,
      Actuals!$H$3:$BD$3,
      Actuals!$H:$BD
   )
)</f>
        <v>0</v>
      </c>
      <c r="AA18" s="212" cm="1">
        <f t="array" ref="AA18">_xlfn.XLOOKUP(
   $B$4&amp;" "&amp;$B18,
   Actuals!$D:$D,
   _xlfn.XLOOKUP(
      AA$6,
      Actuals!$H$3:$BD$3,
      Actuals!$H:$BD
   )
)</f>
        <v>0</v>
      </c>
      <c r="AB18" s="212" cm="1">
        <f t="array" ref="AB18">_xlfn.XLOOKUP(
   $B$4&amp;" "&amp;$B18,
   Actuals!$D:$D,
   _xlfn.XLOOKUP(
      AB$6,
      Actuals!$H$3:$BD$3,
      Actuals!$H:$BD
   )
)</f>
        <v>0</v>
      </c>
      <c r="AC18" s="212" cm="1">
        <f t="array" ref="AC18">_xlfn.XLOOKUP(
   $B$4&amp;" "&amp;$B18,
   Actuals!$D:$D,
   _xlfn.XLOOKUP(
      AC$6,
      Actuals!$H$3:$BD$3,
      Actuals!$H:$BD
   )
)</f>
        <v>0</v>
      </c>
      <c r="AD18" s="212" cm="1">
        <f t="array" ref="AD18">_xlfn.XLOOKUP(
   $B$4&amp;" "&amp;$B18,
   Actuals!$D:$D,
   _xlfn.XLOOKUP(
      AD$6,
      Actuals!$H$3:$BD$3,
      Actuals!$H:$BD
   )
)</f>
        <v>0</v>
      </c>
      <c r="AE18" s="212" cm="1">
        <f t="array" ref="AE18">_xlfn.XLOOKUP(
   $B$4&amp;" "&amp;$B18,
   Actuals!$D:$D,
   _xlfn.XLOOKUP(
      AE$6,
      Actuals!$H$3:$BD$3,
      Actuals!$H:$BD
   )
)</f>
        <v>28800</v>
      </c>
      <c r="AF18" s="212" cm="1">
        <f t="array" ref="AF18">_xlfn.XLOOKUP(
   $B$4&amp;" "&amp;$B18,
   Actuals!$D:$D,
   _xlfn.XLOOKUP(
      AF$6,
      Actuals!$H$3:$BD$3,
      Actuals!$H:$BD
   )
)</f>
        <v>28800</v>
      </c>
      <c r="AG18" s="212" cm="1">
        <f t="array" ref="AG18">_xlfn.XLOOKUP(
   $B$4&amp;" "&amp;$B18,
   Actuals!$D:$D,
   _xlfn.XLOOKUP(
      AG$6,
      Actuals!$H$3:$BD$3,
      Actuals!$H:$BD
   )
)</f>
        <v>43200</v>
      </c>
      <c r="AH18" s="212" cm="1">
        <f t="array" ref="AH18">_xlfn.XLOOKUP(
   $B$4&amp;" "&amp;$B18,
   Actuals!$D:$D,
   _xlfn.XLOOKUP(
      AH$6,
      Actuals!$H$3:$BD$3,
      Actuals!$H:$BD
   )
)</f>
        <v>187200</v>
      </c>
      <c r="AI18" s="212" cm="1">
        <f t="array" ref="AI18">_xlfn.XLOOKUP(
   $B$4&amp;" "&amp;$B18,
   Actuals!$D:$D,
   _xlfn.XLOOKUP(
      AI$6,
      Actuals!$H$3:$BD$3,
      Actuals!$H:$BD
   )
)</f>
        <v>57600</v>
      </c>
      <c r="AJ18" s="212" cm="1">
        <f t="array" ref="AJ18">_xlfn.XLOOKUP(
   $B$4&amp;" "&amp;$B18,
   Actuals!$D:$D,
   _xlfn.XLOOKUP(
      AJ$6,
      Actuals!$H$3:$BD$3,
      Actuals!$H:$BD
   )
)</f>
        <v>43200</v>
      </c>
      <c r="AK18" s="212" cm="1">
        <f t="array" ref="AK18">_xlfn.XLOOKUP(
   $B$4&amp;" "&amp;$B18,
   Actuals!$D:$D,
   _xlfn.XLOOKUP(
      AK$6,
      Actuals!$H$3:$BD$3,
      Actuals!$H:$BD
   )
)</f>
        <v>14400</v>
      </c>
      <c r="AL18" s="212" cm="1">
        <f t="array" ref="AL18">_xlfn.XLOOKUP(
   $B$4&amp;" "&amp;$B18,
   Actuals!$D:$D,
   _xlfn.XLOOKUP(
      AL$6,
      Actuals!$H$3:$BD$3,
      Actuals!$H:$BD
   )
)</f>
        <v>57600</v>
      </c>
      <c r="AM18" s="212" cm="1">
        <f t="array" ref="AM18">_xlfn.XLOOKUP(
   $B$4&amp;" "&amp;$B18,
   Actuals!$D:$D,
   _xlfn.XLOOKUP(
      AM$6,
      Actuals!$H$3:$BD$3,
      Actuals!$H:$BD
   )
)</f>
        <v>115200</v>
      </c>
      <c r="AN18" s="212" cm="1">
        <f t="array" ref="AN18">_xlfn.XLOOKUP(
   $B$4&amp;" "&amp;$B18,
   Actuals!$D:$D,
   _xlfn.XLOOKUP(
      AN$6,
      Actuals!$H$3:$BD$3,
      Actuals!$H:$BD
   )
)</f>
        <v>86400</v>
      </c>
      <c r="AO18" s="212" cm="1">
        <f t="array" ref="AO18">_xlfn.XLOOKUP(
   $B$4&amp;" "&amp;$B18,
   Actuals!$D:$D,
   _xlfn.XLOOKUP(
      AO$6,
      Actuals!$H$3:$BD$3,
      Actuals!$H:$BD
   )
)</f>
        <v>0</v>
      </c>
      <c r="AP18" s="212" cm="1">
        <f t="array" ref="AP18">_xlfn.XLOOKUP(
   $B$4&amp;" "&amp;$B18,
   Actuals!$D:$D,
   _xlfn.XLOOKUP(
      AP$6,
      Actuals!$H$3:$BD$3,
      Actuals!$H:$BD
   )
)</f>
        <v>0</v>
      </c>
      <c r="AQ18" s="212" cm="1">
        <f t="array" ref="AQ18">_xlfn.XLOOKUP(
   $B$4&amp;" "&amp;$B18,
   Actuals!$D:$D,
   _xlfn.XLOOKUP(
      AQ$6,
      Actuals!$H$3:$BD$3,
      Actuals!$H:$BD
   )
)</f>
        <v>0</v>
      </c>
      <c r="AR18" s="212" cm="1">
        <f t="array" ref="AR18">_xlfn.XLOOKUP(
   $B$4&amp;" "&amp;$B18,
   Actuals!$D:$D,
   _xlfn.XLOOKUP(
      AR$6,
      Actuals!$H$3:$BD$3,
      Actuals!$H:$BD
   )
)</f>
        <v>0</v>
      </c>
      <c r="AS18" s="212" cm="1">
        <f t="array" ref="AS18">_xlfn.XLOOKUP(
   $B$4&amp;" "&amp;$B18,
   Actuals!$D:$D,
   _xlfn.XLOOKUP(
      AS$6,
      Actuals!$H$3:$BD$3,
      Actuals!$H:$BD
   )
)</f>
        <v>0</v>
      </c>
      <c r="AT18" s="212" cm="1">
        <f t="array" ref="AT18">_xlfn.XLOOKUP(
   $B$4&amp;" "&amp;$B18,
   Actuals!$D:$D,
   _xlfn.XLOOKUP(
      AT$6,
      Actuals!$H$3:$BD$3,
      Actuals!$H:$BD
   )
)</f>
        <v>0</v>
      </c>
      <c r="AU18" s="212" cm="1">
        <f t="array" ref="AU18">_xlfn.XLOOKUP(
   $B$4&amp;" "&amp;$B18,
   Actuals!$D:$D,
   _xlfn.XLOOKUP(
      AU$6,
      Actuals!$H$3:$BD$3,
      Actuals!$H:$BD
   )
)</f>
        <v>0</v>
      </c>
      <c r="AV18" s="212" cm="1">
        <f t="array" ref="AV18">_xlfn.XLOOKUP(
   $B$4&amp;" "&amp;$B18,
   Actuals!$D:$D,
   _xlfn.XLOOKUP(
      AV$6,
      Actuals!$H$3:$BD$3,
      Actuals!$H:$BD
   )
)</f>
        <v>0</v>
      </c>
      <c r="AW18" s="212" cm="1">
        <f t="array" ref="AW18">_xlfn.XLOOKUP(
   $B$4&amp;" "&amp;$B18,
   Actuals!$D:$D,
   _xlfn.XLOOKUP(
      AW$6,
      Actuals!$H$3:$BD$3,
      Actuals!$H:$BD
   )
)</f>
        <v>0</v>
      </c>
      <c r="AX18" s="212" cm="1">
        <f t="array" ref="AX18">_xlfn.XLOOKUP(
   $B$4&amp;" "&amp;$B18,
   Actuals!$D:$D,
   _xlfn.XLOOKUP(
      AX$6,
      Actuals!$H$3:$BD$3,
      Actuals!$H:$BD
   )
)</f>
        <v>0</v>
      </c>
      <c r="AY18" s="212" cm="1">
        <f t="array" ref="AY18">_xlfn.XLOOKUP(
   $B$4&amp;" "&amp;$B18,
   Actuals!$D:$D,
   _xlfn.XLOOKUP(
      AY$6,
      Actuals!$H$3:$BD$3,
      Actuals!$H:$BD
   )
)</f>
        <v>0</v>
      </c>
      <c r="AZ18" s="212" cm="1">
        <f t="array" ref="AZ18">_xlfn.XLOOKUP(
   $B$4&amp;" "&amp;$B18,
   Actuals!$D:$D,
   _xlfn.XLOOKUP(
      AZ$6,
      Actuals!$H$3:$BD$3,
      Actuals!$H:$BD
   )
)</f>
        <v>0</v>
      </c>
      <c r="BA18" s="212"/>
      <c r="BB18" s="212" cm="1">
        <f t="array" ref="BB18">_xlfn.XLOOKUP(
   $B$4&amp;" "&amp;$B18,
   Actuals!$D:$D,
   _xlfn.XLOOKUP(
      BB$7,
      Actuals!$H$3:$BM$3,
      Actuals!$H:$BM
   )
)</f>
        <v>0</v>
      </c>
      <c r="BC18" s="212">
        <f>VLOOKUP($B$4&amp;" "&amp;$B18,Budget!$AG$4:$AL$132,$BB$5+1,FALSE)</f>
        <v>449280</v>
      </c>
      <c r="BD18" s="212">
        <f>BB18-BC18</f>
        <v>-449280</v>
      </c>
      <c r="BE18" s="212"/>
      <c r="BF18" s="212" cm="1">
        <f t="array" ref="BF18">_xlfn.XLOOKUP(
   $B$4&amp;" "&amp;$B18,
   Actuals!$D:$D,
   _xlfn.XLOOKUP(
      BF$7,
      Actuals!$H$3:$BM$3,
      Actuals!$H:$BM
   )
)</f>
        <v>0</v>
      </c>
      <c r="BG18" s="212">
        <f>VLOOKUP($B$4&amp;" "&amp;$B18,Budget!$AG$4:$AL$132,BF$5+1,FALSE)</f>
        <v>449280</v>
      </c>
      <c r="BH18" s="212">
        <f>BF18-BG18</f>
        <v>-449280</v>
      </c>
      <c r="BI18" s="212"/>
      <c r="BJ18" s="212" cm="1">
        <f t="array" ref="BJ18">_xlfn.XLOOKUP(
   $B$4&amp;" "&amp;$B18,
   Actuals!$D:$D,
   _xlfn.XLOOKUP(
      BJ$7,
      Actuals!$H$3:$BM$3,
      Actuals!$H:$BM
   )
)</f>
        <v>0</v>
      </c>
      <c r="BK18" s="212">
        <f>VLOOKUP($B$4&amp;" "&amp;$B18,Budget!$AG$4:$AL$132,BJ$5+1,FALSE)</f>
        <v>449280</v>
      </c>
      <c r="BL18" s="212">
        <f>BJ18-BK18</f>
        <v>-449280</v>
      </c>
      <c r="BM18" s="212"/>
      <c r="BN18" s="212" cm="1">
        <f t="array" ref="BN18">_xlfn.XLOOKUP(
   $B$4&amp;" "&amp;$B18,
   Actuals!$D:$D,
   _xlfn.XLOOKUP(
      BN$7,
      Actuals!$H$3:$BM$3,
      Actuals!$H:$BM
   )
)</f>
        <v>0</v>
      </c>
      <c r="BO18" s="212">
        <f>VLOOKUP($B$4&amp;" "&amp;$B18,Budget!$AG$4:$AL$132,BN$5+1,FALSE)</f>
        <v>449280</v>
      </c>
      <c r="BP18" s="212"/>
      <c r="BQ18" s="212"/>
      <c r="BR18" s="212" cm="1">
        <f t="array" aca="1" ref="BR18" ca="1">_xlfn.XLOOKUP(
   $B$4&amp;" "&amp;$B18,
   Actuals!$D:$D,
   _xlfn.XLOOKUP(
      BR$6,
      Actuals!$H$3:$BM$3,
      Actuals!$H:$BM
   )
)</f>
        <v>0</v>
      </c>
      <c r="BS18" s="212">
        <f ca="1">VLOOKUP($B$4&amp;" "&amp;$B18,Budget!$AG$4:$AL$132,6,FALSE)</f>
        <v>1797120</v>
      </c>
      <c r="BT18" s="212">
        <f ca="1">BR18-BS18</f>
        <v>-1797120</v>
      </c>
      <c r="BU18" s="212"/>
      <c r="BV18" s="212" cm="1">
        <f t="array" ref="BV18">_xlfn.XLOOKUP(
   $B$4&amp;" "&amp;$B18,
   Actuals!$D:$D,
   _xlfn.XLOOKUP(
      BV$6,
      Actuals!$H$3:$BM$3,
      Actuals!$H:$BM
   )
)</f>
        <v>662400</v>
      </c>
    </row>
    <row r="19" spans="2:74">
      <c r="E19" s="162"/>
      <c r="F19" s="162"/>
      <c r="G19" s="162"/>
      <c r="H19" s="162"/>
      <c r="I19" s="162"/>
      <c r="J19" s="162"/>
      <c r="K19" s="162"/>
      <c r="L19" s="162"/>
      <c r="M19" s="162"/>
      <c r="N19" s="162"/>
      <c r="O19" s="210"/>
      <c r="P19" s="210"/>
      <c r="Q19" s="210"/>
      <c r="R19" s="210"/>
      <c r="S19" s="210"/>
      <c r="T19" s="210"/>
      <c r="U19" s="210"/>
      <c r="V19" s="210"/>
      <c r="W19" s="210"/>
      <c r="X19" s="210"/>
      <c r="Y19" s="210"/>
      <c r="Z19" s="210"/>
      <c r="AA19" s="210"/>
      <c r="AB19" s="210"/>
      <c r="AC19" s="210"/>
      <c r="AD19" s="210"/>
      <c r="AE19" s="210"/>
      <c r="AF19" s="210"/>
      <c r="AG19" s="210"/>
      <c r="AH19" s="210"/>
      <c r="AI19" s="210"/>
      <c r="AJ19" s="210"/>
      <c r="AK19" s="210"/>
      <c r="AL19" s="210"/>
      <c r="AM19" s="210"/>
      <c r="AN19" s="210"/>
      <c r="AO19" s="210"/>
      <c r="AP19" s="210"/>
      <c r="AQ19" s="210"/>
      <c r="AR19" s="210"/>
      <c r="AS19" s="210"/>
      <c r="AT19" s="210"/>
      <c r="AU19" s="210"/>
      <c r="AV19" s="210"/>
      <c r="AW19" s="210"/>
      <c r="AX19" s="210"/>
      <c r="AY19" s="210"/>
      <c r="AZ19" s="210"/>
      <c r="BA19" s="210"/>
      <c r="BB19" s="210"/>
      <c r="BC19" s="210"/>
      <c r="BD19" s="210"/>
      <c r="BE19" s="210"/>
      <c r="BF19" s="210"/>
      <c r="BG19" s="210"/>
      <c r="BH19" s="210"/>
      <c r="BI19" s="210"/>
      <c r="BJ19" s="210"/>
      <c r="BK19" s="210"/>
      <c r="BL19" s="210"/>
      <c r="BM19" s="210"/>
      <c r="BN19" s="210"/>
      <c r="BO19" s="210"/>
      <c r="BP19" s="210"/>
      <c r="BQ19" s="210"/>
      <c r="BR19" s="210"/>
      <c r="BS19" s="210"/>
      <c r="BT19" s="210"/>
      <c r="BU19" s="210"/>
      <c r="BV19" s="210"/>
    </row>
    <row r="20" spans="2:74" ht="15">
      <c r="B20" s="126" t="s">
        <v>114</v>
      </c>
      <c r="C20" s="138"/>
      <c r="D20" s="138"/>
      <c r="E20" s="165"/>
      <c r="F20" s="165"/>
      <c r="G20" s="165"/>
      <c r="H20" s="165"/>
      <c r="I20" s="165"/>
      <c r="J20" s="165"/>
      <c r="K20" s="165"/>
      <c r="L20" s="165"/>
      <c r="M20" s="165"/>
      <c r="N20" s="165"/>
      <c r="O20" s="331"/>
      <c r="P20" s="331"/>
      <c r="Q20" s="331"/>
      <c r="R20" s="331"/>
      <c r="S20" s="331"/>
      <c r="T20" s="331"/>
      <c r="U20" s="331"/>
      <c r="V20" s="331"/>
      <c r="W20" s="331"/>
      <c r="X20" s="331"/>
      <c r="Y20" s="331"/>
      <c r="Z20" s="331"/>
      <c r="AA20" s="331"/>
      <c r="AB20" s="331"/>
      <c r="AC20" s="331"/>
      <c r="AD20" s="331"/>
      <c r="AE20" s="331"/>
      <c r="AF20" s="331"/>
      <c r="AG20" s="331"/>
      <c r="AH20" s="331"/>
      <c r="AI20" s="331"/>
      <c r="AJ20" s="331"/>
      <c r="AK20" s="331"/>
      <c r="AL20" s="331"/>
      <c r="AM20" s="331"/>
      <c r="AN20" s="331"/>
      <c r="AO20" s="331"/>
      <c r="AP20" s="331"/>
      <c r="AQ20" s="331"/>
      <c r="AR20" s="331"/>
      <c r="AS20" s="331"/>
      <c r="AT20" s="331"/>
      <c r="AU20" s="331"/>
      <c r="AV20" s="331"/>
      <c r="AW20" s="331"/>
      <c r="AX20" s="331"/>
      <c r="AY20" s="331"/>
      <c r="AZ20" s="331"/>
      <c r="BA20" s="331"/>
      <c r="BB20" s="331"/>
      <c r="BC20" s="331"/>
      <c r="BD20" s="331"/>
      <c r="BE20" s="331"/>
      <c r="BF20" s="331"/>
      <c r="BG20" s="331"/>
      <c r="BH20" s="331"/>
      <c r="BI20" s="331"/>
      <c r="BJ20" s="331"/>
      <c r="BK20" s="331"/>
      <c r="BL20" s="331"/>
      <c r="BM20" s="331"/>
      <c r="BN20" s="331"/>
      <c r="BO20" s="331"/>
      <c r="BP20" s="331"/>
      <c r="BQ20" s="331"/>
      <c r="BR20" s="331"/>
      <c r="BS20" s="331"/>
      <c r="BT20" s="331"/>
      <c r="BU20" s="331"/>
      <c r="BV20" s="331"/>
    </row>
    <row r="21" spans="2:74">
      <c r="B21" s="26" t="s">
        <v>115</v>
      </c>
      <c r="C21" s="139" t="s">
        <v>47</v>
      </c>
      <c r="D21" s="171" t="str">
        <f>VLOOKUP($B$4&amp;" "&amp;$B21,Actuals!$D$4:$AG$131,3,FALSE)</f>
        <v>$</v>
      </c>
      <c r="E21" s="211" cm="1">
        <f t="array" ref="E21">_xlfn.XLOOKUP(
   $B$4&amp;" "&amp;$B21,
   Actuals!$D:$D,
   _xlfn.XLOOKUP(
      E$6,
      Actuals!$H$3:$BD$3,
      Actuals!$H:$BD
   )
)</f>
        <v>2944783</v>
      </c>
      <c r="F21" s="211" cm="1">
        <f t="array" ref="F21">_xlfn.XLOOKUP(
   $B$4&amp;" "&amp;$B21,
   Actuals!$D:$D,
   _xlfn.XLOOKUP(
      F$6,
      Actuals!$H$3:$BD$3,
      Actuals!$H:$BD
   )
)</f>
        <v>2272783</v>
      </c>
      <c r="G21" s="211" cm="1">
        <f t="array" ref="G21">_xlfn.XLOOKUP(
   $B$4&amp;" "&amp;$B21,
   Actuals!$D:$D,
   _xlfn.XLOOKUP(
      G$6,
      Actuals!$H$3:$BD$3,
      Actuals!$H:$BD
   )
)</f>
        <v>820000</v>
      </c>
      <c r="H21" s="211" cm="1">
        <f t="array" ref="H21">_xlfn.XLOOKUP(
   $B$4&amp;" "&amp;$B21,
   Actuals!$D:$D,
   _xlfn.XLOOKUP(
      H$6,
      Actuals!$H$3:$BD$3,
      Actuals!$H:$BD
   )
)</f>
        <v>700000</v>
      </c>
      <c r="I21" s="211" cm="1">
        <f t="array" ref="I21">_xlfn.XLOOKUP(
   $B$4&amp;" "&amp;$B21,
   Actuals!$D:$D,
   _xlfn.XLOOKUP(
      I$6,
      Actuals!$H$3:$BD$3,
      Actuals!$H:$BD
   )
)</f>
        <v>700000</v>
      </c>
      <c r="J21" s="211" cm="1">
        <f t="array" ref="J21">_xlfn.XLOOKUP(
   $B$4&amp;" "&amp;$B21,
   Actuals!$D:$D,
   _xlfn.XLOOKUP(
      J$6,
      Actuals!$H$3:$BD$3,
      Actuals!$H:$BD
   )
)</f>
        <v>766000</v>
      </c>
      <c r="K21" s="211" cm="1">
        <f t="array" ref="K21">_xlfn.XLOOKUP(
   $B$4&amp;" "&amp;$B21,
   Actuals!$D:$D,
   _xlfn.XLOOKUP(
      K$6,
      Actuals!$H$3:$BD$3,
      Actuals!$H:$BD
   )
)</f>
        <v>918600</v>
      </c>
      <c r="L21" s="211" cm="1">
        <f t="array" ref="L21">_xlfn.XLOOKUP(
   $B$4&amp;" "&amp;$B21,
   Actuals!$D:$D,
   _xlfn.XLOOKUP(
      L$6,
      Actuals!$H$3:$BD$3,
      Actuals!$H:$BD
   )
)</f>
        <v>703000</v>
      </c>
      <c r="M21" s="211" cm="1">
        <f t="array" ref="M21">_xlfn.XLOOKUP(
   $B$4&amp;" "&amp;$B21,
   Actuals!$D:$D,
   _xlfn.XLOOKUP(
      M$6,
      Actuals!$H$3:$BD$3,
      Actuals!$H:$BD
   )
)</f>
        <v>897500</v>
      </c>
      <c r="N21" s="211" cm="1">
        <f t="array" ref="N21">_xlfn.XLOOKUP(
   $B$4&amp;" "&amp;$B21,
   Actuals!$D:$D,
   _xlfn.XLOOKUP(
      N$6,
      Actuals!$H$3:$BD$3,
      Actuals!$H:$BD
   )
)</f>
        <v>450000</v>
      </c>
      <c r="O21" s="211" cm="1">
        <f t="array" ref="O21">_xlfn.XLOOKUP(
   $B$4&amp;" "&amp;$B21,
   Actuals!$D:$D,
   _xlfn.XLOOKUP(
      O$6,
      Actuals!$H$3:$BD$3,
      Actuals!$H:$BD
   )
)</f>
        <v>0</v>
      </c>
      <c r="P21" s="211" cm="1">
        <f t="array" ref="P21">_xlfn.XLOOKUP(
   $B$4&amp;" "&amp;$B21,
   Actuals!$D:$D,
   _xlfn.XLOOKUP(
      P$6,
      Actuals!$H$3:$BD$3,
      Actuals!$H:$BD
   )
)</f>
        <v>0</v>
      </c>
      <c r="Q21" s="211" cm="1">
        <f t="array" ref="Q21">_xlfn.XLOOKUP(
   $B$4&amp;" "&amp;$B21,
   Actuals!$D:$D,
   _xlfn.XLOOKUP(
      Q$6,
      Actuals!$H$3:$BD$3,
      Actuals!$H:$BD
   )
)</f>
        <v>0</v>
      </c>
      <c r="R21" s="211" cm="1">
        <f t="array" ref="R21">_xlfn.XLOOKUP(
   $B$4&amp;" "&amp;$B21,
   Actuals!$D:$D,
   _xlfn.XLOOKUP(
      R$6,
      Actuals!$H$3:$BD$3,
      Actuals!$H:$BD
   )
)</f>
        <v>0</v>
      </c>
      <c r="S21" s="211" cm="1">
        <f t="array" ref="S21">_xlfn.XLOOKUP(
   $B$4&amp;" "&amp;$B21,
   Actuals!$D:$D,
   _xlfn.XLOOKUP(
      S$6,
      Actuals!$H$3:$BD$3,
      Actuals!$H:$BD
   )
)</f>
        <v>0</v>
      </c>
      <c r="T21" s="211" cm="1">
        <f t="array" ref="T21">_xlfn.XLOOKUP(
   $B$4&amp;" "&amp;$B21,
   Actuals!$D:$D,
   _xlfn.XLOOKUP(
      T$6,
      Actuals!$H$3:$BD$3,
      Actuals!$H:$BD
   )
)</f>
        <v>0</v>
      </c>
      <c r="U21" s="211" cm="1">
        <f t="array" ref="U21">_xlfn.XLOOKUP(
   $B$4&amp;" "&amp;$B21,
   Actuals!$D:$D,
   _xlfn.XLOOKUP(
      U$6,
      Actuals!$H$3:$BD$3,
      Actuals!$H:$BD
   )
)</f>
        <v>0</v>
      </c>
      <c r="V21" s="211" cm="1">
        <f t="array" ref="V21">_xlfn.XLOOKUP(
   $B$4&amp;" "&amp;$B21,
   Actuals!$D:$D,
   _xlfn.XLOOKUP(
      V$6,
      Actuals!$H$3:$BD$3,
      Actuals!$H:$BD
   )
)</f>
        <v>0</v>
      </c>
      <c r="W21" s="211" cm="1">
        <f t="array" ref="W21">_xlfn.XLOOKUP(
   $B$4&amp;" "&amp;$B21,
   Actuals!$D:$D,
   _xlfn.XLOOKUP(
      W$6,
      Actuals!$H$3:$BD$3,
      Actuals!$H:$BD
   )
)</f>
        <v>0</v>
      </c>
      <c r="X21" s="211" cm="1">
        <f t="array" ref="X21">_xlfn.XLOOKUP(
   $B$4&amp;" "&amp;$B21,
   Actuals!$D:$D,
   _xlfn.XLOOKUP(
      X$6,
      Actuals!$H$3:$BD$3,
      Actuals!$H:$BD
   )
)</f>
        <v>0</v>
      </c>
      <c r="Y21" s="211" cm="1">
        <f t="array" ref="Y21">_xlfn.XLOOKUP(
   $B$4&amp;" "&amp;$B21,
   Actuals!$D:$D,
   _xlfn.XLOOKUP(
      Y$6,
      Actuals!$H$3:$BD$3,
      Actuals!$H:$BD
   )
)</f>
        <v>0</v>
      </c>
      <c r="Z21" s="211" cm="1">
        <f t="array" ref="Z21">_xlfn.XLOOKUP(
   $B$4&amp;" "&amp;$B21,
   Actuals!$D:$D,
   _xlfn.XLOOKUP(
      Z$6,
      Actuals!$H$3:$BD$3,
      Actuals!$H:$BD
   )
)</f>
        <v>0</v>
      </c>
      <c r="AA21" s="211" cm="1">
        <f t="array" ref="AA21">_xlfn.XLOOKUP(
   $B$4&amp;" "&amp;$B21,
   Actuals!$D:$D,
   _xlfn.XLOOKUP(
      AA$6,
      Actuals!$H$3:$BD$3,
      Actuals!$H:$BD
   )
)</f>
        <v>0</v>
      </c>
      <c r="AB21" s="211" cm="1">
        <f t="array" ref="AB21">_xlfn.XLOOKUP(
   $B$4&amp;" "&amp;$B21,
   Actuals!$D:$D,
   _xlfn.XLOOKUP(
      AB$6,
      Actuals!$H$3:$BD$3,
      Actuals!$H:$BD
   )
)</f>
        <v>0</v>
      </c>
      <c r="AC21" s="211" cm="1">
        <f t="array" ref="AC21">_xlfn.XLOOKUP(
   $B$4&amp;" "&amp;$B21,
   Actuals!$D:$D,
   _xlfn.XLOOKUP(
      AC$6,
      Actuals!$H$3:$BD$3,
      Actuals!$H:$BD
   )
)</f>
        <v>0</v>
      </c>
      <c r="AD21" s="211" cm="1">
        <f t="array" ref="AD21">_xlfn.XLOOKUP(
   $B$4&amp;" "&amp;$B21,
   Actuals!$D:$D,
   _xlfn.XLOOKUP(
      AD$6,
      Actuals!$H$3:$BD$3,
      Actuals!$H:$BD
   )
)</f>
        <v>0</v>
      </c>
      <c r="AE21" s="211" cm="1">
        <f t="array" ref="AE21">_xlfn.XLOOKUP(
   $B$4&amp;" "&amp;$B21,
   Actuals!$D:$D,
   _xlfn.XLOOKUP(
      AE$6,
      Actuals!$H$3:$BD$3,
      Actuals!$H:$BD
   )
)</f>
        <v>0</v>
      </c>
      <c r="AF21" s="211" cm="1">
        <f t="array" ref="AF21">_xlfn.XLOOKUP(
   $B$4&amp;" "&amp;$B21,
   Actuals!$D:$D,
   _xlfn.XLOOKUP(
      AF$6,
      Actuals!$H$3:$BD$3,
      Actuals!$H:$BD
   )
)</f>
        <v>0</v>
      </c>
      <c r="AG21" s="211" cm="1">
        <f t="array" ref="AG21">_xlfn.XLOOKUP(
   $B$4&amp;" "&amp;$B21,
   Actuals!$D:$D,
   _xlfn.XLOOKUP(
      AG$6,
      Actuals!$H$3:$BD$3,
      Actuals!$H:$BD
   )
)</f>
        <v>0</v>
      </c>
      <c r="AH21" s="211" cm="1">
        <f t="array" ref="AH21">_xlfn.XLOOKUP(
   $B$4&amp;" "&amp;$B21,
   Actuals!$D:$D,
   _xlfn.XLOOKUP(
      AH$6,
      Actuals!$H$3:$BD$3,
      Actuals!$H:$BD
   )
)</f>
        <v>0</v>
      </c>
      <c r="AI21" s="211" cm="1">
        <f t="array" ref="AI21">_xlfn.XLOOKUP(
   $B$4&amp;" "&amp;$B21,
   Actuals!$D:$D,
   _xlfn.XLOOKUP(
      AI$6,
      Actuals!$H$3:$BD$3,
      Actuals!$H:$BD
   )
)</f>
        <v>0</v>
      </c>
      <c r="AJ21" s="211" cm="1">
        <f t="array" ref="AJ21">_xlfn.XLOOKUP(
   $B$4&amp;" "&amp;$B21,
   Actuals!$D:$D,
   _xlfn.XLOOKUP(
      AJ$6,
      Actuals!$H$3:$BD$3,
      Actuals!$H:$BD
   )
)</f>
        <v>0</v>
      </c>
      <c r="AK21" s="211" cm="1">
        <f t="array" ref="AK21">_xlfn.XLOOKUP(
   $B$4&amp;" "&amp;$B21,
   Actuals!$D:$D,
   _xlfn.XLOOKUP(
      AK$6,
      Actuals!$H$3:$BD$3,
      Actuals!$H:$BD
   )
)</f>
        <v>0</v>
      </c>
      <c r="AL21" s="211" cm="1">
        <f t="array" ref="AL21">_xlfn.XLOOKUP(
   $B$4&amp;" "&amp;$B21,
   Actuals!$D:$D,
   _xlfn.XLOOKUP(
      AL$6,
      Actuals!$H$3:$BD$3,
      Actuals!$H:$BD
   )
)</f>
        <v>0</v>
      </c>
      <c r="AM21" s="211" cm="1">
        <f t="array" ref="AM21">_xlfn.XLOOKUP(
   $B$4&amp;" "&amp;$B21,
   Actuals!$D:$D,
   _xlfn.XLOOKUP(
      AM$6,
      Actuals!$H$3:$BD$3,
      Actuals!$H:$BD
   )
)</f>
        <v>0</v>
      </c>
      <c r="AN21" s="211" cm="1">
        <f t="array" ref="AN21">_xlfn.XLOOKUP(
   $B$4&amp;" "&amp;$B21,
   Actuals!$D:$D,
   _xlfn.XLOOKUP(
      AN$6,
      Actuals!$H$3:$BD$3,
      Actuals!$H:$BD
   )
)</f>
        <v>0</v>
      </c>
      <c r="AO21" s="211" cm="1">
        <f t="array" ref="AO21">_xlfn.XLOOKUP(
   $B$4&amp;" "&amp;$B21,
   Actuals!$D:$D,
   _xlfn.XLOOKUP(
      AO$6,
      Actuals!$H$3:$BD$3,
      Actuals!$H:$BD
   )
)</f>
        <v>0</v>
      </c>
      <c r="AP21" s="211" cm="1">
        <f t="array" ref="AP21">_xlfn.XLOOKUP(
   $B$4&amp;" "&amp;$B21,
   Actuals!$D:$D,
   _xlfn.XLOOKUP(
      AP$6,
      Actuals!$H$3:$BD$3,
      Actuals!$H:$BD
   )
)</f>
        <v>0</v>
      </c>
      <c r="AQ21" s="211" cm="1">
        <f t="array" ref="AQ21">_xlfn.XLOOKUP(
   $B$4&amp;" "&amp;$B21,
   Actuals!$D:$D,
   _xlfn.XLOOKUP(
      AQ$6,
      Actuals!$H$3:$BD$3,
      Actuals!$H:$BD
   )
)</f>
        <v>0</v>
      </c>
      <c r="AR21" s="211" cm="1">
        <f t="array" ref="AR21">_xlfn.XLOOKUP(
   $B$4&amp;" "&amp;$B21,
   Actuals!$D:$D,
   _xlfn.XLOOKUP(
      AR$6,
      Actuals!$H$3:$BD$3,
      Actuals!$H:$BD
   )
)</f>
        <v>0</v>
      </c>
      <c r="AS21" s="211" cm="1">
        <f t="array" ref="AS21">_xlfn.XLOOKUP(
   $B$4&amp;" "&amp;$B21,
   Actuals!$D:$D,
   _xlfn.XLOOKUP(
      AS$6,
      Actuals!$H$3:$BD$3,
      Actuals!$H:$BD
   )
)</f>
        <v>0</v>
      </c>
      <c r="AT21" s="211" cm="1">
        <f t="array" ref="AT21">_xlfn.XLOOKUP(
   $B$4&amp;" "&amp;$B21,
   Actuals!$D:$D,
   _xlfn.XLOOKUP(
      AT$6,
      Actuals!$H$3:$BD$3,
      Actuals!$H:$BD
   )
)</f>
        <v>0</v>
      </c>
      <c r="AU21" s="211" cm="1">
        <f t="array" ref="AU21">_xlfn.XLOOKUP(
   $B$4&amp;" "&amp;$B21,
   Actuals!$D:$D,
   _xlfn.XLOOKUP(
      AU$6,
      Actuals!$H$3:$BD$3,
      Actuals!$H:$BD
   )
)</f>
        <v>0</v>
      </c>
      <c r="AV21" s="211" cm="1">
        <f t="array" ref="AV21">_xlfn.XLOOKUP(
   $B$4&amp;" "&amp;$B21,
   Actuals!$D:$D,
   _xlfn.XLOOKUP(
      AV$6,
      Actuals!$H$3:$BD$3,
      Actuals!$H:$BD
   )
)</f>
        <v>0</v>
      </c>
      <c r="AW21" s="211" cm="1">
        <f t="array" ref="AW21">_xlfn.XLOOKUP(
   $B$4&amp;" "&amp;$B21,
   Actuals!$D:$D,
   _xlfn.XLOOKUP(
      AW$6,
      Actuals!$H$3:$BD$3,
      Actuals!$H:$BD
   )
)</f>
        <v>0</v>
      </c>
      <c r="AX21" s="211" cm="1">
        <f t="array" ref="AX21">_xlfn.XLOOKUP(
   $B$4&amp;" "&amp;$B21,
   Actuals!$D:$D,
   _xlfn.XLOOKUP(
      AX$6,
      Actuals!$H$3:$BD$3,
      Actuals!$H:$BD
   )
)</f>
        <v>0</v>
      </c>
      <c r="AY21" s="211" cm="1">
        <f t="array" ref="AY21">_xlfn.XLOOKUP(
   $B$4&amp;" "&amp;$B21,
   Actuals!$D:$D,
   _xlfn.XLOOKUP(
      AY$6,
      Actuals!$H$3:$BD$3,
      Actuals!$H:$BD
   )
)</f>
        <v>0</v>
      </c>
      <c r="AZ21" s="211" cm="1">
        <f t="array" ref="AZ21">_xlfn.XLOOKUP(
   $B$4&amp;" "&amp;$B21,
   Actuals!$D:$D,
   _xlfn.XLOOKUP(
      AZ$6,
      Actuals!$H$3:$BD$3,
      Actuals!$H:$BD
   )
)</f>
        <v>0</v>
      </c>
      <c r="BA21" s="211"/>
      <c r="BB21" s="211" cm="1">
        <f t="array" ref="BB21">_xlfn.XLOOKUP(
   $B$4&amp;" "&amp;$B21,
   Actuals!$D:$D,
   _xlfn.XLOOKUP(
      BB$7,
      Actuals!$H$3:$BM$3,
      Actuals!$H:$BM
   )
)</f>
        <v>0</v>
      </c>
      <c r="BC21" s="211">
        <f>VLOOKUP($B$4&amp;" "&amp;$B21,Budget!$AG$4:$AL$132,$BB$5+1,FALSE)</f>
        <v>0</v>
      </c>
      <c r="BD21" s="211">
        <f>BB21-BC21</f>
        <v>0</v>
      </c>
      <c r="BE21" s="211"/>
      <c r="BF21" s="211" cm="1">
        <f t="array" ref="BF21">_xlfn.XLOOKUP(
   $B$4&amp;" "&amp;$B21,
   Actuals!$D:$D,
   _xlfn.XLOOKUP(
      BF$7,
      Actuals!$H$3:$BM$3,
      Actuals!$H:$BM
   )
)</f>
        <v>0</v>
      </c>
      <c r="BG21" s="211">
        <f>VLOOKUP($B$4&amp;" "&amp;$B21,Budget!$AG$4:$AL$132,BF$5+1,FALSE)</f>
        <v>0</v>
      </c>
      <c r="BH21" s="211">
        <f>BF21-BG21</f>
        <v>0</v>
      </c>
      <c r="BI21" s="211"/>
      <c r="BJ21" s="211" cm="1">
        <f t="array" ref="BJ21">_xlfn.XLOOKUP(
   $B$4&amp;" "&amp;$B21,
   Actuals!$D:$D,
   _xlfn.XLOOKUP(
      BJ$7,
      Actuals!$H$3:$BM$3,
      Actuals!$H:$BM
   )
)</f>
        <v>0</v>
      </c>
      <c r="BK21" s="211">
        <f>VLOOKUP($B$4&amp;" "&amp;$B21,Budget!$AG$4:$AL$132,BJ$5+1,FALSE)</f>
        <v>0</v>
      </c>
      <c r="BL21" s="211">
        <f>BJ21-BK21</f>
        <v>0</v>
      </c>
      <c r="BM21" s="211"/>
      <c r="BN21" s="211" cm="1">
        <f t="array" ref="BN21">_xlfn.XLOOKUP(
   $B$4&amp;" "&amp;$B21,
   Actuals!$D:$D,
   _xlfn.XLOOKUP(
      BN$7,
      Actuals!$H$3:$BM$3,
      Actuals!$H:$BM
   )
)</f>
        <v>0</v>
      </c>
      <c r="BO21" s="211">
        <f>VLOOKUP($B$4&amp;" "&amp;$B21,Budget!$AG$4:$AL$132,BN$5+1,FALSE)</f>
        <v>0</v>
      </c>
      <c r="BP21" s="211"/>
      <c r="BQ21" s="211"/>
      <c r="BR21" s="211" cm="1">
        <f t="array" aca="1" ref="BR21" ca="1">_xlfn.XLOOKUP(
   $B$4&amp;" "&amp;$B21,
   Actuals!$D:$D,
   _xlfn.XLOOKUP(
      BR$6,
      Actuals!$H$3:$BM$3,
      Actuals!$H:$BM
   )
)</f>
        <v>0</v>
      </c>
      <c r="BS21" s="211">
        <f ca="1">VLOOKUP($B$4&amp;" "&amp;$B21,Budget!$AG$4:$AL$132,6,FALSE)</f>
        <v>0</v>
      </c>
      <c r="BT21" s="211">
        <f ca="1">BR21-BS21</f>
        <v>0</v>
      </c>
      <c r="BU21" s="211"/>
      <c r="BV21" s="211" cm="1">
        <f t="array" ref="BV21">_xlfn.XLOOKUP(
   $B$4&amp;" "&amp;$B21,
   Actuals!$D:$D,
   _xlfn.XLOOKUP(
      BV$6,
      Actuals!$H$3:$BM$3,
      Actuals!$H:$BM
   )
)</f>
        <v>0</v>
      </c>
    </row>
    <row r="22" spans="2:74">
      <c r="B22" s="26" t="s">
        <v>116</v>
      </c>
      <c r="C22" s="139" t="s">
        <v>49</v>
      </c>
      <c r="D22" s="171" t="str">
        <f>VLOOKUP($B$4&amp;" "&amp;$B22,Actuals!$D$4:$AG$131,3,FALSE)</f>
        <v>$</v>
      </c>
      <c r="E22" s="211" cm="1">
        <f t="array" ref="E22">_xlfn.XLOOKUP(
   $B$4&amp;" "&amp;$B22,
   Actuals!$D:$D,
   _xlfn.XLOOKUP(
      E$6,
      Actuals!$H$3:$BD$3,
      Actuals!$H:$BD
   )
)</f>
        <v>49000</v>
      </c>
      <c r="F22" s="211" cm="1">
        <f t="array" ref="F22">_xlfn.XLOOKUP(
   $B$4&amp;" "&amp;$B22,
   Actuals!$D:$D,
   _xlfn.XLOOKUP(
      F$6,
      Actuals!$H$3:$BD$3,
      Actuals!$H:$BD
   )
)</f>
        <v>0</v>
      </c>
      <c r="G22" s="211" cm="1">
        <f t="array" ref="G22">_xlfn.XLOOKUP(
   $B$4&amp;" "&amp;$B22,
   Actuals!$D:$D,
   _xlfn.XLOOKUP(
      G$6,
      Actuals!$H$3:$BD$3,
      Actuals!$H:$BD
   )
)</f>
        <v>67000</v>
      </c>
      <c r="H22" s="211" cm="1">
        <f t="array" ref="H22">_xlfn.XLOOKUP(
   $B$4&amp;" "&amp;$B22,
   Actuals!$D:$D,
   _xlfn.XLOOKUP(
      H$6,
      Actuals!$H$3:$BD$3,
      Actuals!$H:$BD
   )
)</f>
        <v>0</v>
      </c>
      <c r="I22" s="211" cm="1">
        <f t="array" ref="I22">_xlfn.XLOOKUP(
   $B$4&amp;" "&amp;$B22,
   Actuals!$D:$D,
   _xlfn.XLOOKUP(
      I$6,
      Actuals!$H$3:$BD$3,
      Actuals!$H:$BD
   )
)</f>
        <v>0</v>
      </c>
      <c r="J22" s="211" cm="1">
        <f t="array" ref="J22">_xlfn.XLOOKUP(
   $B$4&amp;" "&amp;$B22,
   Actuals!$D:$D,
   _xlfn.XLOOKUP(
      J$6,
      Actuals!$H$3:$BD$3,
      Actuals!$H:$BD
   )
)</f>
        <v>0</v>
      </c>
      <c r="K22" s="211" cm="1">
        <f t="array" ref="K22">_xlfn.XLOOKUP(
   $B$4&amp;" "&amp;$B22,
   Actuals!$D:$D,
   _xlfn.XLOOKUP(
      K$6,
      Actuals!$H$3:$BD$3,
      Actuals!$H:$BD
   )
)</f>
        <v>0</v>
      </c>
      <c r="L22" s="211" cm="1">
        <f t="array" ref="L22">_xlfn.XLOOKUP(
   $B$4&amp;" "&amp;$B22,
   Actuals!$D:$D,
   _xlfn.XLOOKUP(
      L$6,
      Actuals!$H$3:$BD$3,
      Actuals!$H:$BD
   )
)</f>
        <v>0</v>
      </c>
      <c r="M22" s="211" cm="1">
        <f t="array" ref="M22">_xlfn.XLOOKUP(
   $B$4&amp;" "&amp;$B22,
   Actuals!$D:$D,
   _xlfn.XLOOKUP(
      M$6,
      Actuals!$H$3:$BD$3,
      Actuals!$H:$BD
   )
)</f>
        <v>0</v>
      </c>
      <c r="N22" s="211" cm="1">
        <f t="array" ref="N22">_xlfn.XLOOKUP(
   $B$4&amp;" "&amp;$B22,
   Actuals!$D:$D,
   _xlfn.XLOOKUP(
      N$6,
      Actuals!$H$3:$BD$3,
      Actuals!$H:$BD
   )
)</f>
        <v>0</v>
      </c>
      <c r="O22" s="211" cm="1">
        <f t="array" ref="O22">_xlfn.XLOOKUP(
   $B$4&amp;" "&amp;$B22,
   Actuals!$D:$D,
   _xlfn.XLOOKUP(
      O$6,
      Actuals!$H$3:$BD$3,
      Actuals!$H:$BD
   )
)</f>
        <v>0</v>
      </c>
      <c r="P22" s="211" cm="1">
        <f t="array" ref="P22">_xlfn.XLOOKUP(
   $B$4&amp;" "&amp;$B22,
   Actuals!$D:$D,
   _xlfn.XLOOKUP(
      P$6,
      Actuals!$H$3:$BD$3,
      Actuals!$H:$BD
   )
)</f>
        <v>0</v>
      </c>
      <c r="Q22" s="211" cm="1">
        <f t="array" ref="Q22">_xlfn.XLOOKUP(
   $B$4&amp;" "&amp;$B22,
   Actuals!$D:$D,
   _xlfn.XLOOKUP(
      Q$6,
      Actuals!$H$3:$BD$3,
      Actuals!$H:$BD
   )
)</f>
        <v>0</v>
      </c>
      <c r="R22" s="211" cm="1">
        <f t="array" ref="R22">_xlfn.XLOOKUP(
   $B$4&amp;" "&amp;$B22,
   Actuals!$D:$D,
   _xlfn.XLOOKUP(
      R$6,
      Actuals!$H$3:$BD$3,
      Actuals!$H:$BD
   )
)</f>
        <v>0</v>
      </c>
      <c r="S22" s="211" cm="1">
        <f t="array" ref="S22">_xlfn.XLOOKUP(
   $B$4&amp;" "&amp;$B22,
   Actuals!$D:$D,
   _xlfn.XLOOKUP(
      S$6,
      Actuals!$H$3:$BD$3,
      Actuals!$H:$BD
   )
)</f>
        <v>0</v>
      </c>
      <c r="T22" s="211" cm="1">
        <f t="array" ref="T22">_xlfn.XLOOKUP(
   $B$4&amp;" "&amp;$B22,
   Actuals!$D:$D,
   _xlfn.XLOOKUP(
      T$6,
      Actuals!$H$3:$BD$3,
      Actuals!$H:$BD
   )
)</f>
        <v>0</v>
      </c>
      <c r="U22" s="211" cm="1">
        <f t="array" ref="U22">_xlfn.XLOOKUP(
   $B$4&amp;" "&amp;$B22,
   Actuals!$D:$D,
   _xlfn.XLOOKUP(
      U$6,
      Actuals!$H$3:$BD$3,
      Actuals!$H:$BD
   )
)</f>
        <v>0</v>
      </c>
      <c r="V22" s="211" cm="1">
        <f t="array" ref="V22">_xlfn.XLOOKUP(
   $B$4&amp;" "&amp;$B22,
   Actuals!$D:$D,
   _xlfn.XLOOKUP(
      V$6,
      Actuals!$H$3:$BD$3,
      Actuals!$H:$BD
   )
)</f>
        <v>0</v>
      </c>
      <c r="W22" s="211" cm="1">
        <f t="array" ref="W22">_xlfn.XLOOKUP(
   $B$4&amp;" "&amp;$B22,
   Actuals!$D:$D,
   _xlfn.XLOOKUP(
      W$6,
      Actuals!$H$3:$BD$3,
      Actuals!$H:$BD
   )
)</f>
        <v>0</v>
      </c>
      <c r="X22" s="211" cm="1">
        <f t="array" ref="X22">_xlfn.XLOOKUP(
   $B$4&amp;" "&amp;$B22,
   Actuals!$D:$D,
   _xlfn.XLOOKUP(
      X$6,
      Actuals!$H$3:$BD$3,
      Actuals!$H:$BD
   )
)</f>
        <v>0</v>
      </c>
      <c r="Y22" s="211" cm="1">
        <f t="array" ref="Y22">_xlfn.XLOOKUP(
   $B$4&amp;" "&amp;$B22,
   Actuals!$D:$D,
   _xlfn.XLOOKUP(
      Y$6,
      Actuals!$H$3:$BD$3,
      Actuals!$H:$BD
   )
)</f>
        <v>0</v>
      </c>
      <c r="Z22" s="211" cm="1">
        <f t="array" ref="Z22">_xlfn.XLOOKUP(
   $B$4&amp;" "&amp;$B22,
   Actuals!$D:$D,
   _xlfn.XLOOKUP(
      Z$6,
      Actuals!$H$3:$BD$3,
      Actuals!$H:$BD
   )
)</f>
        <v>0</v>
      </c>
      <c r="AA22" s="211" cm="1">
        <f t="array" ref="AA22">_xlfn.XLOOKUP(
   $B$4&amp;" "&amp;$B22,
   Actuals!$D:$D,
   _xlfn.XLOOKUP(
      AA$6,
      Actuals!$H$3:$BD$3,
      Actuals!$H:$BD
   )
)</f>
        <v>0</v>
      </c>
      <c r="AB22" s="211" cm="1">
        <f t="array" ref="AB22">_xlfn.XLOOKUP(
   $B$4&amp;" "&amp;$B22,
   Actuals!$D:$D,
   _xlfn.XLOOKUP(
      AB$6,
      Actuals!$H$3:$BD$3,
      Actuals!$H:$BD
   )
)</f>
        <v>0</v>
      </c>
      <c r="AC22" s="211" cm="1">
        <f t="array" ref="AC22">_xlfn.XLOOKUP(
   $B$4&amp;" "&amp;$B22,
   Actuals!$D:$D,
   _xlfn.XLOOKUP(
      AC$6,
      Actuals!$H$3:$BD$3,
      Actuals!$H:$BD
   )
)</f>
        <v>0</v>
      </c>
      <c r="AD22" s="211" cm="1">
        <f t="array" ref="AD22">_xlfn.XLOOKUP(
   $B$4&amp;" "&amp;$B22,
   Actuals!$D:$D,
   _xlfn.XLOOKUP(
      AD$6,
      Actuals!$H$3:$BD$3,
      Actuals!$H:$BD
   )
)</f>
        <v>0</v>
      </c>
      <c r="AE22" s="211" cm="1">
        <f t="array" ref="AE22">_xlfn.XLOOKUP(
   $B$4&amp;" "&amp;$B22,
   Actuals!$D:$D,
   _xlfn.XLOOKUP(
      AE$6,
      Actuals!$H$3:$BD$3,
      Actuals!$H:$BD
   )
)</f>
        <v>0</v>
      </c>
      <c r="AF22" s="211" cm="1">
        <f t="array" ref="AF22">_xlfn.XLOOKUP(
   $B$4&amp;" "&amp;$B22,
   Actuals!$D:$D,
   _xlfn.XLOOKUP(
      AF$6,
      Actuals!$H$3:$BD$3,
      Actuals!$H:$BD
   )
)</f>
        <v>0</v>
      </c>
      <c r="AG22" s="211" cm="1">
        <f t="array" ref="AG22">_xlfn.XLOOKUP(
   $B$4&amp;" "&amp;$B22,
   Actuals!$D:$D,
   _xlfn.XLOOKUP(
      AG$6,
      Actuals!$H$3:$BD$3,
      Actuals!$H:$BD
   )
)</f>
        <v>0</v>
      </c>
      <c r="AH22" s="211" cm="1">
        <f t="array" ref="AH22">_xlfn.XLOOKUP(
   $B$4&amp;" "&amp;$B22,
   Actuals!$D:$D,
   _xlfn.XLOOKUP(
      AH$6,
      Actuals!$H$3:$BD$3,
      Actuals!$H:$BD
   )
)</f>
        <v>0</v>
      </c>
      <c r="AI22" s="211" cm="1">
        <f t="array" ref="AI22">_xlfn.XLOOKUP(
   $B$4&amp;" "&amp;$B22,
   Actuals!$D:$D,
   _xlfn.XLOOKUP(
      AI$6,
      Actuals!$H$3:$BD$3,
      Actuals!$H:$BD
   )
)</f>
        <v>0</v>
      </c>
      <c r="AJ22" s="211" cm="1">
        <f t="array" ref="AJ22">_xlfn.XLOOKUP(
   $B$4&amp;" "&amp;$B22,
   Actuals!$D:$D,
   _xlfn.XLOOKUP(
      AJ$6,
      Actuals!$H$3:$BD$3,
      Actuals!$H:$BD
   )
)</f>
        <v>0</v>
      </c>
      <c r="AK22" s="211" cm="1">
        <f t="array" ref="AK22">_xlfn.XLOOKUP(
   $B$4&amp;" "&amp;$B22,
   Actuals!$D:$D,
   _xlfn.XLOOKUP(
      AK$6,
      Actuals!$H$3:$BD$3,
      Actuals!$H:$BD
   )
)</f>
        <v>0</v>
      </c>
      <c r="AL22" s="211" cm="1">
        <f t="array" ref="AL22">_xlfn.XLOOKUP(
   $B$4&amp;" "&amp;$B22,
   Actuals!$D:$D,
   _xlfn.XLOOKUP(
      AL$6,
      Actuals!$H$3:$BD$3,
      Actuals!$H:$BD
   )
)</f>
        <v>0</v>
      </c>
      <c r="AM22" s="211" cm="1">
        <f t="array" ref="AM22">_xlfn.XLOOKUP(
   $B$4&amp;" "&amp;$B22,
   Actuals!$D:$D,
   _xlfn.XLOOKUP(
      AM$6,
      Actuals!$H$3:$BD$3,
      Actuals!$H:$BD
   )
)</f>
        <v>0</v>
      </c>
      <c r="AN22" s="211" cm="1">
        <f t="array" ref="AN22">_xlfn.XLOOKUP(
   $B$4&amp;" "&amp;$B22,
   Actuals!$D:$D,
   _xlfn.XLOOKUP(
      AN$6,
      Actuals!$H$3:$BD$3,
      Actuals!$H:$BD
   )
)</f>
        <v>0</v>
      </c>
      <c r="AO22" s="211" cm="1">
        <f t="array" ref="AO22">_xlfn.XLOOKUP(
   $B$4&amp;" "&amp;$B22,
   Actuals!$D:$D,
   _xlfn.XLOOKUP(
      AO$6,
      Actuals!$H$3:$BD$3,
      Actuals!$H:$BD
   )
)</f>
        <v>0</v>
      </c>
      <c r="AP22" s="211" cm="1">
        <f t="array" ref="AP22">_xlfn.XLOOKUP(
   $B$4&amp;" "&amp;$B22,
   Actuals!$D:$D,
   _xlfn.XLOOKUP(
      AP$6,
      Actuals!$H$3:$BD$3,
      Actuals!$H:$BD
   )
)</f>
        <v>0</v>
      </c>
      <c r="AQ22" s="211" cm="1">
        <f t="array" ref="AQ22">_xlfn.XLOOKUP(
   $B$4&amp;" "&amp;$B22,
   Actuals!$D:$D,
   _xlfn.XLOOKUP(
      AQ$6,
      Actuals!$H$3:$BD$3,
      Actuals!$H:$BD
   )
)</f>
        <v>0</v>
      </c>
      <c r="AR22" s="211" cm="1">
        <f t="array" ref="AR22">_xlfn.XLOOKUP(
   $B$4&amp;" "&amp;$B22,
   Actuals!$D:$D,
   _xlfn.XLOOKUP(
      AR$6,
      Actuals!$H$3:$BD$3,
      Actuals!$H:$BD
   )
)</f>
        <v>0</v>
      </c>
      <c r="AS22" s="211" cm="1">
        <f t="array" ref="AS22">_xlfn.XLOOKUP(
   $B$4&amp;" "&amp;$B22,
   Actuals!$D:$D,
   _xlfn.XLOOKUP(
      AS$6,
      Actuals!$H$3:$BD$3,
      Actuals!$H:$BD
   )
)</f>
        <v>0</v>
      </c>
      <c r="AT22" s="211" cm="1">
        <f t="array" ref="AT22">_xlfn.XLOOKUP(
   $B$4&amp;" "&amp;$B22,
   Actuals!$D:$D,
   _xlfn.XLOOKUP(
      AT$6,
      Actuals!$H$3:$BD$3,
      Actuals!$H:$BD
   )
)</f>
        <v>0</v>
      </c>
      <c r="AU22" s="211" cm="1">
        <f t="array" ref="AU22">_xlfn.XLOOKUP(
   $B$4&amp;" "&amp;$B22,
   Actuals!$D:$D,
   _xlfn.XLOOKUP(
      AU$6,
      Actuals!$H$3:$BD$3,
      Actuals!$H:$BD
   )
)</f>
        <v>0</v>
      </c>
      <c r="AV22" s="211" cm="1">
        <f t="array" ref="AV22">_xlfn.XLOOKUP(
   $B$4&amp;" "&amp;$B22,
   Actuals!$D:$D,
   _xlfn.XLOOKUP(
      AV$6,
      Actuals!$H$3:$BD$3,
      Actuals!$H:$BD
   )
)</f>
        <v>0</v>
      </c>
      <c r="AW22" s="211" cm="1">
        <f t="array" ref="AW22">_xlfn.XLOOKUP(
   $B$4&amp;" "&amp;$B22,
   Actuals!$D:$D,
   _xlfn.XLOOKUP(
      AW$6,
      Actuals!$H$3:$BD$3,
      Actuals!$H:$BD
   )
)</f>
        <v>0</v>
      </c>
      <c r="AX22" s="211" cm="1">
        <f t="array" ref="AX22">_xlfn.XLOOKUP(
   $B$4&amp;" "&amp;$B22,
   Actuals!$D:$D,
   _xlfn.XLOOKUP(
      AX$6,
      Actuals!$H$3:$BD$3,
      Actuals!$H:$BD
   )
)</f>
        <v>0</v>
      </c>
      <c r="AY22" s="211" cm="1">
        <f t="array" ref="AY22">_xlfn.XLOOKUP(
   $B$4&amp;" "&amp;$B22,
   Actuals!$D:$D,
   _xlfn.XLOOKUP(
      AY$6,
      Actuals!$H$3:$BD$3,
      Actuals!$H:$BD
   )
)</f>
        <v>0</v>
      </c>
      <c r="AZ22" s="211" cm="1">
        <f t="array" ref="AZ22">_xlfn.XLOOKUP(
   $B$4&amp;" "&amp;$B22,
   Actuals!$D:$D,
   _xlfn.XLOOKUP(
      AZ$6,
      Actuals!$H$3:$BD$3,
      Actuals!$H:$BD
   )
)</f>
        <v>0</v>
      </c>
      <c r="BA22" s="211"/>
      <c r="BB22" s="211" cm="1">
        <f t="array" ref="BB22">_xlfn.XLOOKUP(
   $B$4&amp;" "&amp;$B22,
   Actuals!$D:$D,
   _xlfn.XLOOKUP(
      BB$7,
      Actuals!$H$3:$BM$3,
      Actuals!$H:$BM
   )
)</f>
        <v>0</v>
      </c>
      <c r="BC22" s="211">
        <f>VLOOKUP($B$4&amp;" "&amp;$B22,Budget!$AG$4:$AL$132,$BB$5+1,FALSE)</f>
        <v>320000</v>
      </c>
      <c r="BD22" s="211">
        <f>BB22-BC22</f>
        <v>-320000</v>
      </c>
      <c r="BE22" s="211"/>
      <c r="BF22" s="211" cm="1">
        <f t="array" ref="BF22">_xlfn.XLOOKUP(
   $B$4&amp;" "&amp;$B22,
   Actuals!$D:$D,
   _xlfn.XLOOKUP(
      BF$7,
      Actuals!$H$3:$BM$3,
      Actuals!$H:$BM
   )
)</f>
        <v>0</v>
      </c>
      <c r="BG22" s="211">
        <f>VLOOKUP($B$4&amp;" "&amp;$B22,Budget!$AG$4:$AL$132,BF$5+1,FALSE)</f>
        <v>450000</v>
      </c>
      <c r="BH22" s="211">
        <f>BF22-BG22</f>
        <v>-450000</v>
      </c>
      <c r="BI22" s="211"/>
      <c r="BJ22" s="211" cm="1">
        <f t="array" ref="BJ22">_xlfn.XLOOKUP(
   $B$4&amp;" "&amp;$B22,
   Actuals!$D:$D,
   _xlfn.XLOOKUP(
      BJ$7,
      Actuals!$H$3:$BM$3,
      Actuals!$H:$BM
   )
)</f>
        <v>0</v>
      </c>
      <c r="BK22" s="211">
        <f>VLOOKUP($B$4&amp;" "&amp;$B22,Budget!$AG$4:$AL$132,BJ$5+1,FALSE)</f>
        <v>450000</v>
      </c>
      <c r="BL22" s="211">
        <f>BJ22-BK22</f>
        <v>-450000</v>
      </c>
      <c r="BM22" s="211"/>
      <c r="BN22" s="211" cm="1">
        <f t="array" ref="BN22">_xlfn.XLOOKUP(
   $B$4&amp;" "&amp;$B22,
   Actuals!$D:$D,
   _xlfn.XLOOKUP(
      BN$7,
      Actuals!$H$3:$BM$3,
      Actuals!$H:$BM
   )
)</f>
        <v>0</v>
      </c>
      <c r="BO22" s="211">
        <f>VLOOKUP($B$4&amp;" "&amp;$B22,Budget!$AG$4:$AL$132,BN$5+1,FALSE)</f>
        <v>580000</v>
      </c>
      <c r="BP22" s="211"/>
      <c r="BQ22" s="211"/>
      <c r="BR22" s="211" cm="1">
        <f t="array" aca="1" ref="BR22" ca="1">_xlfn.XLOOKUP(
   $B$4&amp;" "&amp;$B22,
   Actuals!$D:$D,
   _xlfn.XLOOKUP(
      BR$6,
      Actuals!$H$3:$BM$3,
      Actuals!$H:$BM
   )
)</f>
        <v>0</v>
      </c>
      <c r="BS22" s="211">
        <f ca="1">VLOOKUP($B$4&amp;" "&amp;$B22,Budget!$AG$4:$AL$132,6,FALSE)</f>
        <v>1800000</v>
      </c>
      <c r="BT22" s="211">
        <f ca="1">BR22-BS22</f>
        <v>-1800000</v>
      </c>
      <c r="BU22" s="211"/>
      <c r="BV22" s="211" cm="1">
        <f t="array" ref="BV22">_xlfn.XLOOKUP(
   $B$4&amp;" "&amp;$B22,
   Actuals!$D:$D,
   _xlfn.XLOOKUP(
      BV$6,
      Actuals!$H$3:$BM$3,
      Actuals!$H:$BM
   )
)</f>
        <v>0</v>
      </c>
    </row>
    <row r="23" spans="2:74">
      <c r="D23" s="173"/>
      <c r="E23" s="162"/>
      <c r="F23" s="162"/>
      <c r="G23" s="162"/>
      <c r="H23" s="162"/>
      <c r="I23" s="162"/>
      <c r="J23" s="162"/>
      <c r="K23" s="162"/>
      <c r="L23" s="162"/>
      <c r="M23" s="162"/>
      <c r="N23" s="162"/>
      <c r="O23" s="210"/>
      <c r="P23" s="210"/>
      <c r="Q23" s="210"/>
      <c r="R23" s="210"/>
      <c r="S23" s="210"/>
      <c r="T23" s="210"/>
      <c r="U23" s="210"/>
      <c r="V23" s="210"/>
      <c r="W23" s="210"/>
      <c r="X23" s="210"/>
      <c r="Y23" s="210"/>
      <c r="Z23" s="210"/>
      <c r="AA23" s="210"/>
      <c r="AB23" s="210"/>
      <c r="AC23" s="210"/>
      <c r="AD23" s="210"/>
      <c r="AE23" s="210"/>
      <c r="AF23" s="210"/>
      <c r="AG23" s="210"/>
      <c r="AH23" s="210"/>
      <c r="AI23" s="210"/>
      <c r="AJ23" s="210"/>
      <c r="AK23" s="210"/>
      <c r="AL23" s="210"/>
      <c r="AM23" s="210"/>
      <c r="AN23" s="210"/>
      <c r="AO23" s="210"/>
      <c r="AP23" s="210"/>
      <c r="AQ23" s="210"/>
      <c r="AR23" s="210"/>
      <c r="AS23" s="210"/>
      <c r="AT23" s="210"/>
      <c r="AU23" s="210"/>
      <c r="AV23" s="210"/>
      <c r="AW23" s="210"/>
      <c r="AX23" s="210"/>
      <c r="AY23" s="210"/>
      <c r="AZ23" s="210"/>
      <c r="BA23" s="210"/>
      <c r="BB23" s="210"/>
      <c r="BC23" s="210"/>
      <c r="BD23" s="210"/>
      <c r="BE23" s="210"/>
      <c r="BF23" s="210"/>
      <c r="BG23" s="210"/>
      <c r="BH23" s="210"/>
      <c r="BI23" s="210"/>
      <c r="BJ23" s="210"/>
      <c r="BK23" s="210"/>
      <c r="BL23" s="210"/>
      <c r="BM23" s="210"/>
      <c r="BN23" s="210"/>
      <c r="BO23" s="210"/>
      <c r="BP23" s="210"/>
      <c r="BQ23" s="210"/>
      <c r="BR23" s="210"/>
      <c r="BS23" s="210"/>
      <c r="BT23" s="210"/>
      <c r="BU23" s="210"/>
      <c r="BV23" s="210"/>
    </row>
    <row r="24" spans="2:74" ht="13">
      <c r="B24" s="126" t="s">
        <v>117</v>
      </c>
      <c r="C24" s="138"/>
      <c r="D24" s="174"/>
      <c r="E24" s="165"/>
      <c r="F24" s="165"/>
      <c r="G24" s="165"/>
      <c r="H24" s="165"/>
      <c r="I24" s="165"/>
      <c r="J24" s="165"/>
      <c r="K24" s="165"/>
      <c r="L24" s="165"/>
      <c r="M24" s="165"/>
      <c r="N24" s="165"/>
      <c r="O24" s="331"/>
      <c r="P24" s="331"/>
      <c r="Q24" s="331"/>
      <c r="R24" s="331"/>
      <c r="S24" s="331"/>
      <c r="T24" s="331"/>
      <c r="U24" s="331"/>
      <c r="V24" s="331"/>
      <c r="W24" s="331"/>
      <c r="X24" s="331"/>
      <c r="Y24" s="331"/>
      <c r="Z24" s="331"/>
      <c r="AA24" s="331"/>
      <c r="AB24" s="331"/>
      <c r="AC24" s="331"/>
      <c r="AD24" s="331"/>
      <c r="AE24" s="331"/>
      <c r="AF24" s="331"/>
      <c r="AG24" s="331"/>
      <c r="AH24" s="331"/>
      <c r="AI24" s="331"/>
      <c r="AJ24" s="331"/>
      <c r="AK24" s="331"/>
      <c r="AL24" s="331"/>
      <c r="AM24" s="331"/>
      <c r="AN24" s="331"/>
      <c r="AO24" s="331"/>
      <c r="AP24" s="331"/>
      <c r="AQ24" s="331"/>
      <c r="AR24" s="331"/>
      <c r="AS24" s="331"/>
      <c r="AT24" s="331"/>
      <c r="AU24" s="331"/>
      <c r="AV24" s="331"/>
      <c r="AW24" s="331"/>
      <c r="AX24" s="331"/>
      <c r="AY24" s="331"/>
      <c r="AZ24" s="331"/>
      <c r="BA24" s="331"/>
      <c r="BB24" s="331"/>
      <c r="BC24" s="331"/>
      <c r="BD24" s="331"/>
      <c r="BE24" s="331"/>
      <c r="BF24" s="331"/>
      <c r="BG24" s="331"/>
      <c r="BH24" s="331"/>
      <c r="BI24" s="331"/>
      <c r="BJ24" s="331"/>
      <c r="BK24" s="331"/>
      <c r="BL24" s="331"/>
      <c r="BM24" s="331"/>
      <c r="BN24" s="331"/>
      <c r="BO24" s="331"/>
      <c r="BP24" s="331"/>
      <c r="BQ24" s="331"/>
      <c r="BR24" s="331"/>
      <c r="BS24" s="331"/>
      <c r="BT24" s="331"/>
      <c r="BU24" s="331"/>
      <c r="BV24" s="331"/>
    </row>
    <row r="25" spans="2:74">
      <c r="B25" s="26" t="s">
        <v>118</v>
      </c>
      <c r="C25" s="139" t="s">
        <v>49</v>
      </c>
      <c r="D25" s="171" t="str">
        <f>VLOOKUP($B$4&amp;" "&amp;$B25,Actuals!$D$4:$AG$131,3,FALSE)</f>
        <v>#</v>
      </c>
      <c r="E25" s="168" cm="1">
        <f t="array" ref="E25">_xlfn.XLOOKUP(
   $B$4&amp;" "&amp;$B25,
   Actuals!$D:$D,
   _xlfn.XLOOKUP(
      E$6,
      Actuals!$H$3:$BD$3,
      Actuals!$H:$BD
   )
)</f>
        <v>0</v>
      </c>
      <c r="F25" s="168" cm="1">
        <f t="array" ref="F25">_xlfn.XLOOKUP(
   $B$4&amp;" "&amp;$B25,
   Actuals!$D:$D,
   _xlfn.XLOOKUP(
      F$6,
      Actuals!$H$3:$BD$3,
      Actuals!$H:$BD
   )
)</f>
        <v>0</v>
      </c>
      <c r="G25" s="168" cm="1">
        <f t="array" ref="G25">_xlfn.XLOOKUP(
   $B$4&amp;" "&amp;$B25,
   Actuals!$D:$D,
   _xlfn.XLOOKUP(
      G$6,
      Actuals!$H$3:$BD$3,
      Actuals!$H:$BD
   )
)</f>
        <v>0</v>
      </c>
      <c r="H25" s="168" cm="1">
        <f t="array" ref="H25">_xlfn.XLOOKUP(
   $B$4&amp;" "&amp;$B25,
   Actuals!$D:$D,
   _xlfn.XLOOKUP(
      H$6,
      Actuals!$H$3:$BD$3,
      Actuals!$H:$BD
   )
)</f>
        <v>0</v>
      </c>
      <c r="I25" s="168" cm="1">
        <f t="array" ref="I25">_xlfn.XLOOKUP(
   $B$4&amp;" "&amp;$B25,
   Actuals!$D:$D,
   _xlfn.XLOOKUP(
      I$6,
      Actuals!$H$3:$BD$3,
      Actuals!$H:$BD
   )
)</f>
        <v>0</v>
      </c>
      <c r="J25" s="168" cm="1">
        <f t="array" ref="J25">_xlfn.XLOOKUP(
   $B$4&amp;" "&amp;$B25,
   Actuals!$D:$D,
   _xlfn.XLOOKUP(
      J$6,
      Actuals!$H$3:$BD$3,
      Actuals!$H:$BD
   )
)</f>
        <v>0</v>
      </c>
      <c r="K25" s="168" cm="1">
        <f t="array" ref="K25">_xlfn.XLOOKUP(
   $B$4&amp;" "&amp;$B25,
   Actuals!$D:$D,
   _xlfn.XLOOKUP(
      K$6,
      Actuals!$H$3:$BD$3,
      Actuals!$H:$BD
   )
)</f>
        <v>0</v>
      </c>
      <c r="L25" s="168" cm="1">
        <f t="array" ref="L25">_xlfn.XLOOKUP(
   $B$4&amp;" "&amp;$B25,
   Actuals!$D:$D,
   _xlfn.XLOOKUP(
      L$6,
      Actuals!$H$3:$BD$3,
      Actuals!$H:$BD
   )
)</f>
        <v>0</v>
      </c>
      <c r="M25" s="168" cm="1">
        <f t="array" ref="M25">_xlfn.XLOOKUP(
   $B$4&amp;" "&amp;$B25,
   Actuals!$D:$D,
   _xlfn.XLOOKUP(
      M$6,
      Actuals!$H$3:$BD$3,
      Actuals!$H:$BD
   )
)</f>
        <v>0</v>
      </c>
      <c r="N25" s="168" cm="1">
        <f t="array" ref="N25">_xlfn.XLOOKUP(
   $B$4&amp;" "&amp;$B25,
   Actuals!$D:$D,
   _xlfn.XLOOKUP(
      N$6,
      Actuals!$H$3:$BD$3,
      Actuals!$H:$BD
   )
)</f>
        <v>0</v>
      </c>
      <c r="O25" s="292" cm="1">
        <f t="array" ref="O25">_xlfn.XLOOKUP(
   $B$4&amp;" "&amp;$B25,
   Actuals!$D:$D,
   _xlfn.XLOOKUP(
      O$6,
      Actuals!$H$3:$BD$3,
      Actuals!$H:$BD
   )
)</f>
        <v>0</v>
      </c>
      <c r="P25" s="292" cm="1">
        <f t="array" ref="P25">_xlfn.XLOOKUP(
   $B$4&amp;" "&amp;$B25,
   Actuals!$D:$D,
   _xlfn.XLOOKUP(
      P$6,
      Actuals!$H$3:$BD$3,
      Actuals!$H:$BD
   )
)</f>
        <v>0</v>
      </c>
      <c r="Q25" s="292" cm="1">
        <f t="array" ref="Q25">_xlfn.XLOOKUP(
   $B$4&amp;" "&amp;$B25,
   Actuals!$D:$D,
   _xlfn.XLOOKUP(
      Q$6,
      Actuals!$H$3:$BD$3,
      Actuals!$H:$BD
   )
)</f>
        <v>0</v>
      </c>
      <c r="R25" s="292" cm="1">
        <f t="array" ref="R25">_xlfn.XLOOKUP(
   $B$4&amp;" "&amp;$B25,
   Actuals!$D:$D,
   _xlfn.XLOOKUP(
      R$6,
      Actuals!$H$3:$BD$3,
      Actuals!$H:$BD
   )
)</f>
        <v>0</v>
      </c>
      <c r="S25" s="292" cm="1">
        <f t="array" ref="S25">_xlfn.XLOOKUP(
   $B$4&amp;" "&amp;$B25,
   Actuals!$D:$D,
   _xlfn.XLOOKUP(
      S$6,
      Actuals!$H$3:$BD$3,
      Actuals!$H:$BD
   )
)</f>
        <v>0</v>
      </c>
      <c r="T25" s="292" cm="1">
        <f t="array" ref="T25">_xlfn.XLOOKUP(
   $B$4&amp;" "&amp;$B25,
   Actuals!$D:$D,
   _xlfn.XLOOKUP(
      T$6,
      Actuals!$H$3:$BD$3,
      Actuals!$H:$BD
   )
)</f>
        <v>0</v>
      </c>
      <c r="U25" s="292" cm="1">
        <f t="array" ref="U25">_xlfn.XLOOKUP(
   $B$4&amp;" "&amp;$B25,
   Actuals!$D:$D,
   _xlfn.XLOOKUP(
      U$6,
      Actuals!$H$3:$BD$3,
      Actuals!$H:$BD
   )
)</f>
        <v>0</v>
      </c>
      <c r="V25" s="292" cm="1">
        <f t="array" ref="V25">_xlfn.XLOOKUP(
   $B$4&amp;" "&amp;$B25,
   Actuals!$D:$D,
   _xlfn.XLOOKUP(
      V$6,
      Actuals!$H$3:$BD$3,
      Actuals!$H:$BD
   )
)</f>
        <v>0</v>
      </c>
      <c r="W25" s="292" cm="1">
        <f t="array" ref="W25">_xlfn.XLOOKUP(
   $B$4&amp;" "&amp;$B25,
   Actuals!$D:$D,
   _xlfn.XLOOKUP(
      W$6,
      Actuals!$H$3:$BD$3,
      Actuals!$H:$BD
   )
)</f>
        <v>0</v>
      </c>
      <c r="X25" s="292" cm="1">
        <f t="array" ref="X25">_xlfn.XLOOKUP(
   $B$4&amp;" "&amp;$B25,
   Actuals!$D:$D,
   _xlfn.XLOOKUP(
      X$6,
      Actuals!$H$3:$BD$3,
      Actuals!$H:$BD
   )
)</f>
        <v>0</v>
      </c>
      <c r="Y25" s="292" cm="1">
        <f t="array" ref="Y25">_xlfn.XLOOKUP(
   $B$4&amp;" "&amp;$B25,
   Actuals!$D:$D,
   _xlfn.XLOOKUP(
      Y$6,
      Actuals!$H$3:$BD$3,
      Actuals!$H:$BD
   )
)</f>
        <v>0</v>
      </c>
      <c r="Z25" s="292" cm="1">
        <f t="array" ref="Z25">_xlfn.XLOOKUP(
   $B$4&amp;" "&amp;$B25,
   Actuals!$D:$D,
   _xlfn.XLOOKUP(
      Z$6,
      Actuals!$H$3:$BD$3,
      Actuals!$H:$BD
   )
)</f>
        <v>0</v>
      </c>
      <c r="AA25" s="292" cm="1">
        <f t="array" ref="AA25">_xlfn.XLOOKUP(
   $B$4&amp;" "&amp;$B25,
   Actuals!$D:$D,
   _xlfn.XLOOKUP(
      AA$6,
      Actuals!$H$3:$BD$3,
      Actuals!$H:$BD
   )
)</f>
        <v>0</v>
      </c>
      <c r="AB25" s="292" cm="1">
        <f t="array" ref="AB25">_xlfn.XLOOKUP(
   $B$4&amp;" "&amp;$B25,
   Actuals!$D:$D,
   _xlfn.XLOOKUP(
      AB$6,
      Actuals!$H$3:$BD$3,
      Actuals!$H:$BD
   )
)</f>
        <v>0</v>
      </c>
      <c r="AC25" s="292" cm="1">
        <f t="array" ref="AC25">_xlfn.XLOOKUP(
   $B$4&amp;" "&amp;$B25,
   Actuals!$D:$D,
   _xlfn.XLOOKUP(
      AC$6,
      Actuals!$H$3:$BD$3,
      Actuals!$H:$BD
   )
)</f>
        <v>0</v>
      </c>
      <c r="AD25" s="292" cm="1">
        <f t="array" ref="AD25">_xlfn.XLOOKUP(
   $B$4&amp;" "&amp;$B25,
   Actuals!$D:$D,
   _xlfn.XLOOKUP(
      AD$6,
      Actuals!$H$3:$BD$3,
      Actuals!$H:$BD
   )
)</f>
        <v>1</v>
      </c>
      <c r="AE25" s="292" cm="1">
        <f t="array" ref="AE25">_xlfn.XLOOKUP(
   $B$4&amp;" "&amp;$B25,
   Actuals!$D:$D,
   _xlfn.XLOOKUP(
      AE$6,
      Actuals!$H$3:$BD$3,
      Actuals!$H:$BD
   )
)</f>
        <v>0</v>
      </c>
      <c r="AF25" s="292" cm="1">
        <f t="array" ref="AF25">_xlfn.XLOOKUP(
   $B$4&amp;" "&amp;$B25,
   Actuals!$D:$D,
   _xlfn.XLOOKUP(
      AF$6,
      Actuals!$H$3:$BD$3,
      Actuals!$H:$BD
   )
)</f>
        <v>1</v>
      </c>
      <c r="AG25" s="292" cm="1">
        <f t="array" ref="AG25">_xlfn.XLOOKUP(
   $B$4&amp;" "&amp;$B25,
   Actuals!$D:$D,
   _xlfn.XLOOKUP(
      AG$6,
      Actuals!$H$3:$BD$3,
      Actuals!$H:$BD
   )
)</f>
        <v>0</v>
      </c>
      <c r="AH25" s="292" cm="1">
        <f t="array" ref="AH25">_xlfn.XLOOKUP(
   $B$4&amp;" "&amp;$B25,
   Actuals!$D:$D,
   _xlfn.XLOOKUP(
      AH$6,
      Actuals!$H$3:$BD$3,
      Actuals!$H:$BD
   )
)</f>
        <v>1</v>
      </c>
      <c r="AI25" s="292" cm="1">
        <f t="array" ref="AI25">_xlfn.XLOOKUP(
   $B$4&amp;" "&amp;$B25,
   Actuals!$D:$D,
   _xlfn.XLOOKUP(
      AI$6,
      Actuals!$H$3:$BD$3,
      Actuals!$H:$BD
   )
)</f>
        <v>0</v>
      </c>
      <c r="AJ25" s="292" cm="1">
        <f t="array" ref="AJ25">_xlfn.XLOOKUP(
   $B$4&amp;" "&amp;$B25,
   Actuals!$D:$D,
   _xlfn.XLOOKUP(
      AJ$6,
      Actuals!$H$3:$BD$3,
      Actuals!$H:$BD
   )
)</f>
        <v>0</v>
      </c>
      <c r="AK25" s="292" cm="1">
        <f t="array" ref="AK25">_xlfn.XLOOKUP(
   $B$4&amp;" "&amp;$B25,
   Actuals!$D:$D,
   _xlfn.XLOOKUP(
      AK$6,
      Actuals!$H$3:$BD$3,
      Actuals!$H:$BD
   )
)</f>
        <v>0</v>
      </c>
      <c r="AL25" s="292" cm="1">
        <f t="array" ref="AL25">_xlfn.XLOOKUP(
   $B$4&amp;" "&amp;$B25,
   Actuals!$D:$D,
   _xlfn.XLOOKUP(
      AL$6,
      Actuals!$H$3:$BD$3,
      Actuals!$H:$BD
   )
)</f>
        <v>0</v>
      </c>
      <c r="AM25" s="292" cm="1">
        <f t="array" ref="AM25">_xlfn.XLOOKUP(
   $B$4&amp;" "&amp;$B25,
   Actuals!$D:$D,
   _xlfn.XLOOKUP(
      AM$6,
      Actuals!$H$3:$BD$3,
      Actuals!$H:$BD
   )
)</f>
        <v>1</v>
      </c>
      <c r="AN25" s="292" cm="1">
        <f t="array" ref="AN25">_xlfn.XLOOKUP(
   $B$4&amp;" "&amp;$B25,
   Actuals!$D:$D,
   _xlfn.XLOOKUP(
      AN$6,
      Actuals!$H$3:$BD$3,
      Actuals!$H:$BD
   )
)</f>
        <v>0</v>
      </c>
      <c r="AO25" s="292" cm="1">
        <f t="array" ref="AO25">_xlfn.XLOOKUP(
   $B$4&amp;" "&amp;$B25,
   Actuals!$D:$D,
   _xlfn.XLOOKUP(
      AO$6,
      Actuals!$H$3:$BD$3,
      Actuals!$H:$BD
   )
)</f>
        <v>0</v>
      </c>
      <c r="AP25" s="292" cm="1">
        <f t="array" ref="AP25">_xlfn.XLOOKUP(
   $B$4&amp;" "&amp;$B25,
   Actuals!$D:$D,
   _xlfn.XLOOKUP(
      AP$6,
      Actuals!$H$3:$BD$3,
      Actuals!$H:$BD
   )
)</f>
        <v>0</v>
      </c>
      <c r="AQ25" s="292" cm="1">
        <f t="array" ref="AQ25">_xlfn.XLOOKUP(
   $B$4&amp;" "&amp;$B25,
   Actuals!$D:$D,
   _xlfn.XLOOKUP(
      AQ$6,
      Actuals!$H$3:$BD$3,
      Actuals!$H:$BD
   )
)</f>
        <v>0</v>
      </c>
      <c r="AR25" s="292" cm="1">
        <f t="array" ref="AR25">_xlfn.XLOOKUP(
   $B$4&amp;" "&amp;$B25,
   Actuals!$D:$D,
   _xlfn.XLOOKUP(
      AR$6,
      Actuals!$H$3:$BD$3,
      Actuals!$H:$BD
   )
)</f>
        <v>0</v>
      </c>
      <c r="AS25" s="292" cm="1">
        <f t="array" ref="AS25">_xlfn.XLOOKUP(
   $B$4&amp;" "&amp;$B25,
   Actuals!$D:$D,
   _xlfn.XLOOKUP(
      AS$6,
      Actuals!$H$3:$BD$3,
      Actuals!$H:$BD
   )
)</f>
        <v>0</v>
      </c>
      <c r="AT25" s="292" cm="1">
        <f t="array" ref="AT25">_xlfn.XLOOKUP(
   $B$4&amp;" "&amp;$B25,
   Actuals!$D:$D,
   _xlfn.XLOOKUP(
      AT$6,
      Actuals!$H$3:$BD$3,
      Actuals!$H:$BD
   )
)</f>
        <v>0</v>
      </c>
      <c r="AU25" s="292" cm="1">
        <f t="array" ref="AU25">_xlfn.XLOOKUP(
   $B$4&amp;" "&amp;$B25,
   Actuals!$D:$D,
   _xlfn.XLOOKUP(
      AU$6,
      Actuals!$H$3:$BD$3,
      Actuals!$H:$BD
   )
)</f>
        <v>0</v>
      </c>
      <c r="AV25" s="292" cm="1">
        <f t="array" ref="AV25">_xlfn.XLOOKUP(
   $B$4&amp;" "&amp;$B25,
   Actuals!$D:$D,
   _xlfn.XLOOKUP(
      AV$6,
      Actuals!$H$3:$BD$3,
      Actuals!$H:$BD
   )
)</f>
        <v>0</v>
      </c>
      <c r="AW25" s="292" cm="1">
        <f t="array" ref="AW25">_xlfn.XLOOKUP(
   $B$4&amp;" "&amp;$B25,
   Actuals!$D:$D,
   _xlfn.XLOOKUP(
      AW$6,
      Actuals!$H$3:$BD$3,
      Actuals!$H:$BD
   )
)</f>
        <v>0</v>
      </c>
      <c r="AX25" s="292" cm="1">
        <f t="array" ref="AX25">_xlfn.XLOOKUP(
   $B$4&amp;" "&amp;$B25,
   Actuals!$D:$D,
   _xlfn.XLOOKUP(
      AX$6,
      Actuals!$H$3:$BD$3,
      Actuals!$H:$BD
   )
)</f>
        <v>0</v>
      </c>
      <c r="AY25" s="292" cm="1">
        <f t="array" ref="AY25">_xlfn.XLOOKUP(
   $B$4&amp;" "&amp;$B25,
   Actuals!$D:$D,
   _xlfn.XLOOKUP(
      AY$6,
      Actuals!$H$3:$BD$3,
      Actuals!$H:$BD
   )
)</f>
        <v>0</v>
      </c>
      <c r="AZ25" s="292" cm="1">
        <f t="array" ref="AZ25">_xlfn.XLOOKUP(
   $B$4&amp;" "&amp;$B25,
   Actuals!$D:$D,
   _xlfn.XLOOKUP(
      AZ$6,
      Actuals!$H$3:$BD$3,
      Actuals!$H:$BD
   )
)</f>
        <v>0</v>
      </c>
      <c r="BA25" s="292"/>
      <c r="BB25" s="292" cm="1">
        <f t="array" ref="BB25">_xlfn.XLOOKUP(
   $B$4&amp;" "&amp;$B25,
   Actuals!$D:$D,
   _xlfn.XLOOKUP(
      BB$7,
      Actuals!$H$3:$BM$3,
      Actuals!$H:$BM
   )
)</f>
        <v>0</v>
      </c>
      <c r="BC25" s="292">
        <f>VLOOKUP($B$4&amp;" "&amp;$B25,Budget!$AG$4:$AL$132,$BB$5+1,FALSE)</f>
        <v>7.5</v>
      </c>
      <c r="BD25" s="292">
        <f t="shared" ref="BD25:BD39" si="33">BB25-BC25</f>
        <v>-7.5</v>
      </c>
      <c r="BE25" s="292"/>
      <c r="BF25" s="292" cm="1">
        <f t="array" ref="BF25">_xlfn.XLOOKUP(
   $B$4&amp;" "&amp;$B25,
   Actuals!$D:$D,
   _xlfn.XLOOKUP(
      BF$7,
      Actuals!$H$3:$BM$3,
      Actuals!$H:$BM
   )
)</f>
        <v>0</v>
      </c>
      <c r="BG25" s="292">
        <f>VLOOKUP($B$4&amp;" "&amp;$B25,Budget!$AG$4:$AL$132,BF$5+1,FALSE)</f>
        <v>7.5</v>
      </c>
      <c r="BH25" s="292">
        <f t="shared" ref="BH25:BH39" si="34">BF25-BG25</f>
        <v>-7.5</v>
      </c>
      <c r="BI25" s="292"/>
      <c r="BJ25" s="292" cm="1">
        <f t="array" ref="BJ25">_xlfn.XLOOKUP(
   $B$4&amp;" "&amp;$B25,
   Actuals!$D:$D,
   _xlfn.XLOOKUP(
      BJ$7,
      Actuals!$H$3:$BM$3,
      Actuals!$H:$BM
   )
)</f>
        <v>0</v>
      </c>
      <c r="BK25" s="292">
        <f>VLOOKUP($B$4&amp;" "&amp;$B25,Budget!$AG$4:$AL$132,BJ$5+1,FALSE)</f>
        <v>7.5</v>
      </c>
      <c r="BL25" s="292">
        <f t="shared" ref="BL25:BL39" si="35">BJ25-BK25</f>
        <v>-7.5</v>
      </c>
      <c r="BM25" s="292"/>
      <c r="BN25" s="292" cm="1">
        <f t="array" ref="BN25">_xlfn.XLOOKUP(
   $B$4&amp;" "&amp;$B25,
   Actuals!$D:$D,
   _xlfn.XLOOKUP(
      BN$7,
      Actuals!$H$3:$BM$3,
      Actuals!$H:$BM
   )
)</f>
        <v>0</v>
      </c>
      <c r="BO25" s="292">
        <f>VLOOKUP($B$4&amp;" "&amp;$B25,Budget!$AG$4:$AL$132,BN$5+1,FALSE)</f>
        <v>7.5</v>
      </c>
      <c r="BP25" s="292"/>
      <c r="BQ25" s="292"/>
      <c r="BR25" s="292" cm="1">
        <f t="array" aca="1" ref="BR25" ca="1">_xlfn.XLOOKUP(
   $B$4&amp;" "&amp;$B25,
   Actuals!$D:$D,
   _xlfn.XLOOKUP(
      BR$6,
      Actuals!$H$3:$BM$3,
      Actuals!$H:$BM
   )
)</f>
        <v>0</v>
      </c>
      <c r="BS25" s="292">
        <f ca="1">VLOOKUP($B$4&amp;" "&amp;$B25,Budget!$AG$4:$AL$132,6,FALSE)</f>
        <v>30</v>
      </c>
      <c r="BT25" s="292">
        <f t="shared" ref="BT25:BT39" ca="1" si="36">BR25-BS25</f>
        <v>-30</v>
      </c>
      <c r="BU25" s="292"/>
      <c r="BV25" s="292" cm="1">
        <f t="array" ref="BV25">_xlfn.XLOOKUP(
   $B$4&amp;" "&amp;$B25,
   Actuals!$D:$D,
   _xlfn.XLOOKUP(
      BV$6,
      Actuals!$H$3:$BM$3,
      Actuals!$H:$BM
   )
)</f>
        <v>4</v>
      </c>
    </row>
    <row r="26" spans="2:74">
      <c r="B26" s="26" t="s">
        <v>119</v>
      </c>
      <c r="C26" s="139" t="s">
        <v>49</v>
      </c>
      <c r="D26" s="171" t="str">
        <f>VLOOKUP($B$4&amp;" "&amp;$B26,Actuals!$D$4:$AG$131,3,FALSE)</f>
        <v>#</v>
      </c>
      <c r="E26" s="168" cm="1">
        <f t="array" ref="E26">_xlfn.XLOOKUP(
   $B$4&amp;" "&amp;$B26,
   Actuals!$D:$D,
   _xlfn.XLOOKUP(
      E$6,
      Actuals!$H$3:$BD$3,
      Actuals!$H:$BD
   )
)</f>
        <v>0</v>
      </c>
      <c r="F26" s="168" cm="1">
        <f t="array" ref="F26">_xlfn.XLOOKUP(
   $B$4&amp;" "&amp;$B26,
   Actuals!$D:$D,
   _xlfn.XLOOKUP(
      F$6,
      Actuals!$H$3:$BD$3,
      Actuals!$H:$BD
   )
)</f>
        <v>0</v>
      </c>
      <c r="G26" s="168" cm="1">
        <f t="array" ref="G26">_xlfn.XLOOKUP(
   $B$4&amp;" "&amp;$B26,
   Actuals!$D:$D,
   _xlfn.XLOOKUP(
      G$6,
      Actuals!$H$3:$BD$3,
      Actuals!$H:$BD
   )
)</f>
        <v>0</v>
      </c>
      <c r="H26" s="168" cm="1">
        <f t="array" ref="H26">_xlfn.XLOOKUP(
   $B$4&amp;" "&amp;$B26,
   Actuals!$D:$D,
   _xlfn.XLOOKUP(
      H$6,
      Actuals!$H$3:$BD$3,
      Actuals!$H:$BD
   )
)</f>
        <v>0</v>
      </c>
      <c r="I26" s="168" cm="1">
        <f t="array" ref="I26">_xlfn.XLOOKUP(
   $B$4&amp;" "&amp;$B26,
   Actuals!$D:$D,
   _xlfn.XLOOKUP(
      I$6,
      Actuals!$H$3:$BD$3,
      Actuals!$H:$BD
   )
)</f>
        <v>0</v>
      </c>
      <c r="J26" s="168" cm="1">
        <f t="array" ref="J26">_xlfn.XLOOKUP(
   $B$4&amp;" "&amp;$B26,
   Actuals!$D:$D,
   _xlfn.XLOOKUP(
      J$6,
      Actuals!$H$3:$BD$3,
      Actuals!$H:$BD
   )
)</f>
        <v>0</v>
      </c>
      <c r="K26" s="168" cm="1">
        <f t="array" ref="K26">_xlfn.XLOOKUP(
   $B$4&amp;" "&amp;$B26,
   Actuals!$D:$D,
   _xlfn.XLOOKUP(
      K$6,
      Actuals!$H$3:$BD$3,
      Actuals!$H:$BD
   )
)</f>
        <v>0</v>
      </c>
      <c r="L26" s="168" cm="1">
        <f t="array" ref="L26">_xlfn.XLOOKUP(
   $B$4&amp;" "&amp;$B26,
   Actuals!$D:$D,
   _xlfn.XLOOKUP(
      L$6,
      Actuals!$H$3:$BD$3,
      Actuals!$H:$BD
   )
)</f>
        <v>0</v>
      </c>
      <c r="M26" s="168" cm="1">
        <f t="array" ref="M26">_xlfn.XLOOKUP(
   $B$4&amp;" "&amp;$B26,
   Actuals!$D:$D,
   _xlfn.XLOOKUP(
      M$6,
      Actuals!$H$3:$BD$3,
      Actuals!$H:$BD
   )
)</f>
        <v>0</v>
      </c>
      <c r="N26" s="168" cm="1">
        <f t="array" ref="N26">_xlfn.XLOOKUP(
   $B$4&amp;" "&amp;$B26,
   Actuals!$D:$D,
   _xlfn.XLOOKUP(
      N$6,
      Actuals!$H$3:$BD$3,
      Actuals!$H:$BD
   )
)</f>
        <v>0</v>
      </c>
      <c r="O26" s="292" cm="1">
        <f t="array" ref="O26">_xlfn.XLOOKUP(
   $B$4&amp;" "&amp;$B26,
   Actuals!$D:$D,
   _xlfn.XLOOKUP(
      O$6,
      Actuals!$H$3:$BD$3,
      Actuals!$H:$BD
   )
)</f>
        <v>0</v>
      </c>
      <c r="P26" s="292" cm="1">
        <f t="array" ref="P26">_xlfn.XLOOKUP(
   $B$4&amp;" "&amp;$B26,
   Actuals!$D:$D,
   _xlfn.XLOOKUP(
      P$6,
      Actuals!$H$3:$BD$3,
      Actuals!$H:$BD
   )
)</f>
        <v>0</v>
      </c>
      <c r="Q26" s="292" cm="1">
        <f t="array" ref="Q26">_xlfn.XLOOKUP(
   $B$4&amp;" "&amp;$B26,
   Actuals!$D:$D,
   _xlfn.XLOOKUP(
      Q$6,
      Actuals!$H$3:$BD$3,
      Actuals!$H:$BD
   )
)</f>
        <v>0</v>
      </c>
      <c r="R26" s="292" cm="1">
        <f t="array" ref="R26">_xlfn.XLOOKUP(
   $B$4&amp;" "&amp;$B26,
   Actuals!$D:$D,
   _xlfn.XLOOKUP(
      R$6,
      Actuals!$H$3:$BD$3,
      Actuals!$H:$BD
   )
)</f>
        <v>0</v>
      </c>
      <c r="S26" s="292" cm="1">
        <f t="array" ref="S26">_xlfn.XLOOKUP(
   $B$4&amp;" "&amp;$B26,
   Actuals!$D:$D,
   _xlfn.XLOOKUP(
      S$6,
      Actuals!$H$3:$BD$3,
      Actuals!$H:$BD
   )
)</f>
        <v>0</v>
      </c>
      <c r="T26" s="292" cm="1">
        <f t="array" ref="T26">_xlfn.XLOOKUP(
   $B$4&amp;" "&amp;$B26,
   Actuals!$D:$D,
   _xlfn.XLOOKUP(
      T$6,
      Actuals!$H$3:$BD$3,
      Actuals!$H:$BD
   )
)</f>
        <v>0</v>
      </c>
      <c r="U26" s="292" cm="1">
        <f t="array" ref="U26">_xlfn.XLOOKUP(
   $B$4&amp;" "&amp;$B26,
   Actuals!$D:$D,
   _xlfn.XLOOKUP(
      U$6,
      Actuals!$H$3:$BD$3,
      Actuals!$H:$BD
   )
)</f>
        <v>0</v>
      </c>
      <c r="V26" s="292" cm="1">
        <f t="array" ref="V26">_xlfn.XLOOKUP(
   $B$4&amp;" "&amp;$B26,
   Actuals!$D:$D,
   _xlfn.XLOOKUP(
      V$6,
      Actuals!$H$3:$BD$3,
      Actuals!$H:$BD
   )
)</f>
        <v>0</v>
      </c>
      <c r="W26" s="292" cm="1">
        <f t="array" ref="W26">_xlfn.XLOOKUP(
   $B$4&amp;" "&amp;$B26,
   Actuals!$D:$D,
   _xlfn.XLOOKUP(
      W$6,
      Actuals!$H$3:$BD$3,
      Actuals!$H:$BD
   )
)</f>
        <v>0</v>
      </c>
      <c r="X26" s="292" cm="1">
        <f t="array" ref="X26">_xlfn.XLOOKUP(
   $B$4&amp;" "&amp;$B26,
   Actuals!$D:$D,
   _xlfn.XLOOKUP(
      X$6,
      Actuals!$H$3:$BD$3,
      Actuals!$H:$BD
   )
)</f>
        <v>0</v>
      </c>
      <c r="Y26" s="292" cm="1">
        <f t="array" ref="Y26">_xlfn.XLOOKUP(
   $B$4&amp;" "&amp;$B26,
   Actuals!$D:$D,
   _xlfn.XLOOKUP(
      Y$6,
      Actuals!$H$3:$BD$3,
      Actuals!$H:$BD
   )
)</f>
        <v>0</v>
      </c>
      <c r="Z26" s="292" cm="1">
        <f t="array" ref="Z26">_xlfn.XLOOKUP(
   $B$4&amp;" "&amp;$B26,
   Actuals!$D:$D,
   _xlfn.XLOOKUP(
      Z$6,
      Actuals!$H$3:$BD$3,
      Actuals!$H:$BD
   )
)</f>
        <v>0</v>
      </c>
      <c r="AA26" s="292" cm="1">
        <f t="array" ref="AA26">_xlfn.XLOOKUP(
   $B$4&amp;" "&amp;$B26,
   Actuals!$D:$D,
   _xlfn.XLOOKUP(
      AA$6,
      Actuals!$H$3:$BD$3,
      Actuals!$H:$BD
   )
)</f>
        <v>0</v>
      </c>
      <c r="AB26" s="292" cm="1">
        <f t="array" ref="AB26">_xlfn.XLOOKUP(
   $B$4&amp;" "&amp;$B26,
   Actuals!$D:$D,
   _xlfn.XLOOKUP(
      AB$6,
      Actuals!$H$3:$BD$3,
      Actuals!$H:$BD
   )
)</f>
        <v>0</v>
      </c>
      <c r="AC26" s="292" cm="1">
        <f t="array" ref="AC26">_xlfn.XLOOKUP(
   $B$4&amp;" "&amp;$B26,
   Actuals!$D:$D,
   _xlfn.XLOOKUP(
      AC$6,
      Actuals!$H$3:$BD$3,
      Actuals!$H:$BD
   )
)</f>
        <v>0</v>
      </c>
      <c r="AD26" s="292" cm="1">
        <f t="array" ref="AD26">_xlfn.XLOOKUP(
   $B$4&amp;" "&amp;$B26,
   Actuals!$D:$D,
   _xlfn.XLOOKUP(
      AD$6,
      Actuals!$H$3:$BD$3,
      Actuals!$H:$BD
   )
)</f>
        <v>0</v>
      </c>
      <c r="AE26" s="292" cm="1">
        <f t="array" ref="AE26">_xlfn.XLOOKUP(
   $B$4&amp;" "&amp;$B26,
   Actuals!$D:$D,
   _xlfn.XLOOKUP(
      AE$6,
      Actuals!$H$3:$BD$3,
      Actuals!$H:$BD
   )
)</f>
        <v>0</v>
      </c>
      <c r="AF26" s="292" cm="1">
        <f t="array" ref="AF26">_xlfn.XLOOKUP(
   $B$4&amp;" "&amp;$B26,
   Actuals!$D:$D,
   _xlfn.XLOOKUP(
      AF$6,
      Actuals!$H$3:$BD$3,
      Actuals!$H:$BD
   )
)</f>
        <v>0</v>
      </c>
      <c r="AG26" s="292" cm="1">
        <f t="array" ref="AG26">_xlfn.XLOOKUP(
   $B$4&amp;" "&amp;$B26,
   Actuals!$D:$D,
   _xlfn.XLOOKUP(
      AG$6,
      Actuals!$H$3:$BD$3,
      Actuals!$H:$BD
   )
)</f>
        <v>0</v>
      </c>
      <c r="AH26" s="292" cm="1">
        <f t="array" ref="AH26">_xlfn.XLOOKUP(
   $B$4&amp;" "&amp;$B26,
   Actuals!$D:$D,
   _xlfn.XLOOKUP(
      AH$6,
      Actuals!$H$3:$BD$3,
      Actuals!$H:$BD
   )
)</f>
        <v>0</v>
      </c>
      <c r="AI26" s="292" cm="1">
        <f t="array" ref="AI26">_xlfn.XLOOKUP(
   $B$4&amp;" "&amp;$B26,
   Actuals!$D:$D,
   _xlfn.XLOOKUP(
      AI$6,
      Actuals!$H$3:$BD$3,
      Actuals!$H:$BD
   )
)</f>
        <v>0</v>
      </c>
      <c r="AJ26" s="292" cm="1">
        <f t="array" ref="AJ26">_xlfn.XLOOKUP(
   $B$4&amp;" "&amp;$B26,
   Actuals!$D:$D,
   _xlfn.XLOOKUP(
      AJ$6,
      Actuals!$H$3:$BD$3,
      Actuals!$H:$BD
   )
)</f>
        <v>2</v>
      </c>
      <c r="AK26" s="292" cm="1">
        <f t="array" ref="AK26">_xlfn.XLOOKUP(
   $B$4&amp;" "&amp;$B26,
   Actuals!$D:$D,
   _xlfn.XLOOKUP(
      AK$6,
      Actuals!$H$3:$BD$3,
      Actuals!$H:$BD
   )
)</f>
        <v>1</v>
      </c>
      <c r="AL26" s="292" cm="1">
        <f t="array" ref="AL26">_xlfn.XLOOKUP(
   $B$4&amp;" "&amp;$B26,
   Actuals!$D:$D,
   _xlfn.XLOOKUP(
      AL$6,
      Actuals!$H$3:$BD$3,
      Actuals!$H:$BD
   )
)</f>
        <v>0</v>
      </c>
      <c r="AM26" s="292" cm="1">
        <f t="array" ref="AM26">_xlfn.XLOOKUP(
   $B$4&amp;" "&amp;$B26,
   Actuals!$D:$D,
   _xlfn.XLOOKUP(
      AM$6,
      Actuals!$H$3:$BD$3,
      Actuals!$H:$BD
   )
)</f>
        <v>2</v>
      </c>
      <c r="AN26" s="292" cm="1">
        <f t="array" ref="AN26">_xlfn.XLOOKUP(
   $B$4&amp;" "&amp;$B26,
   Actuals!$D:$D,
   _xlfn.XLOOKUP(
      AN$6,
      Actuals!$H$3:$BD$3,
      Actuals!$H:$BD
   )
)</f>
        <v>0</v>
      </c>
      <c r="AO26" s="292" cm="1">
        <f t="array" ref="AO26">_xlfn.XLOOKUP(
   $B$4&amp;" "&amp;$B26,
   Actuals!$D:$D,
   _xlfn.XLOOKUP(
      AO$6,
      Actuals!$H$3:$BD$3,
      Actuals!$H:$BD
   )
)</f>
        <v>0</v>
      </c>
      <c r="AP26" s="292" cm="1">
        <f t="array" ref="AP26">_xlfn.XLOOKUP(
   $B$4&amp;" "&amp;$B26,
   Actuals!$D:$D,
   _xlfn.XLOOKUP(
      AP$6,
      Actuals!$H$3:$BD$3,
      Actuals!$H:$BD
   )
)</f>
        <v>0</v>
      </c>
      <c r="AQ26" s="292" cm="1">
        <f t="array" ref="AQ26">_xlfn.XLOOKUP(
   $B$4&amp;" "&amp;$B26,
   Actuals!$D:$D,
   _xlfn.XLOOKUP(
      AQ$6,
      Actuals!$H$3:$BD$3,
      Actuals!$H:$BD
   )
)</f>
        <v>0</v>
      </c>
      <c r="AR26" s="292" cm="1">
        <f t="array" ref="AR26">_xlfn.XLOOKUP(
   $B$4&amp;" "&amp;$B26,
   Actuals!$D:$D,
   _xlfn.XLOOKUP(
      AR$6,
      Actuals!$H$3:$BD$3,
      Actuals!$H:$BD
   )
)</f>
        <v>0</v>
      </c>
      <c r="AS26" s="292" cm="1">
        <f t="array" ref="AS26">_xlfn.XLOOKUP(
   $B$4&amp;" "&amp;$B26,
   Actuals!$D:$D,
   _xlfn.XLOOKUP(
      AS$6,
      Actuals!$H$3:$BD$3,
      Actuals!$H:$BD
   )
)</f>
        <v>0</v>
      </c>
      <c r="AT26" s="292" cm="1">
        <f t="array" ref="AT26">_xlfn.XLOOKUP(
   $B$4&amp;" "&amp;$B26,
   Actuals!$D:$D,
   _xlfn.XLOOKUP(
      AT$6,
      Actuals!$H$3:$BD$3,
      Actuals!$H:$BD
   )
)</f>
        <v>0</v>
      </c>
      <c r="AU26" s="292" cm="1">
        <f t="array" ref="AU26">_xlfn.XLOOKUP(
   $B$4&amp;" "&amp;$B26,
   Actuals!$D:$D,
   _xlfn.XLOOKUP(
      AU$6,
      Actuals!$H$3:$BD$3,
      Actuals!$H:$BD
   )
)</f>
        <v>0</v>
      </c>
      <c r="AV26" s="292" cm="1">
        <f t="array" ref="AV26">_xlfn.XLOOKUP(
   $B$4&amp;" "&amp;$B26,
   Actuals!$D:$D,
   _xlfn.XLOOKUP(
      AV$6,
      Actuals!$H$3:$BD$3,
      Actuals!$H:$BD
   )
)</f>
        <v>0</v>
      </c>
      <c r="AW26" s="292" cm="1">
        <f t="array" ref="AW26">_xlfn.XLOOKUP(
   $B$4&amp;" "&amp;$B26,
   Actuals!$D:$D,
   _xlfn.XLOOKUP(
      AW$6,
      Actuals!$H$3:$BD$3,
      Actuals!$H:$BD
   )
)</f>
        <v>0</v>
      </c>
      <c r="AX26" s="292" cm="1">
        <f t="array" ref="AX26">_xlfn.XLOOKUP(
   $B$4&amp;" "&amp;$B26,
   Actuals!$D:$D,
   _xlfn.XLOOKUP(
      AX$6,
      Actuals!$H$3:$BD$3,
      Actuals!$H:$BD
   )
)</f>
        <v>0</v>
      </c>
      <c r="AY26" s="292" cm="1">
        <f t="array" ref="AY26">_xlfn.XLOOKUP(
   $B$4&amp;" "&amp;$B26,
   Actuals!$D:$D,
   _xlfn.XLOOKUP(
      AY$6,
      Actuals!$H$3:$BD$3,
      Actuals!$H:$BD
   )
)</f>
        <v>0</v>
      </c>
      <c r="AZ26" s="292" cm="1">
        <f t="array" ref="AZ26">_xlfn.XLOOKUP(
   $B$4&amp;" "&amp;$B26,
   Actuals!$D:$D,
   _xlfn.XLOOKUP(
      AZ$6,
      Actuals!$H$3:$BD$3,
      Actuals!$H:$BD
   )
)</f>
        <v>0</v>
      </c>
      <c r="BA26" s="292"/>
      <c r="BB26" s="292" cm="1">
        <f t="array" ref="BB26">_xlfn.XLOOKUP(
   $B$4&amp;" "&amp;$B26,
   Actuals!$D:$D,
   _xlfn.XLOOKUP(
      BB$7,
      Actuals!$H$3:$BM$3,
      Actuals!$H:$BM
   )
)</f>
        <v>0</v>
      </c>
      <c r="BC26" s="292">
        <f>VLOOKUP($B$4&amp;" "&amp;$B26,Budget!$AG$4:$AL$132,$BB$5+1,FALSE)</f>
        <v>7.5</v>
      </c>
      <c r="BD26" s="292">
        <f t="shared" si="33"/>
        <v>-7.5</v>
      </c>
      <c r="BE26" s="292"/>
      <c r="BF26" s="292" cm="1">
        <f t="array" ref="BF26">_xlfn.XLOOKUP(
   $B$4&amp;" "&amp;$B26,
   Actuals!$D:$D,
   _xlfn.XLOOKUP(
      BF$7,
      Actuals!$H$3:$BM$3,
      Actuals!$H:$BM
   )
)</f>
        <v>0</v>
      </c>
      <c r="BG26" s="292">
        <f>VLOOKUP($B$4&amp;" "&amp;$B26,Budget!$AG$4:$AL$132,BF$5+1,FALSE)</f>
        <v>7.5</v>
      </c>
      <c r="BH26" s="292">
        <f t="shared" si="34"/>
        <v>-7.5</v>
      </c>
      <c r="BI26" s="292"/>
      <c r="BJ26" s="292" cm="1">
        <f t="array" ref="BJ26">_xlfn.XLOOKUP(
   $B$4&amp;" "&amp;$B26,
   Actuals!$D:$D,
   _xlfn.XLOOKUP(
      BJ$7,
      Actuals!$H$3:$BM$3,
      Actuals!$H:$BM
   )
)</f>
        <v>0</v>
      </c>
      <c r="BK26" s="292">
        <f>VLOOKUP($B$4&amp;" "&amp;$B26,Budget!$AG$4:$AL$132,BJ$5+1,FALSE)</f>
        <v>7.5</v>
      </c>
      <c r="BL26" s="292">
        <f t="shared" si="35"/>
        <v>-7.5</v>
      </c>
      <c r="BM26" s="292"/>
      <c r="BN26" s="292" cm="1">
        <f t="array" ref="BN26">_xlfn.XLOOKUP(
   $B$4&amp;" "&amp;$B26,
   Actuals!$D:$D,
   _xlfn.XLOOKUP(
      BN$7,
      Actuals!$H$3:$BM$3,
      Actuals!$H:$BM
   )
)</f>
        <v>0</v>
      </c>
      <c r="BO26" s="292">
        <f>VLOOKUP($B$4&amp;" "&amp;$B26,Budget!$AG$4:$AL$132,BN$5+1,FALSE)</f>
        <v>7.5</v>
      </c>
      <c r="BP26" s="292"/>
      <c r="BQ26" s="292"/>
      <c r="BR26" s="292" cm="1">
        <f t="array" aca="1" ref="BR26" ca="1">_xlfn.XLOOKUP(
   $B$4&amp;" "&amp;$B26,
   Actuals!$D:$D,
   _xlfn.XLOOKUP(
      BR$6,
      Actuals!$H$3:$BM$3,
      Actuals!$H:$BM
   )
)</f>
        <v>0</v>
      </c>
      <c r="BS26" s="292">
        <f ca="1">VLOOKUP($B$4&amp;" "&amp;$B26,Budget!$AG$4:$AL$132,6,FALSE)</f>
        <v>30</v>
      </c>
      <c r="BT26" s="292">
        <f t="shared" ca="1" si="36"/>
        <v>-30</v>
      </c>
      <c r="BU26" s="292"/>
      <c r="BV26" s="292" cm="1">
        <f t="array" ref="BV26">_xlfn.XLOOKUP(
   $B$4&amp;" "&amp;$B26,
   Actuals!$D:$D,
   _xlfn.XLOOKUP(
      BV$6,
      Actuals!$H$3:$BM$3,
      Actuals!$H:$BM
   )
)</f>
        <v>5</v>
      </c>
    </row>
    <row r="27" spans="2:74">
      <c r="B27" s="26" t="s">
        <v>120</v>
      </c>
      <c r="C27" s="139" t="s">
        <v>49</v>
      </c>
      <c r="D27" s="171" t="str">
        <f>VLOOKUP($B$4&amp;" "&amp;$B27,Actuals!$D$4:$AG$131,3,FALSE)</f>
        <v>#</v>
      </c>
      <c r="E27" s="168" cm="1">
        <f t="array" ref="E27">_xlfn.XLOOKUP(
   $B$4&amp;" "&amp;$B27,
   Actuals!$D:$D,
   _xlfn.XLOOKUP(
      E$6,
      Actuals!$H$3:$BD$3,
      Actuals!$H:$BD
   )
)</f>
        <v>0</v>
      </c>
      <c r="F27" s="168" cm="1">
        <f t="array" ref="F27">_xlfn.XLOOKUP(
   $B$4&amp;" "&amp;$B27,
   Actuals!$D:$D,
   _xlfn.XLOOKUP(
      F$6,
      Actuals!$H$3:$BD$3,
      Actuals!$H:$BD
   )
)</f>
        <v>0</v>
      </c>
      <c r="G27" s="168" cm="1">
        <f t="array" ref="G27">_xlfn.XLOOKUP(
   $B$4&amp;" "&amp;$B27,
   Actuals!$D:$D,
   _xlfn.XLOOKUP(
      G$6,
      Actuals!$H$3:$BD$3,
      Actuals!$H:$BD
   )
)</f>
        <v>0</v>
      </c>
      <c r="H27" s="168" cm="1">
        <f t="array" ref="H27">_xlfn.XLOOKUP(
   $B$4&amp;" "&amp;$B27,
   Actuals!$D:$D,
   _xlfn.XLOOKUP(
      H$6,
      Actuals!$H$3:$BD$3,
      Actuals!$H:$BD
   )
)</f>
        <v>0</v>
      </c>
      <c r="I27" s="168" cm="1">
        <f t="array" ref="I27">_xlfn.XLOOKUP(
   $B$4&amp;" "&amp;$B27,
   Actuals!$D:$D,
   _xlfn.XLOOKUP(
      I$6,
      Actuals!$H$3:$BD$3,
      Actuals!$H:$BD
   )
)</f>
        <v>0</v>
      </c>
      <c r="J27" s="168" cm="1">
        <f t="array" ref="J27">_xlfn.XLOOKUP(
   $B$4&amp;" "&amp;$B27,
   Actuals!$D:$D,
   _xlfn.XLOOKUP(
      J$6,
      Actuals!$H$3:$BD$3,
      Actuals!$H:$BD
   )
)</f>
        <v>0</v>
      </c>
      <c r="K27" s="168" cm="1">
        <f t="array" ref="K27">_xlfn.XLOOKUP(
   $B$4&amp;" "&amp;$B27,
   Actuals!$D:$D,
   _xlfn.XLOOKUP(
      K$6,
      Actuals!$H$3:$BD$3,
      Actuals!$H:$BD
   )
)</f>
        <v>0</v>
      </c>
      <c r="L27" s="168" cm="1">
        <f t="array" ref="L27">_xlfn.XLOOKUP(
   $B$4&amp;" "&amp;$B27,
   Actuals!$D:$D,
   _xlfn.XLOOKUP(
      L$6,
      Actuals!$H$3:$BD$3,
      Actuals!$H:$BD
   )
)</f>
        <v>0</v>
      </c>
      <c r="M27" s="168" cm="1">
        <f t="array" ref="M27">_xlfn.XLOOKUP(
   $B$4&amp;" "&amp;$B27,
   Actuals!$D:$D,
   _xlfn.XLOOKUP(
      M$6,
      Actuals!$H$3:$BD$3,
      Actuals!$H:$BD
   )
)</f>
        <v>0</v>
      </c>
      <c r="N27" s="168" cm="1">
        <f t="array" ref="N27">_xlfn.XLOOKUP(
   $B$4&amp;" "&amp;$B27,
   Actuals!$D:$D,
   _xlfn.XLOOKUP(
      N$6,
      Actuals!$H$3:$BD$3,
      Actuals!$H:$BD
   )
)</f>
        <v>0</v>
      </c>
      <c r="O27" s="292" cm="1">
        <f t="array" ref="O27">_xlfn.XLOOKUP(
   $B$4&amp;" "&amp;$B27,
   Actuals!$D:$D,
   _xlfn.XLOOKUP(
      O$6,
      Actuals!$H$3:$BD$3,
      Actuals!$H:$BD
   )
)</f>
        <v>0</v>
      </c>
      <c r="P27" s="292" cm="1">
        <f t="array" ref="P27">_xlfn.XLOOKUP(
   $B$4&amp;" "&amp;$B27,
   Actuals!$D:$D,
   _xlfn.XLOOKUP(
      P$6,
      Actuals!$H$3:$BD$3,
      Actuals!$H:$BD
   )
)</f>
        <v>0</v>
      </c>
      <c r="Q27" s="292" cm="1">
        <f t="array" ref="Q27">_xlfn.XLOOKUP(
   $B$4&amp;" "&amp;$B27,
   Actuals!$D:$D,
   _xlfn.XLOOKUP(
      Q$6,
      Actuals!$H$3:$BD$3,
      Actuals!$H:$BD
   )
)</f>
        <v>0</v>
      </c>
      <c r="R27" s="292" cm="1">
        <f t="array" ref="R27">_xlfn.XLOOKUP(
   $B$4&amp;" "&amp;$B27,
   Actuals!$D:$D,
   _xlfn.XLOOKUP(
      R$6,
      Actuals!$H$3:$BD$3,
      Actuals!$H:$BD
   )
)</f>
        <v>0</v>
      </c>
      <c r="S27" s="292" cm="1">
        <f t="array" ref="S27">_xlfn.XLOOKUP(
   $B$4&amp;" "&amp;$B27,
   Actuals!$D:$D,
   _xlfn.XLOOKUP(
      S$6,
      Actuals!$H$3:$BD$3,
      Actuals!$H:$BD
   )
)</f>
        <v>0</v>
      </c>
      <c r="T27" s="292" cm="1">
        <f t="array" ref="T27">_xlfn.XLOOKUP(
   $B$4&amp;" "&amp;$B27,
   Actuals!$D:$D,
   _xlfn.XLOOKUP(
      T$6,
      Actuals!$H$3:$BD$3,
      Actuals!$H:$BD
   )
)</f>
        <v>0</v>
      </c>
      <c r="U27" s="292" cm="1">
        <f t="array" ref="U27">_xlfn.XLOOKUP(
   $B$4&amp;" "&amp;$B27,
   Actuals!$D:$D,
   _xlfn.XLOOKUP(
      U$6,
      Actuals!$H$3:$BD$3,
      Actuals!$H:$BD
   )
)</f>
        <v>0</v>
      </c>
      <c r="V27" s="292" cm="1">
        <f t="array" ref="V27">_xlfn.XLOOKUP(
   $B$4&amp;" "&amp;$B27,
   Actuals!$D:$D,
   _xlfn.XLOOKUP(
      V$6,
      Actuals!$H$3:$BD$3,
      Actuals!$H:$BD
   )
)</f>
        <v>0</v>
      </c>
      <c r="W27" s="292" cm="1">
        <f t="array" ref="W27">_xlfn.XLOOKUP(
   $B$4&amp;" "&amp;$B27,
   Actuals!$D:$D,
   _xlfn.XLOOKUP(
      W$6,
      Actuals!$H$3:$BD$3,
      Actuals!$H:$BD
   )
)</f>
        <v>0</v>
      </c>
      <c r="X27" s="292" cm="1">
        <f t="array" ref="X27">_xlfn.XLOOKUP(
   $B$4&amp;" "&amp;$B27,
   Actuals!$D:$D,
   _xlfn.XLOOKUP(
      X$6,
      Actuals!$H$3:$BD$3,
      Actuals!$H:$BD
   )
)</f>
        <v>0</v>
      </c>
      <c r="Y27" s="292" cm="1">
        <f t="array" ref="Y27">_xlfn.XLOOKUP(
   $B$4&amp;" "&amp;$B27,
   Actuals!$D:$D,
   _xlfn.XLOOKUP(
      Y$6,
      Actuals!$H$3:$BD$3,
      Actuals!$H:$BD
   )
)</f>
        <v>0</v>
      </c>
      <c r="Z27" s="292" cm="1">
        <f t="array" ref="Z27">_xlfn.XLOOKUP(
   $B$4&amp;" "&amp;$B27,
   Actuals!$D:$D,
   _xlfn.XLOOKUP(
      Z$6,
      Actuals!$H$3:$BD$3,
      Actuals!$H:$BD
   )
)</f>
        <v>0</v>
      </c>
      <c r="AA27" s="292" cm="1">
        <f t="array" ref="AA27">_xlfn.XLOOKUP(
   $B$4&amp;" "&amp;$B27,
   Actuals!$D:$D,
   _xlfn.XLOOKUP(
      AA$6,
      Actuals!$H$3:$BD$3,
      Actuals!$H:$BD
   )
)</f>
        <v>0</v>
      </c>
      <c r="AB27" s="292" cm="1">
        <f t="array" ref="AB27">_xlfn.XLOOKUP(
   $B$4&amp;" "&amp;$B27,
   Actuals!$D:$D,
   _xlfn.XLOOKUP(
      AB$6,
      Actuals!$H$3:$BD$3,
      Actuals!$H:$BD
   )
)</f>
        <v>0</v>
      </c>
      <c r="AC27" s="292" cm="1">
        <f t="array" ref="AC27">_xlfn.XLOOKUP(
   $B$4&amp;" "&amp;$B27,
   Actuals!$D:$D,
   _xlfn.XLOOKUP(
      AC$6,
      Actuals!$H$3:$BD$3,
      Actuals!$H:$BD
   )
)</f>
        <v>0</v>
      </c>
      <c r="AD27" s="292" cm="1">
        <f t="array" ref="AD27">_xlfn.XLOOKUP(
   $B$4&amp;" "&amp;$B27,
   Actuals!$D:$D,
   _xlfn.XLOOKUP(
      AD$6,
      Actuals!$H$3:$BD$3,
      Actuals!$H:$BD
   )
)</f>
        <v>1</v>
      </c>
      <c r="AE27" s="292" cm="1">
        <f t="array" ref="AE27">_xlfn.XLOOKUP(
   $B$4&amp;" "&amp;$B27,
   Actuals!$D:$D,
   _xlfn.XLOOKUP(
      AE$6,
      Actuals!$H$3:$BD$3,
      Actuals!$H:$BD
   )
)</f>
        <v>2</v>
      </c>
      <c r="AF27" s="292" cm="1">
        <f t="array" ref="AF27">_xlfn.XLOOKUP(
   $B$4&amp;" "&amp;$B27,
   Actuals!$D:$D,
   _xlfn.XLOOKUP(
      AF$6,
      Actuals!$H$3:$BD$3,
      Actuals!$H:$BD
   )
)</f>
        <v>1</v>
      </c>
      <c r="AG27" s="292" cm="1">
        <f t="array" ref="AG27">_xlfn.XLOOKUP(
   $B$4&amp;" "&amp;$B27,
   Actuals!$D:$D,
   _xlfn.XLOOKUP(
      AG$6,
      Actuals!$H$3:$BD$3,
      Actuals!$H:$BD
   )
)</f>
        <v>3</v>
      </c>
      <c r="AH27" s="292" cm="1">
        <f t="array" ref="AH27">_xlfn.XLOOKUP(
   $B$4&amp;" "&amp;$B27,
   Actuals!$D:$D,
   _xlfn.XLOOKUP(
      AH$6,
      Actuals!$H$3:$BD$3,
      Actuals!$H:$BD
   )
)</f>
        <v>12</v>
      </c>
      <c r="AI27" s="292" cm="1">
        <f t="array" ref="AI27">_xlfn.XLOOKUP(
   $B$4&amp;" "&amp;$B27,
   Actuals!$D:$D,
   _xlfn.XLOOKUP(
      AI$6,
      Actuals!$H$3:$BD$3,
      Actuals!$H:$BD
   )
)</f>
        <v>0</v>
      </c>
      <c r="AJ27" s="292" cm="1">
        <f t="array" ref="AJ27">_xlfn.XLOOKUP(
   $B$4&amp;" "&amp;$B27,
   Actuals!$D:$D,
   _xlfn.XLOOKUP(
      AJ$6,
      Actuals!$H$3:$BD$3,
      Actuals!$H:$BD
   )
)</f>
        <v>0</v>
      </c>
      <c r="AK27" s="292" cm="1">
        <f t="array" ref="AK27">_xlfn.XLOOKUP(
   $B$4&amp;" "&amp;$B27,
   Actuals!$D:$D,
   _xlfn.XLOOKUP(
      AK$6,
      Actuals!$H$3:$BD$3,
      Actuals!$H:$BD
   )
)</f>
        <v>0</v>
      </c>
      <c r="AL27" s="292" cm="1">
        <f t="array" ref="AL27">_xlfn.XLOOKUP(
   $B$4&amp;" "&amp;$B27,
   Actuals!$D:$D,
   _xlfn.XLOOKUP(
      AL$6,
      Actuals!$H$3:$BD$3,
      Actuals!$H:$BD
   )
)</f>
        <v>0</v>
      </c>
      <c r="AM27" s="292" cm="1">
        <f t="array" ref="AM27">_xlfn.XLOOKUP(
   $B$4&amp;" "&amp;$B27,
   Actuals!$D:$D,
   _xlfn.XLOOKUP(
      AM$6,
      Actuals!$H$3:$BD$3,
      Actuals!$H:$BD
   )
)</f>
        <v>4</v>
      </c>
      <c r="AN27" s="292" cm="1">
        <f t="array" ref="AN27">_xlfn.XLOOKUP(
   $B$4&amp;" "&amp;$B27,
   Actuals!$D:$D,
   _xlfn.XLOOKUP(
      AN$6,
      Actuals!$H$3:$BD$3,
      Actuals!$H:$BD
   )
)</f>
        <v>3</v>
      </c>
      <c r="AO27" s="292" cm="1">
        <f t="array" ref="AO27">_xlfn.XLOOKUP(
   $B$4&amp;" "&amp;$B27,
   Actuals!$D:$D,
   _xlfn.XLOOKUP(
      AO$6,
      Actuals!$H$3:$BD$3,
      Actuals!$H:$BD
   )
)</f>
        <v>0</v>
      </c>
      <c r="AP27" s="292" cm="1">
        <f t="array" ref="AP27">_xlfn.XLOOKUP(
   $B$4&amp;" "&amp;$B27,
   Actuals!$D:$D,
   _xlfn.XLOOKUP(
      AP$6,
      Actuals!$H$3:$BD$3,
      Actuals!$H:$BD
   )
)</f>
        <v>0</v>
      </c>
      <c r="AQ27" s="292" cm="1">
        <f t="array" ref="AQ27">_xlfn.XLOOKUP(
   $B$4&amp;" "&amp;$B27,
   Actuals!$D:$D,
   _xlfn.XLOOKUP(
      AQ$6,
      Actuals!$H$3:$BD$3,
      Actuals!$H:$BD
   )
)</f>
        <v>0</v>
      </c>
      <c r="AR27" s="292" cm="1">
        <f t="array" ref="AR27">_xlfn.XLOOKUP(
   $B$4&amp;" "&amp;$B27,
   Actuals!$D:$D,
   _xlfn.XLOOKUP(
      AR$6,
      Actuals!$H$3:$BD$3,
      Actuals!$H:$BD
   )
)</f>
        <v>0</v>
      </c>
      <c r="AS27" s="292" cm="1">
        <f t="array" ref="AS27">_xlfn.XLOOKUP(
   $B$4&amp;" "&amp;$B27,
   Actuals!$D:$D,
   _xlfn.XLOOKUP(
      AS$6,
      Actuals!$H$3:$BD$3,
      Actuals!$H:$BD
   )
)</f>
        <v>0</v>
      </c>
      <c r="AT27" s="292" cm="1">
        <f t="array" ref="AT27">_xlfn.XLOOKUP(
   $B$4&amp;" "&amp;$B27,
   Actuals!$D:$D,
   _xlfn.XLOOKUP(
      AT$6,
      Actuals!$H$3:$BD$3,
      Actuals!$H:$BD
   )
)</f>
        <v>0</v>
      </c>
      <c r="AU27" s="292" cm="1">
        <f t="array" ref="AU27">_xlfn.XLOOKUP(
   $B$4&amp;" "&amp;$B27,
   Actuals!$D:$D,
   _xlfn.XLOOKUP(
      AU$6,
      Actuals!$H$3:$BD$3,
      Actuals!$H:$BD
   )
)</f>
        <v>0</v>
      </c>
      <c r="AV27" s="292" cm="1">
        <f t="array" ref="AV27">_xlfn.XLOOKUP(
   $B$4&amp;" "&amp;$B27,
   Actuals!$D:$D,
   _xlfn.XLOOKUP(
      AV$6,
      Actuals!$H$3:$BD$3,
      Actuals!$H:$BD
   )
)</f>
        <v>0</v>
      </c>
      <c r="AW27" s="292" cm="1">
        <f t="array" ref="AW27">_xlfn.XLOOKUP(
   $B$4&amp;" "&amp;$B27,
   Actuals!$D:$D,
   _xlfn.XLOOKUP(
      AW$6,
      Actuals!$H$3:$BD$3,
      Actuals!$H:$BD
   )
)</f>
        <v>0</v>
      </c>
      <c r="AX27" s="292" cm="1">
        <f t="array" ref="AX27">_xlfn.XLOOKUP(
   $B$4&amp;" "&amp;$B27,
   Actuals!$D:$D,
   _xlfn.XLOOKUP(
      AX$6,
      Actuals!$H$3:$BD$3,
      Actuals!$H:$BD
   )
)</f>
        <v>0</v>
      </c>
      <c r="AY27" s="292" cm="1">
        <f t="array" ref="AY27">_xlfn.XLOOKUP(
   $B$4&amp;" "&amp;$B27,
   Actuals!$D:$D,
   _xlfn.XLOOKUP(
      AY$6,
      Actuals!$H$3:$BD$3,
      Actuals!$H:$BD
   )
)</f>
        <v>0</v>
      </c>
      <c r="AZ27" s="292" cm="1">
        <f t="array" ref="AZ27">_xlfn.XLOOKUP(
   $B$4&amp;" "&amp;$B27,
   Actuals!$D:$D,
   _xlfn.XLOOKUP(
      AZ$6,
      Actuals!$H$3:$BD$3,
      Actuals!$H:$BD
   )
)</f>
        <v>0</v>
      </c>
      <c r="BA27" s="292"/>
      <c r="BB27" s="292" cm="1">
        <f t="array" ref="BB27">_xlfn.XLOOKUP(
   $B$4&amp;" "&amp;$B27,
   Actuals!$D:$D,
   _xlfn.XLOOKUP(
      BB$7,
      Actuals!$H$3:$BM$3,
      Actuals!$H:$BM
   )
)</f>
        <v>0</v>
      </c>
      <c r="BC27" s="292">
        <f>VLOOKUP($B$4&amp;" "&amp;$B27,Budget!$AG$4:$AL$132,$BB$5+1,FALSE)</f>
        <v>15</v>
      </c>
      <c r="BD27" s="292">
        <f t="shared" si="33"/>
        <v>-15</v>
      </c>
      <c r="BE27" s="292"/>
      <c r="BF27" s="292" cm="1">
        <f t="array" ref="BF27">_xlfn.XLOOKUP(
   $B$4&amp;" "&amp;$B27,
   Actuals!$D:$D,
   _xlfn.XLOOKUP(
      BF$7,
      Actuals!$H$3:$BM$3,
      Actuals!$H:$BM
   )
)</f>
        <v>0</v>
      </c>
      <c r="BG27" s="292">
        <f>VLOOKUP($B$4&amp;" "&amp;$B27,Budget!$AG$4:$AL$132,BF$5+1,FALSE)</f>
        <v>15</v>
      </c>
      <c r="BH27" s="292">
        <f t="shared" si="34"/>
        <v>-15</v>
      </c>
      <c r="BI27" s="292"/>
      <c r="BJ27" s="292" cm="1">
        <f t="array" ref="BJ27">_xlfn.XLOOKUP(
   $B$4&amp;" "&amp;$B27,
   Actuals!$D:$D,
   _xlfn.XLOOKUP(
      BJ$7,
      Actuals!$H$3:$BM$3,
      Actuals!$H:$BM
   )
)</f>
        <v>0</v>
      </c>
      <c r="BK27" s="292">
        <f>VLOOKUP($B$4&amp;" "&amp;$B27,Budget!$AG$4:$AL$132,BJ$5+1,FALSE)</f>
        <v>15</v>
      </c>
      <c r="BL27" s="292">
        <f t="shared" si="35"/>
        <v>-15</v>
      </c>
      <c r="BM27" s="292"/>
      <c r="BN27" s="292" cm="1">
        <f t="array" ref="BN27">_xlfn.XLOOKUP(
   $B$4&amp;" "&amp;$B27,
   Actuals!$D:$D,
   _xlfn.XLOOKUP(
      BN$7,
      Actuals!$H$3:$BM$3,
      Actuals!$H:$BM
   )
)</f>
        <v>0</v>
      </c>
      <c r="BO27" s="292">
        <f>VLOOKUP($B$4&amp;" "&amp;$B27,Budget!$AG$4:$AL$132,BN$5+1,FALSE)</f>
        <v>15</v>
      </c>
      <c r="BP27" s="292"/>
      <c r="BQ27" s="292"/>
      <c r="BR27" s="292" cm="1">
        <f t="array" aca="1" ref="BR27" ca="1">_xlfn.XLOOKUP(
   $B$4&amp;" "&amp;$B27,
   Actuals!$D:$D,
   _xlfn.XLOOKUP(
      BR$6,
      Actuals!$H$3:$BM$3,
      Actuals!$H:$BM
   )
)</f>
        <v>0</v>
      </c>
      <c r="BS27" s="292">
        <f ca="1">VLOOKUP($B$4&amp;" "&amp;$B27,Budget!$AG$4:$AL$132,6,FALSE)</f>
        <v>60</v>
      </c>
      <c r="BT27" s="292">
        <f t="shared" ca="1" si="36"/>
        <v>-60</v>
      </c>
      <c r="BU27" s="292"/>
      <c r="BV27" s="292" cm="1">
        <f t="array" ref="BV27">_xlfn.XLOOKUP(
   $B$4&amp;" "&amp;$B27,
   Actuals!$D:$D,
   _xlfn.XLOOKUP(
      BV$6,
      Actuals!$H$3:$BM$3,
      Actuals!$H:$BM
   )
)</f>
        <v>26</v>
      </c>
    </row>
    <row r="28" spans="2:74">
      <c r="B28" s="26" t="s">
        <v>121</v>
      </c>
      <c r="C28" s="139" t="s">
        <v>49</v>
      </c>
      <c r="D28" s="171" t="str">
        <f>VLOOKUP($B$4&amp;" "&amp;$B28,Actuals!$D$4:$AG$131,3,FALSE)</f>
        <v>#</v>
      </c>
      <c r="E28" s="168" cm="1">
        <f t="array" ref="E28">_xlfn.XLOOKUP(
   $B$4&amp;" "&amp;$B28,
   Actuals!$D:$D,
   _xlfn.XLOOKUP(
      E$6,
      Actuals!$H$3:$BD$3,
      Actuals!$H:$BD
   )
)</f>
        <v>0</v>
      </c>
      <c r="F28" s="168" cm="1">
        <f t="array" ref="F28">_xlfn.XLOOKUP(
   $B$4&amp;" "&amp;$B28,
   Actuals!$D:$D,
   _xlfn.XLOOKUP(
      F$6,
      Actuals!$H$3:$BD$3,
      Actuals!$H:$BD
   )
)</f>
        <v>0</v>
      </c>
      <c r="G28" s="168" cm="1">
        <f t="array" ref="G28">_xlfn.XLOOKUP(
   $B$4&amp;" "&amp;$B28,
   Actuals!$D:$D,
   _xlfn.XLOOKUP(
      G$6,
      Actuals!$H$3:$BD$3,
      Actuals!$H:$BD
   )
)</f>
        <v>0</v>
      </c>
      <c r="H28" s="168" cm="1">
        <f t="array" ref="H28">_xlfn.XLOOKUP(
   $B$4&amp;" "&amp;$B28,
   Actuals!$D:$D,
   _xlfn.XLOOKUP(
      H$6,
      Actuals!$H$3:$BD$3,
      Actuals!$H:$BD
   )
)</f>
        <v>0</v>
      </c>
      <c r="I28" s="168" cm="1">
        <f t="array" ref="I28">_xlfn.XLOOKUP(
   $B$4&amp;" "&amp;$B28,
   Actuals!$D:$D,
   _xlfn.XLOOKUP(
      I$6,
      Actuals!$H$3:$BD$3,
      Actuals!$H:$BD
   )
)</f>
        <v>0</v>
      </c>
      <c r="J28" s="168" cm="1">
        <f t="array" ref="J28">_xlfn.XLOOKUP(
   $B$4&amp;" "&amp;$B28,
   Actuals!$D:$D,
   _xlfn.XLOOKUP(
      J$6,
      Actuals!$H$3:$BD$3,
      Actuals!$H:$BD
   )
)</f>
        <v>0</v>
      </c>
      <c r="K28" s="168" cm="1">
        <f t="array" ref="K28">_xlfn.XLOOKUP(
   $B$4&amp;" "&amp;$B28,
   Actuals!$D:$D,
   _xlfn.XLOOKUP(
      K$6,
      Actuals!$H$3:$BD$3,
      Actuals!$H:$BD
   )
)</f>
        <v>0</v>
      </c>
      <c r="L28" s="168" cm="1">
        <f t="array" ref="L28">_xlfn.XLOOKUP(
   $B$4&amp;" "&amp;$B28,
   Actuals!$D:$D,
   _xlfn.XLOOKUP(
      L$6,
      Actuals!$H$3:$BD$3,
      Actuals!$H:$BD
   )
)</f>
        <v>0</v>
      </c>
      <c r="M28" s="168" cm="1">
        <f t="array" ref="M28">_xlfn.XLOOKUP(
   $B$4&amp;" "&amp;$B28,
   Actuals!$D:$D,
   _xlfn.XLOOKUP(
      M$6,
      Actuals!$H$3:$BD$3,
      Actuals!$H:$BD
   )
)</f>
        <v>0</v>
      </c>
      <c r="N28" s="168" cm="1">
        <f t="array" ref="N28">_xlfn.XLOOKUP(
   $B$4&amp;" "&amp;$B28,
   Actuals!$D:$D,
   _xlfn.XLOOKUP(
      N$6,
      Actuals!$H$3:$BD$3,
      Actuals!$H:$BD
   )
)</f>
        <v>0</v>
      </c>
      <c r="O28" s="292" cm="1">
        <f t="array" ref="O28">_xlfn.XLOOKUP(
   $B$4&amp;" "&amp;$B28,
   Actuals!$D:$D,
   _xlfn.XLOOKUP(
      O$6,
      Actuals!$H$3:$BD$3,
      Actuals!$H:$BD
   )
)</f>
        <v>0</v>
      </c>
      <c r="P28" s="292" cm="1">
        <f t="array" ref="P28">_xlfn.XLOOKUP(
   $B$4&amp;" "&amp;$B28,
   Actuals!$D:$D,
   _xlfn.XLOOKUP(
      P$6,
      Actuals!$H$3:$BD$3,
      Actuals!$H:$BD
   )
)</f>
        <v>0</v>
      </c>
      <c r="Q28" s="292" cm="1">
        <f t="array" ref="Q28">_xlfn.XLOOKUP(
   $B$4&amp;" "&amp;$B28,
   Actuals!$D:$D,
   _xlfn.XLOOKUP(
      Q$6,
      Actuals!$H$3:$BD$3,
      Actuals!$H:$BD
   )
)</f>
        <v>0</v>
      </c>
      <c r="R28" s="292" cm="1">
        <f t="array" ref="R28">_xlfn.XLOOKUP(
   $B$4&amp;" "&amp;$B28,
   Actuals!$D:$D,
   _xlfn.XLOOKUP(
      R$6,
      Actuals!$H$3:$BD$3,
      Actuals!$H:$BD
   )
)</f>
        <v>0</v>
      </c>
      <c r="S28" s="292" cm="1">
        <f t="array" ref="S28">_xlfn.XLOOKUP(
   $B$4&amp;" "&amp;$B28,
   Actuals!$D:$D,
   _xlfn.XLOOKUP(
      S$6,
      Actuals!$H$3:$BD$3,
      Actuals!$H:$BD
   )
)</f>
        <v>0</v>
      </c>
      <c r="T28" s="292" cm="1">
        <f t="array" ref="T28">_xlfn.XLOOKUP(
   $B$4&amp;" "&amp;$B28,
   Actuals!$D:$D,
   _xlfn.XLOOKUP(
      T$6,
      Actuals!$H$3:$BD$3,
      Actuals!$H:$BD
   )
)</f>
        <v>0</v>
      </c>
      <c r="U28" s="292" cm="1">
        <f t="array" ref="U28">_xlfn.XLOOKUP(
   $B$4&amp;" "&amp;$B28,
   Actuals!$D:$D,
   _xlfn.XLOOKUP(
      U$6,
      Actuals!$H$3:$BD$3,
      Actuals!$H:$BD
   )
)</f>
        <v>0</v>
      </c>
      <c r="V28" s="292" cm="1">
        <f t="array" ref="V28">_xlfn.XLOOKUP(
   $B$4&amp;" "&amp;$B28,
   Actuals!$D:$D,
   _xlfn.XLOOKUP(
      V$6,
      Actuals!$H$3:$BD$3,
      Actuals!$H:$BD
   )
)</f>
        <v>0</v>
      </c>
      <c r="W28" s="292" cm="1">
        <f t="array" ref="W28">_xlfn.XLOOKUP(
   $B$4&amp;" "&amp;$B28,
   Actuals!$D:$D,
   _xlfn.XLOOKUP(
      W$6,
      Actuals!$H$3:$BD$3,
      Actuals!$H:$BD
   )
)</f>
        <v>0</v>
      </c>
      <c r="X28" s="292" cm="1">
        <f t="array" ref="X28">_xlfn.XLOOKUP(
   $B$4&amp;" "&amp;$B28,
   Actuals!$D:$D,
   _xlfn.XLOOKUP(
      X$6,
      Actuals!$H$3:$BD$3,
      Actuals!$H:$BD
   )
)</f>
        <v>0</v>
      </c>
      <c r="Y28" s="292" cm="1">
        <f t="array" ref="Y28">_xlfn.XLOOKUP(
   $B$4&amp;" "&amp;$B28,
   Actuals!$D:$D,
   _xlfn.XLOOKUP(
      Y$6,
      Actuals!$H$3:$BD$3,
      Actuals!$H:$BD
   )
)</f>
        <v>0</v>
      </c>
      <c r="Z28" s="292" cm="1">
        <f t="array" ref="Z28">_xlfn.XLOOKUP(
   $B$4&amp;" "&amp;$B28,
   Actuals!$D:$D,
   _xlfn.XLOOKUP(
      Z$6,
      Actuals!$H$3:$BD$3,
      Actuals!$H:$BD
   )
)</f>
        <v>0</v>
      </c>
      <c r="AA28" s="292" cm="1">
        <f t="array" ref="AA28">_xlfn.XLOOKUP(
   $B$4&amp;" "&amp;$B28,
   Actuals!$D:$D,
   _xlfn.XLOOKUP(
      AA$6,
      Actuals!$H$3:$BD$3,
      Actuals!$H:$BD
   )
)</f>
        <v>0</v>
      </c>
      <c r="AB28" s="292" cm="1">
        <f t="array" ref="AB28">_xlfn.XLOOKUP(
   $B$4&amp;" "&amp;$B28,
   Actuals!$D:$D,
   _xlfn.XLOOKUP(
      AB$6,
      Actuals!$H$3:$BD$3,
      Actuals!$H:$BD
   )
)</f>
        <v>0</v>
      </c>
      <c r="AC28" s="292" cm="1">
        <f t="array" ref="AC28">_xlfn.XLOOKUP(
   $B$4&amp;" "&amp;$B28,
   Actuals!$D:$D,
   _xlfn.XLOOKUP(
      AC$6,
      Actuals!$H$3:$BD$3,
      Actuals!$H:$BD
   )
)</f>
        <v>0</v>
      </c>
      <c r="AD28" s="292" cm="1">
        <f t="array" ref="AD28">_xlfn.XLOOKUP(
   $B$4&amp;" "&amp;$B28,
   Actuals!$D:$D,
   _xlfn.XLOOKUP(
      AD$6,
      Actuals!$H$3:$BD$3,
      Actuals!$H:$BD
   )
)</f>
        <v>0</v>
      </c>
      <c r="AE28" s="292" cm="1">
        <f t="array" ref="AE28">_xlfn.XLOOKUP(
   $B$4&amp;" "&amp;$B28,
   Actuals!$D:$D,
   _xlfn.XLOOKUP(
      AE$6,
      Actuals!$H$3:$BD$3,
      Actuals!$H:$BD
   )
)</f>
        <v>0</v>
      </c>
      <c r="AF28" s="292" cm="1">
        <f t="array" ref="AF28">_xlfn.XLOOKUP(
   $B$4&amp;" "&amp;$B28,
   Actuals!$D:$D,
   _xlfn.XLOOKUP(
      AF$6,
      Actuals!$H$3:$BD$3,
      Actuals!$H:$BD
   )
)</f>
        <v>0</v>
      </c>
      <c r="AG28" s="292" cm="1">
        <f t="array" ref="AG28">_xlfn.XLOOKUP(
   $B$4&amp;" "&amp;$B28,
   Actuals!$D:$D,
   _xlfn.XLOOKUP(
      AG$6,
      Actuals!$H$3:$BD$3,
      Actuals!$H:$BD
   )
)</f>
        <v>0</v>
      </c>
      <c r="AH28" s="292" cm="1">
        <f t="array" ref="AH28">_xlfn.XLOOKUP(
   $B$4&amp;" "&amp;$B28,
   Actuals!$D:$D,
   _xlfn.XLOOKUP(
      AH$6,
      Actuals!$H$3:$BD$3,
      Actuals!$H:$BD
   )
)</f>
        <v>0</v>
      </c>
      <c r="AI28" s="292" cm="1">
        <f t="array" ref="AI28">_xlfn.XLOOKUP(
   $B$4&amp;" "&amp;$B28,
   Actuals!$D:$D,
   _xlfn.XLOOKUP(
      AI$6,
      Actuals!$H$3:$BD$3,
      Actuals!$H:$BD
   )
)</f>
        <v>0</v>
      </c>
      <c r="AJ28" s="292" cm="1">
        <f t="array" ref="AJ28">_xlfn.XLOOKUP(
   $B$4&amp;" "&amp;$B28,
   Actuals!$D:$D,
   _xlfn.XLOOKUP(
      AJ$6,
      Actuals!$H$3:$BD$3,
      Actuals!$H:$BD
   )
)</f>
        <v>0</v>
      </c>
      <c r="AK28" s="292" cm="1">
        <f t="array" ref="AK28">_xlfn.XLOOKUP(
   $B$4&amp;" "&amp;$B28,
   Actuals!$D:$D,
   _xlfn.XLOOKUP(
      AK$6,
      Actuals!$H$3:$BD$3,
      Actuals!$H:$BD
   )
)</f>
        <v>0</v>
      </c>
      <c r="AL28" s="292" cm="1">
        <f t="array" ref="AL28">_xlfn.XLOOKUP(
   $B$4&amp;" "&amp;$B28,
   Actuals!$D:$D,
   _xlfn.XLOOKUP(
      AL$6,
      Actuals!$H$3:$BD$3,
      Actuals!$H:$BD
   )
)</f>
        <v>0</v>
      </c>
      <c r="AM28" s="292" cm="1">
        <f t="array" ref="AM28">_xlfn.XLOOKUP(
   $B$4&amp;" "&amp;$B28,
   Actuals!$D:$D,
   _xlfn.XLOOKUP(
      AM$6,
      Actuals!$H$3:$BD$3,
      Actuals!$H:$BD
   )
)</f>
        <v>0</v>
      </c>
      <c r="AN28" s="292" cm="1">
        <f t="array" ref="AN28">_xlfn.XLOOKUP(
   $B$4&amp;" "&amp;$B28,
   Actuals!$D:$D,
   _xlfn.XLOOKUP(
      AN$6,
      Actuals!$H$3:$BD$3,
      Actuals!$H:$BD
   )
)</f>
        <v>0</v>
      </c>
      <c r="AO28" s="292" cm="1">
        <f t="array" ref="AO28">_xlfn.XLOOKUP(
   $B$4&amp;" "&amp;$B28,
   Actuals!$D:$D,
   _xlfn.XLOOKUP(
      AO$6,
      Actuals!$H$3:$BD$3,
      Actuals!$H:$BD
   )
)</f>
        <v>0</v>
      </c>
      <c r="AP28" s="292" cm="1">
        <f t="array" ref="AP28">_xlfn.XLOOKUP(
   $B$4&amp;" "&amp;$B28,
   Actuals!$D:$D,
   _xlfn.XLOOKUP(
      AP$6,
      Actuals!$H$3:$BD$3,
      Actuals!$H:$BD
   )
)</f>
        <v>0</v>
      </c>
      <c r="AQ28" s="292" cm="1">
        <f t="array" ref="AQ28">_xlfn.XLOOKUP(
   $B$4&amp;" "&amp;$B28,
   Actuals!$D:$D,
   _xlfn.XLOOKUP(
      AQ$6,
      Actuals!$H$3:$BD$3,
      Actuals!$H:$BD
   )
)</f>
        <v>0</v>
      </c>
      <c r="AR28" s="292" cm="1">
        <f t="array" ref="AR28">_xlfn.XLOOKUP(
   $B$4&amp;" "&amp;$B28,
   Actuals!$D:$D,
   _xlfn.XLOOKUP(
      AR$6,
      Actuals!$H$3:$BD$3,
      Actuals!$H:$BD
   )
)</f>
        <v>0</v>
      </c>
      <c r="AS28" s="292" cm="1">
        <f t="array" ref="AS28">_xlfn.XLOOKUP(
   $B$4&amp;" "&amp;$B28,
   Actuals!$D:$D,
   _xlfn.XLOOKUP(
      AS$6,
      Actuals!$H$3:$BD$3,
      Actuals!$H:$BD
   )
)</f>
        <v>0</v>
      </c>
      <c r="AT28" s="292" cm="1">
        <f t="array" ref="AT28">_xlfn.XLOOKUP(
   $B$4&amp;" "&amp;$B28,
   Actuals!$D:$D,
   _xlfn.XLOOKUP(
      AT$6,
      Actuals!$H$3:$BD$3,
      Actuals!$H:$BD
   )
)</f>
        <v>0</v>
      </c>
      <c r="AU28" s="292" cm="1">
        <f t="array" ref="AU28">_xlfn.XLOOKUP(
   $B$4&amp;" "&amp;$B28,
   Actuals!$D:$D,
   _xlfn.XLOOKUP(
      AU$6,
      Actuals!$H$3:$BD$3,
      Actuals!$H:$BD
   )
)</f>
        <v>0</v>
      </c>
      <c r="AV28" s="292" cm="1">
        <f t="array" ref="AV28">_xlfn.XLOOKUP(
   $B$4&amp;" "&amp;$B28,
   Actuals!$D:$D,
   _xlfn.XLOOKUP(
      AV$6,
      Actuals!$H$3:$BD$3,
      Actuals!$H:$BD
   )
)</f>
        <v>0</v>
      </c>
      <c r="AW28" s="292" cm="1">
        <f t="array" ref="AW28">_xlfn.XLOOKUP(
   $B$4&amp;" "&amp;$B28,
   Actuals!$D:$D,
   _xlfn.XLOOKUP(
      AW$6,
      Actuals!$H$3:$BD$3,
      Actuals!$H:$BD
   )
)</f>
        <v>0</v>
      </c>
      <c r="AX28" s="292" cm="1">
        <f t="array" ref="AX28">_xlfn.XLOOKUP(
   $B$4&amp;" "&amp;$B28,
   Actuals!$D:$D,
   _xlfn.XLOOKUP(
      AX$6,
      Actuals!$H$3:$BD$3,
      Actuals!$H:$BD
   )
)</f>
        <v>0</v>
      </c>
      <c r="AY28" s="292" cm="1">
        <f t="array" ref="AY28">_xlfn.XLOOKUP(
   $B$4&amp;" "&amp;$B28,
   Actuals!$D:$D,
   _xlfn.XLOOKUP(
      AY$6,
      Actuals!$H$3:$BD$3,
      Actuals!$H:$BD
   )
)</f>
        <v>0</v>
      </c>
      <c r="AZ28" s="292" cm="1">
        <f t="array" ref="AZ28">_xlfn.XLOOKUP(
   $B$4&amp;" "&amp;$B28,
   Actuals!$D:$D,
   _xlfn.XLOOKUP(
      AZ$6,
      Actuals!$H$3:$BD$3,
      Actuals!$H:$BD
   )
)</f>
        <v>0</v>
      </c>
      <c r="BA28" s="292"/>
      <c r="BB28" s="292" cm="1">
        <f t="array" ref="BB28">_xlfn.XLOOKUP(
   $B$4&amp;" "&amp;$B28,
   Actuals!$D:$D,
   _xlfn.XLOOKUP(
      BB$7,
      Actuals!$H$3:$BM$3,
      Actuals!$H:$BM
   )
)</f>
        <v>0</v>
      </c>
      <c r="BC28" s="292">
        <f>VLOOKUP($B$4&amp;" "&amp;$B28,Budget!$AG$4:$AL$132,$BB$5+1,FALSE)</f>
        <v>30</v>
      </c>
      <c r="BD28" s="292">
        <f t="shared" si="33"/>
        <v>-30</v>
      </c>
      <c r="BE28" s="292"/>
      <c r="BF28" s="292" cm="1">
        <f t="array" ref="BF28">_xlfn.XLOOKUP(
   $B$4&amp;" "&amp;$B28,
   Actuals!$D:$D,
   _xlfn.XLOOKUP(
      BF$7,
      Actuals!$H$3:$BM$3,
      Actuals!$H:$BM
   )
)</f>
        <v>0</v>
      </c>
      <c r="BG28" s="292">
        <f>VLOOKUP($B$4&amp;" "&amp;$B28,Budget!$AG$4:$AL$132,BF$5+1,FALSE)</f>
        <v>30</v>
      </c>
      <c r="BH28" s="292">
        <f t="shared" si="34"/>
        <v>-30</v>
      </c>
      <c r="BI28" s="292"/>
      <c r="BJ28" s="292" cm="1">
        <f t="array" ref="BJ28">_xlfn.XLOOKUP(
   $B$4&amp;" "&amp;$B28,
   Actuals!$D:$D,
   _xlfn.XLOOKUP(
      BJ$7,
      Actuals!$H$3:$BM$3,
      Actuals!$H:$BM
   )
)</f>
        <v>0</v>
      </c>
      <c r="BK28" s="292">
        <f>VLOOKUP($B$4&amp;" "&amp;$B28,Budget!$AG$4:$AL$132,BJ$5+1,FALSE)</f>
        <v>30</v>
      </c>
      <c r="BL28" s="292">
        <f t="shared" si="35"/>
        <v>-30</v>
      </c>
      <c r="BM28" s="292"/>
      <c r="BN28" s="292" cm="1">
        <f t="array" ref="BN28">_xlfn.XLOOKUP(
   $B$4&amp;" "&amp;$B28,
   Actuals!$D:$D,
   _xlfn.XLOOKUP(
      BN$7,
      Actuals!$H$3:$BM$3,
      Actuals!$H:$BM
   )
)</f>
        <v>0</v>
      </c>
      <c r="BO28" s="292">
        <f>VLOOKUP($B$4&amp;" "&amp;$B28,Budget!$AG$4:$AL$132,BN$5+1,FALSE)</f>
        <v>30</v>
      </c>
      <c r="BP28" s="292"/>
      <c r="BQ28" s="292"/>
      <c r="BR28" s="292" cm="1">
        <f t="array" aca="1" ref="BR28" ca="1">_xlfn.XLOOKUP(
   $B$4&amp;" "&amp;$B28,
   Actuals!$D:$D,
   _xlfn.XLOOKUP(
      BR$6,
      Actuals!$H$3:$BM$3,
      Actuals!$H:$BM
   )
)</f>
        <v>0</v>
      </c>
      <c r="BS28" s="292">
        <f ca="1">VLOOKUP($B$4&amp;" "&amp;$B28,Budget!$AG$4:$AL$132,6,FALSE)</f>
        <v>120</v>
      </c>
      <c r="BT28" s="292">
        <f t="shared" ca="1" si="36"/>
        <v>-120</v>
      </c>
      <c r="BU28" s="292"/>
      <c r="BV28" s="292" cm="1">
        <f t="array" ref="BV28">_xlfn.XLOOKUP(
   $B$4&amp;" "&amp;$B28,
   Actuals!$D:$D,
   _xlfn.XLOOKUP(
      BV$6,
      Actuals!$H$3:$BM$3,
      Actuals!$H:$BM
   )
)</f>
        <v>0</v>
      </c>
    </row>
    <row r="29" spans="2:74">
      <c r="B29" s="26" t="s">
        <v>122</v>
      </c>
      <c r="C29" s="139" t="s">
        <v>49</v>
      </c>
      <c r="D29" s="171" t="str">
        <f>VLOOKUP($B$4&amp;" "&amp;$B29,Actuals!$D$4:$AG$131,3,FALSE)</f>
        <v>#</v>
      </c>
      <c r="E29" s="168" cm="1">
        <f t="array" ref="E29">_xlfn.XLOOKUP(
   $B$4&amp;" "&amp;$B29,
   Actuals!$D:$D,
   _xlfn.XLOOKUP(
      E$6,
      Actuals!$H$3:$BD$3,
      Actuals!$H:$BD
   )
)</f>
        <v>0</v>
      </c>
      <c r="F29" s="168" cm="1">
        <f t="array" ref="F29">_xlfn.XLOOKUP(
   $B$4&amp;" "&amp;$B29,
   Actuals!$D:$D,
   _xlfn.XLOOKUP(
      F$6,
      Actuals!$H$3:$BD$3,
      Actuals!$H:$BD
   )
)</f>
        <v>0</v>
      </c>
      <c r="G29" s="168" cm="1">
        <f t="array" ref="G29">_xlfn.XLOOKUP(
   $B$4&amp;" "&amp;$B29,
   Actuals!$D:$D,
   _xlfn.XLOOKUP(
      G$6,
      Actuals!$H$3:$BD$3,
      Actuals!$H:$BD
   )
)</f>
        <v>0</v>
      </c>
      <c r="H29" s="168" cm="1">
        <f t="array" ref="H29">_xlfn.XLOOKUP(
   $B$4&amp;" "&amp;$B29,
   Actuals!$D:$D,
   _xlfn.XLOOKUP(
      H$6,
      Actuals!$H$3:$BD$3,
      Actuals!$H:$BD
   )
)</f>
        <v>0</v>
      </c>
      <c r="I29" s="168" cm="1">
        <f t="array" ref="I29">_xlfn.XLOOKUP(
   $B$4&amp;" "&amp;$B29,
   Actuals!$D:$D,
   _xlfn.XLOOKUP(
      I$6,
      Actuals!$H$3:$BD$3,
      Actuals!$H:$BD
   )
)</f>
        <v>0</v>
      </c>
      <c r="J29" s="168" cm="1">
        <f t="array" ref="J29">_xlfn.XLOOKUP(
   $B$4&amp;" "&amp;$B29,
   Actuals!$D:$D,
   _xlfn.XLOOKUP(
      J$6,
      Actuals!$H$3:$BD$3,
      Actuals!$H:$BD
   )
)</f>
        <v>0</v>
      </c>
      <c r="K29" s="168" cm="1">
        <f t="array" ref="K29">_xlfn.XLOOKUP(
   $B$4&amp;" "&amp;$B29,
   Actuals!$D:$D,
   _xlfn.XLOOKUP(
      K$6,
      Actuals!$H$3:$BD$3,
      Actuals!$H:$BD
   )
)</f>
        <v>0</v>
      </c>
      <c r="L29" s="168" cm="1">
        <f t="array" ref="L29">_xlfn.XLOOKUP(
   $B$4&amp;" "&amp;$B29,
   Actuals!$D:$D,
   _xlfn.XLOOKUP(
      L$6,
      Actuals!$H$3:$BD$3,
      Actuals!$H:$BD
   )
)</f>
        <v>0</v>
      </c>
      <c r="M29" s="168" cm="1">
        <f t="array" ref="M29">_xlfn.XLOOKUP(
   $B$4&amp;" "&amp;$B29,
   Actuals!$D:$D,
   _xlfn.XLOOKUP(
      M$6,
      Actuals!$H$3:$BD$3,
      Actuals!$H:$BD
   )
)</f>
        <v>0</v>
      </c>
      <c r="N29" s="168" cm="1">
        <f t="array" ref="N29">_xlfn.XLOOKUP(
   $B$4&amp;" "&amp;$B29,
   Actuals!$D:$D,
   _xlfn.XLOOKUP(
      N$6,
      Actuals!$H$3:$BD$3,
      Actuals!$H:$BD
   )
)</f>
        <v>0</v>
      </c>
      <c r="O29" s="292" cm="1">
        <f t="array" ref="O29">_xlfn.XLOOKUP(
   $B$4&amp;" "&amp;$B29,
   Actuals!$D:$D,
   _xlfn.XLOOKUP(
      O$6,
      Actuals!$H$3:$BD$3,
      Actuals!$H:$BD
   )
)</f>
        <v>0</v>
      </c>
      <c r="P29" s="292" cm="1">
        <f t="array" ref="P29">_xlfn.XLOOKUP(
   $B$4&amp;" "&amp;$B29,
   Actuals!$D:$D,
   _xlfn.XLOOKUP(
      P$6,
      Actuals!$H$3:$BD$3,
      Actuals!$H:$BD
   )
)</f>
        <v>0</v>
      </c>
      <c r="Q29" s="292" cm="1">
        <f t="array" ref="Q29">_xlfn.XLOOKUP(
   $B$4&amp;" "&amp;$B29,
   Actuals!$D:$D,
   _xlfn.XLOOKUP(
      Q$6,
      Actuals!$H$3:$BD$3,
      Actuals!$H:$BD
   )
)</f>
        <v>0</v>
      </c>
      <c r="R29" s="292" cm="1">
        <f t="array" ref="R29">_xlfn.XLOOKUP(
   $B$4&amp;" "&amp;$B29,
   Actuals!$D:$D,
   _xlfn.XLOOKUP(
      R$6,
      Actuals!$H$3:$BD$3,
      Actuals!$H:$BD
   )
)</f>
        <v>0</v>
      </c>
      <c r="S29" s="292" cm="1">
        <f t="array" ref="S29">_xlfn.XLOOKUP(
   $B$4&amp;" "&amp;$B29,
   Actuals!$D:$D,
   _xlfn.XLOOKUP(
      S$6,
      Actuals!$H$3:$BD$3,
      Actuals!$H:$BD
   )
)</f>
        <v>0</v>
      </c>
      <c r="T29" s="292" cm="1">
        <f t="array" ref="T29">_xlfn.XLOOKUP(
   $B$4&amp;" "&amp;$B29,
   Actuals!$D:$D,
   _xlfn.XLOOKUP(
      T$6,
      Actuals!$H$3:$BD$3,
      Actuals!$H:$BD
   )
)</f>
        <v>0</v>
      </c>
      <c r="U29" s="292" cm="1">
        <f t="array" ref="U29">_xlfn.XLOOKUP(
   $B$4&amp;" "&amp;$B29,
   Actuals!$D:$D,
   _xlfn.XLOOKUP(
      U$6,
      Actuals!$H$3:$BD$3,
      Actuals!$H:$BD
   )
)</f>
        <v>0</v>
      </c>
      <c r="V29" s="292" cm="1">
        <f t="array" ref="V29">_xlfn.XLOOKUP(
   $B$4&amp;" "&amp;$B29,
   Actuals!$D:$D,
   _xlfn.XLOOKUP(
      V$6,
      Actuals!$H$3:$BD$3,
      Actuals!$H:$BD
   )
)</f>
        <v>0</v>
      </c>
      <c r="W29" s="292" cm="1">
        <f t="array" ref="W29">_xlfn.XLOOKUP(
   $B$4&amp;" "&amp;$B29,
   Actuals!$D:$D,
   _xlfn.XLOOKUP(
      W$6,
      Actuals!$H$3:$BD$3,
      Actuals!$H:$BD
   )
)</f>
        <v>0</v>
      </c>
      <c r="X29" s="292" cm="1">
        <f t="array" ref="X29">_xlfn.XLOOKUP(
   $B$4&amp;" "&amp;$B29,
   Actuals!$D:$D,
   _xlfn.XLOOKUP(
      X$6,
      Actuals!$H$3:$BD$3,
      Actuals!$H:$BD
   )
)</f>
        <v>0</v>
      </c>
      <c r="Y29" s="292" cm="1">
        <f t="array" ref="Y29">_xlfn.XLOOKUP(
   $B$4&amp;" "&amp;$B29,
   Actuals!$D:$D,
   _xlfn.XLOOKUP(
      Y$6,
      Actuals!$H$3:$BD$3,
      Actuals!$H:$BD
   )
)</f>
        <v>0</v>
      </c>
      <c r="Z29" s="292" cm="1">
        <f t="array" ref="Z29">_xlfn.XLOOKUP(
   $B$4&amp;" "&amp;$B29,
   Actuals!$D:$D,
   _xlfn.XLOOKUP(
      Z$6,
      Actuals!$H$3:$BD$3,
      Actuals!$H:$BD
   )
)</f>
        <v>0</v>
      </c>
      <c r="AA29" s="292" cm="1">
        <f t="array" ref="AA29">_xlfn.XLOOKUP(
   $B$4&amp;" "&amp;$B29,
   Actuals!$D:$D,
   _xlfn.XLOOKUP(
      AA$6,
      Actuals!$H$3:$BD$3,
      Actuals!$H:$BD
   )
)</f>
        <v>0</v>
      </c>
      <c r="AB29" s="292" cm="1">
        <f t="array" ref="AB29">_xlfn.XLOOKUP(
   $B$4&amp;" "&amp;$B29,
   Actuals!$D:$D,
   _xlfn.XLOOKUP(
      AB$6,
      Actuals!$H$3:$BD$3,
      Actuals!$H:$BD
   )
)</f>
        <v>0</v>
      </c>
      <c r="AC29" s="292" cm="1">
        <f t="array" ref="AC29">_xlfn.XLOOKUP(
   $B$4&amp;" "&amp;$B29,
   Actuals!$D:$D,
   _xlfn.XLOOKUP(
      AC$6,
      Actuals!$H$3:$BD$3,
      Actuals!$H:$BD
   )
)</f>
        <v>0</v>
      </c>
      <c r="AD29" s="292" cm="1">
        <f t="array" ref="AD29">_xlfn.XLOOKUP(
   $B$4&amp;" "&amp;$B29,
   Actuals!$D:$D,
   _xlfn.XLOOKUP(
      AD$6,
      Actuals!$H$3:$BD$3,
      Actuals!$H:$BD
   )
)</f>
        <v>0</v>
      </c>
      <c r="AE29" s="292" cm="1">
        <f t="array" ref="AE29">_xlfn.XLOOKUP(
   $B$4&amp;" "&amp;$B29,
   Actuals!$D:$D,
   _xlfn.XLOOKUP(
      AE$6,
      Actuals!$H$3:$BD$3,
      Actuals!$H:$BD
   )
)</f>
        <v>0</v>
      </c>
      <c r="AF29" s="292" cm="1">
        <f t="array" ref="AF29">_xlfn.XLOOKUP(
   $B$4&amp;" "&amp;$B29,
   Actuals!$D:$D,
   _xlfn.XLOOKUP(
      AF$6,
      Actuals!$H$3:$BD$3,
      Actuals!$H:$BD
   )
)</f>
        <v>0</v>
      </c>
      <c r="AG29" s="292" cm="1">
        <f t="array" ref="AG29">_xlfn.XLOOKUP(
   $B$4&amp;" "&amp;$B29,
   Actuals!$D:$D,
   _xlfn.XLOOKUP(
      AG$6,
      Actuals!$H$3:$BD$3,
      Actuals!$H:$BD
   )
)</f>
        <v>0</v>
      </c>
      <c r="AH29" s="292" cm="1">
        <f t="array" ref="AH29">_xlfn.XLOOKUP(
   $B$4&amp;" "&amp;$B29,
   Actuals!$D:$D,
   _xlfn.XLOOKUP(
      AH$6,
      Actuals!$H$3:$BD$3,
      Actuals!$H:$BD
   )
)</f>
        <v>0</v>
      </c>
      <c r="AI29" s="292" cm="1">
        <f t="array" ref="AI29">_xlfn.XLOOKUP(
   $B$4&amp;" "&amp;$B29,
   Actuals!$D:$D,
   _xlfn.XLOOKUP(
      AI$6,
      Actuals!$H$3:$BD$3,
      Actuals!$H:$BD
   )
)</f>
        <v>4</v>
      </c>
      <c r="AJ29" s="292" cm="1">
        <f t="array" ref="AJ29">_xlfn.XLOOKUP(
   $B$4&amp;" "&amp;$B29,
   Actuals!$D:$D,
   _xlfn.XLOOKUP(
      AJ$6,
      Actuals!$H$3:$BD$3,
      Actuals!$H:$BD
   )
)</f>
        <v>1</v>
      </c>
      <c r="AK29" s="292" cm="1">
        <f t="array" ref="AK29">_xlfn.XLOOKUP(
   $B$4&amp;" "&amp;$B29,
   Actuals!$D:$D,
   _xlfn.XLOOKUP(
      AK$6,
      Actuals!$H$3:$BD$3,
      Actuals!$H:$BD
   )
)</f>
        <v>0</v>
      </c>
      <c r="AL29" s="292" cm="1">
        <f t="array" ref="AL29">_xlfn.XLOOKUP(
   $B$4&amp;" "&amp;$B29,
   Actuals!$D:$D,
   _xlfn.XLOOKUP(
      AL$6,
      Actuals!$H$3:$BD$3,
      Actuals!$H:$BD
   )
)</f>
        <v>4</v>
      </c>
      <c r="AM29" s="292" cm="1">
        <f t="array" ref="AM29">_xlfn.XLOOKUP(
   $B$4&amp;" "&amp;$B29,
   Actuals!$D:$D,
   _xlfn.XLOOKUP(
      AM$6,
      Actuals!$H$3:$BD$3,
      Actuals!$H:$BD
   )
)</f>
        <v>1</v>
      </c>
      <c r="AN29" s="292" cm="1">
        <f t="array" ref="AN29">_xlfn.XLOOKUP(
   $B$4&amp;" "&amp;$B29,
   Actuals!$D:$D,
   _xlfn.XLOOKUP(
      AN$6,
      Actuals!$H$3:$BD$3,
      Actuals!$H:$BD
   )
)</f>
        <v>3</v>
      </c>
      <c r="AO29" s="292" cm="1">
        <f t="array" ref="AO29">_xlfn.XLOOKUP(
   $B$4&amp;" "&amp;$B29,
   Actuals!$D:$D,
   _xlfn.XLOOKUP(
      AO$6,
      Actuals!$H$3:$BD$3,
      Actuals!$H:$BD
   )
)</f>
        <v>0</v>
      </c>
      <c r="AP29" s="292" cm="1">
        <f t="array" ref="AP29">_xlfn.XLOOKUP(
   $B$4&amp;" "&amp;$B29,
   Actuals!$D:$D,
   _xlfn.XLOOKUP(
      AP$6,
      Actuals!$H$3:$BD$3,
      Actuals!$H:$BD
   )
)</f>
        <v>0</v>
      </c>
      <c r="AQ29" s="292" cm="1">
        <f t="array" ref="AQ29">_xlfn.XLOOKUP(
   $B$4&amp;" "&amp;$B29,
   Actuals!$D:$D,
   _xlfn.XLOOKUP(
      AQ$6,
      Actuals!$H$3:$BD$3,
      Actuals!$H:$BD
   )
)</f>
        <v>0</v>
      </c>
      <c r="AR29" s="292" cm="1">
        <f t="array" ref="AR29">_xlfn.XLOOKUP(
   $B$4&amp;" "&amp;$B29,
   Actuals!$D:$D,
   _xlfn.XLOOKUP(
      AR$6,
      Actuals!$H$3:$BD$3,
      Actuals!$H:$BD
   )
)</f>
        <v>0</v>
      </c>
      <c r="AS29" s="292" cm="1">
        <f t="array" ref="AS29">_xlfn.XLOOKUP(
   $B$4&amp;" "&amp;$B29,
   Actuals!$D:$D,
   _xlfn.XLOOKUP(
      AS$6,
      Actuals!$H$3:$BD$3,
      Actuals!$H:$BD
   )
)</f>
        <v>0</v>
      </c>
      <c r="AT29" s="292" cm="1">
        <f t="array" ref="AT29">_xlfn.XLOOKUP(
   $B$4&amp;" "&amp;$B29,
   Actuals!$D:$D,
   _xlfn.XLOOKUP(
      AT$6,
      Actuals!$H$3:$BD$3,
      Actuals!$H:$BD
   )
)</f>
        <v>0</v>
      </c>
      <c r="AU29" s="292" cm="1">
        <f t="array" ref="AU29">_xlfn.XLOOKUP(
   $B$4&amp;" "&amp;$B29,
   Actuals!$D:$D,
   _xlfn.XLOOKUP(
      AU$6,
      Actuals!$H$3:$BD$3,
      Actuals!$H:$BD
   )
)</f>
        <v>0</v>
      </c>
      <c r="AV29" s="292" cm="1">
        <f t="array" ref="AV29">_xlfn.XLOOKUP(
   $B$4&amp;" "&amp;$B29,
   Actuals!$D:$D,
   _xlfn.XLOOKUP(
      AV$6,
      Actuals!$H$3:$BD$3,
      Actuals!$H:$BD
   )
)</f>
        <v>0</v>
      </c>
      <c r="AW29" s="292" cm="1">
        <f t="array" ref="AW29">_xlfn.XLOOKUP(
   $B$4&amp;" "&amp;$B29,
   Actuals!$D:$D,
   _xlfn.XLOOKUP(
      AW$6,
      Actuals!$H$3:$BD$3,
      Actuals!$H:$BD
   )
)</f>
        <v>0</v>
      </c>
      <c r="AX29" s="292" cm="1">
        <f t="array" ref="AX29">_xlfn.XLOOKUP(
   $B$4&amp;" "&amp;$B29,
   Actuals!$D:$D,
   _xlfn.XLOOKUP(
      AX$6,
      Actuals!$H$3:$BD$3,
      Actuals!$H:$BD
   )
)</f>
        <v>0</v>
      </c>
      <c r="AY29" s="292" cm="1">
        <f t="array" ref="AY29">_xlfn.XLOOKUP(
   $B$4&amp;" "&amp;$B29,
   Actuals!$D:$D,
   _xlfn.XLOOKUP(
      AY$6,
      Actuals!$H$3:$BD$3,
      Actuals!$H:$BD
   )
)</f>
        <v>0</v>
      </c>
      <c r="AZ29" s="292" cm="1">
        <f t="array" ref="AZ29">_xlfn.XLOOKUP(
   $B$4&amp;" "&amp;$B29,
   Actuals!$D:$D,
   _xlfn.XLOOKUP(
      AZ$6,
      Actuals!$H$3:$BD$3,
      Actuals!$H:$BD
   )
)</f>
        <v>0</v>
      </c>
      <c r="BA29" s="292"/>
      <c r="BB29" s="292" cm="1">
        <f t="array" ref="BB29">_xlfn.XLOOKUP(
   $B$4&amp;" "&amp;$B29,
   Actuals!$D:$D,
   _xlfn.XLOOKUP(
      BB$7,
      Actuals!$H$3:$BM$3,
      Actuals!$H:$BM
   )
)</f>
        <v>0</v>
      </c>
      <c r="BC29" s="292">
        <f>VLOOKUP($B$4&amp;" "&amp;$B29,Budget!$AG$4:$AL$132,$BB$5+1,FALSE)</f>
        <v>0</v>
      </c>
      <c r="BD29" s="292">
        <f t="shared" si="33"/>
        <v>0</v>
      </c>
      <c r="BE29" s="292"/>
      <c r="BF29" s="292" cm="1">
        <f t="array" ref="BF29">_xlfn.XLOOKUP(
   $B$4&amp;" "&amp;$B29,
   Actuals!$D:$D,
   _xlfn.XLOOKUP(
      BF$7,
      Actuals!$H$3:$BM$3,
      Actuals!$H:$BM
   )
)</f>
        <v>0</v>
      </c>
      <c r="BG29" s="292">
        <f>VLOOKUP($B$4&amp;" "&amp;$B29,Budget!$AG$4:$AL$132,BF$5+1,FALSE)</f>
        <v>0</v>
      </c>
      <c r="BH29" s="292">
        <f t="shared" si="34"/>
        <v>0</v>
      </c>
      <c r="BI29" s="292"/>
      <c r="BJ29" s="292" cm="1">
        <f t="array" ref="BJ29">_xlfn.XLOOKUP(
   $B$4&amp;" "&amp;$B29,
   Actuals!$D:$D,
   _xlfn.XLOOKUP(
      BJ$7,
      Actuals!$H$3:$BM$3,
      Actuals!$H:$BM
   )
)</f>
        <v>0</v>
      </c>
      <c r="BK29" s="292">
        <f>VLOOKUP($B$4&amp;" "&amp;$B29,Budget!$AG$4:$AL$132,BJ$5+1,FALSE)</f>
        <v>0</v>
      </c>
      <c r="BL29" s="292">
        <f t="shared" si="35"/>
        <v>0</v>
      </c>
      <c r="BM29" s="292"/>
      <c r="BN29" s="292" cm="1">
        <f t="array" ref="BN29">_xlfn.XLOOKUP(
   $B$4&amp;" "&amp;$B29,
   Actuals!$D:$D,
   _xlfn.XLOOKUP(
      BN$7,
      Actuals!$H$3:$BM$3,
      Actuals!$H:$BM
   )
)</f>
        <v>0</v>
      </c>
      <c r="BO29" s="292">
        <f>VLOOKUP($B$4&amp;" "&amp;$B29,Budget!$AG$4:$AL$132,BN$5+1,FALSE)</f>
        <v>0</v>
      </c>
      <c r="BP29" s="292"/>
      <c r="BQ29" s="292"/>
      <c r="BR29" s="292" cm="1">
        <f t="array" aca="1" ref="BR29" ca="1">_xlfn.XLOOKUP(
   $B$4&amp;" "&amp;$B29,
   Actuals!$D:$D,
   _xlfn.XLOOKUP(
      BR$6,
      Actuals!$H$3:$BM$3,
      Actuals!$H:$BM
   )
)</f>
        <v>0</v>
      </c>
      <c r="BS29" s="292">
        <f ca="1">VLOOKUP($B$4&amp;" "&amp;$B29,Budget!$AG$4:$AL$132,6,FALSE)</f>
        <v>0</v>
      </c>
      <c r="BT29" s="292">
        <f t="shared" ca="1" si="36"/>
        <v>0</v>
      </c>
      <c r="BU29" s="292"/>
      <c r="BV29" s="292" cm="1">
        <f t="array" ref="BV29">_xlfn.XLOOKUP(
   $B$4&amp;" "&amp;$B29,
   Actuals!$D:$D,
   _xlfn.XLOOKUP(
      BV$6,
      Actuals!$H$3:$BM$3,
      Actuals!$H:$BM
   )
)</f>
        <v>13</v>
      </c>
    </row>
    <row r="30" spans="2:74">
      <c r="B30" s="26" t="s">
        <v>123</v>
      </c>
      <c r="C30" s="139" t="s">
        <v>49</v>
      </c>
      <c r="D30" s="171" t="str">
        <f>VLOOKUP($B$4&amp;" "&amp;$B30,Actuals!$D$4:$AG$131,3,FALSE)</f>
        <v>$</v>
      </c>
      <c r="E30" s="168" cm="1">
        <f t="array" ref="E30">_xlfn.XLOOKUP(
   $B$4&amp;" "&amp;$B30,
   Actuals!$D:$D,
   _xlfn.XLOOKUP(
      E$6,
      Actuals!$H$3:$BD$3,
      Actuals!$H:$BD
   )
)</f>
        <v>0</v>
      </c>
      <c r="F30" s="168" cm="1">
        <f t="array" ref="F30">_xlfn.XLOOKUP(
   $B$4&amp;" "&amp;$B30,
   Actuals!$D:$D,
   _xlfn.XLOOKUP(
      F$6,
      Actuals!$H$3:$BD$3,
      Actuals!$H:$BD
   )
)</f>
        <v>0</v>
      </c>
      <c r="G30" s="168" cm="1">
        <f t="array" ref="G30">_xlfn.XLOOKUP(
   $B$4&amp;" "&amp;$B30,
   Actuals!$D:$D,
   _xlfn.XLOOKUP(
      G$6,
      Actuals!$H$3:$BD$3,
      Actuals!$H:$BD
   )
)</f>
        <v>0</v>
      </c>
      <c r="H30" s="168" cm="1">
        <f t="array" ref="H30">_xlfn.XLOOKUP(
   $B$4&amp;" "&amp;$B30,
   Actuals!$D:$D,
   _xlfn.XLOOKUP(
      H$6,
      Actuals!$H$3:$BD$3,
      Actuals!$H:$BD
   )
)</f>
        <v>0</v>
      </c>
      <c r="I30" s="168" cm="1">
        <f t="array" ref="I30">_xlfn.XLOOKUP(
   $B$4&amp;" "&amp;$B30,
   Actuals!$D:$D,
   _xlfn.XLOOKUP(
      I$6,
      Actuals!$H$3:$BD$3,
      Actuals!$H:$BD
   )
)</f>
        <v>0</v>
      </c>
      <c r="J30" s="168" cm="1">
        <f t="array" ref="J30">_xlfn.XLOOKUP(
   $B$4&amp;" "&amp;$B30,
   Actuals!$D:$D,
   _xlfn.XLOOKUP(
      J$6,
      Actuals!$H$3:$BD$3,
      Actuals!$H:$BD
   )
)</f>
        <v>0</v>
      </c>
      <c r="K30" s="168" cm="1">
        <f t="array" ref="K30">_xlfn.XLOOKUP(
   $B$4&amp;" "&amp;$B30,
   Actuals!$D:$D,
   _xlfn.XLOOKUP(
      K$6,
      Actuals!$H$3:$BD$3,
      Actuals!$H:$BD
   )
)</f>
        <v>0</v>
      </c>
      <c r="L30" s="168" cm="1">
        <f t="array" ref="L30">_xlfn.XLOOKUP(
   $B$4&amp;" "&amp;$B30,
   Actuals!$D:$D,
   _xlfn.XLOOKUP(
      L$6,
      Actuals!$H$3:$BD$3,
      Actuals!$H:$BD
   )
)</f>
        <v>0</v>
      </c>
      <c r="M30" s="168" cm="1">
        <f t="array" ref="M30">_xlfn.XLOOKUP(
   $B$4&amp;" "&amp;$B30,
   Actuals!$D:$D,
   _xlfn.XLOOKUP(
      M$6,
      Actuals!$H$3:$BD$3,
      Actuals!$H:$BD
   )
)</f>
        <v>0</v>
      </c>
      <c r="N30" s="168" cm="1">
        <f t="array" ref="N30">_xlfn.XLOOKUP(
   $B$4&amp;" "&amp;$B30,
   Actuals!$D:$D,
   _xlfn.XLOOKUP(
      N$6,
      Actuals!$H$3:$BD$3,
      Actuals!$H:$BD
   )
)</f>
        <v>0</v>
      </c>
      <c r="O30" s="211" cm="1">
        <f t="array" ref="O30">_xlfn.XLOOKUP(
   $B$4&amp;" "&amp;$B30,
   Actuals!$D:$D,
   _xlfn.XLOOKUP(
      O$6,
      Actuals!$H$3:$BD$3,
      Actuals!$H:$BD
   )
)</f>
        <v>0</v>
      </c>
      <c r="P30" s="211" cm="1">
        <f t="array" ref="P30">_xlfn.XLOOKUP(
   $B$4&amp;" "&amp;$B30,
   Actuals!$D:$D,
   _xlfn.XLOOKUP(
      P$6,
      Actuals!$H$3:$BD$3,
      Actuals!$H:$BD
   )
)</f>
        <v>0</v>
      </c>
      <c r="Q30" s="354" cm="1">
        <f t="array" ref="Q30">_xlfn.XLOOKUP(
   $B$4&amp;" "&amp;$B30,
   Actuals!$D:$D,
   _xlfn.XLOOKUP(
      Q$6,
      Actuals!$H$3:$BD$3,
      Actuals!$H:$BD
   )
)</f>
        <v>0</v>
      </c>
      <c r="R30" s="354" cm="1">
        <f t="array" ref="R30">_xlfn.XLOOKUP(
   $B$4&amp;" "&amp;$B30,
   Actuals!$D:$D,
   _xlfn.XLOOKUP(
      R$6,
      Actuals!$H$3:$BD$3,
      Actuals!$H:$BD
   )
)</f>
        <v>0</v>
      </c>
      <c r="S30" s="354" cm="1">
        <f t="array" ref="S30">_xlfn.XLOOKUP(
   $B$4&amp;" "&amp;$B30,
   Actuals!$D:$D,
   _xlfn.XLOOKUP(
      S$6,
      Actuals!$H$3:$BD$3,
      Actuals!$H:$BD
   )
)</f>
        <v>0</v>
      </c>
      <c r="T30" s="354" cm="1">
        <f t="array" ref="T30">_xlfn.XLOOKUP(
   $B$4&amp;" "&amp;$B30,
   Actuals!$D:$D,
   _xlfn.XLOOKUP(
      T$6,
      Actuals!$H$3:$BD$3,
      Actuals!$H:$BD
   )
)</f>
        <v>0</v>
      </c>
      <c r="U30" s="354" cm="1">
        <f t="array" ref="U30">_xlfn.XLOOKUP(
   $B$4&amp;" "&amp;$B30,
   Actuals!$D:$D,
   _xlfn.XLOOKUP(
      U$6,
      Actuals!$H$3:$BD$3,
      Actuals!$H:$BD
   )
)</f>
        <v>0</v>
      </c>
      <c r="V30" s="354" cm="1">
        <f t="array" ref="V30">_xlfn.XLOOKUP(
   $B$4&amp;" "&amp;$B30,
   Actuals!$D:$D,
   _xlfn.XLOOKUP(
      V$6,
      Actuals!$H$3:$BD$3,
      Actuals!$H:$BD
   )
)</f>
        <v>0</v>
      </c>
      <c r="W30" s="354" cm="1">
        <f t="array" ref="W30">_xlfn.XLOOKUP(
   $B$4&amp;" "&amp;$B30,
   Actuals!$D:$D,
   _xlfn.XLOOKUP(
      W$6,
      Actuals!$H$3:$BD$3,
      Actuals!$H:$BD
   )
)</f>
        <v>0</v>
      </c>
      <c r="X30" s="354" cm="1">
        <f t="array" ref="X30">_xlfn.XLOOKUP(
   $B$4&amp;" "&amp;$B30,
   Actuals!$D:$D,
   _xlfn.XLOOKUP(
      X$6,
      Actuals!$H$3:$BD$3,
      Actuals!$H:$BD
   )
)</f>
        <v>0</v>
      </c>
      <c r="Y30" s="354" cm="1">
        <f t="array" ref="Y30">_xlfn.XLOOKUP(
   $B$4&amp;" "&amp;$B30,
   Actuals!$D:$D,
   _xlfn.XLOOKUP(
      Y$6,
      Actuals!$H$3:$BD$3,
      Actuals!$H:$BD
   )
)</f>
        <v>0</v>
      </c>
      <c r="Z30" s="354" cm="1">
        <f t="array" ref="Z30">_xlfn.XLOOKUP(
   $B$4&amp;" "&amp;$B30,
   Actuals!$D:$D,
   _xlfn.XLOOKUP(
      Z$6,
      Actuals!$H$3:$BD$3,
      Actuals!$H:$BD
   )
)</f>
        <v>0</v>
      </c>
      <c r="AA30" s="354" cm="1">
        <f t="array" ref="AA30">_xlfn.XLOOKUP(
   $B$4&amp;" "&amp;$B30,
   Actuals!$D:$D,
   _xlfn.XLOOKUP(
      AA$6,
      Actuals!$H$3:$BD$3,
      Actuals!$H:$BD
   )
)</f>
        <v>0</v>
      </c>
      <c r="AB30" s="354" cm="1">
        <f t="array" ref="AB30">_xlfn.XLOOKUP(
   $B$4&amp;" "&amp;$B30,
   Actuals!$D:$D,
   _xlfn.XLOOKUP(
      AB$6,
      Actuals!$H$3:$BD$3,
      Actuals!$H:$BD
   )
)</f>
        <v>0</v>
      </c>
      <c r="AC30" s="354" cm="1">
        <f t="array" ref="AC30">_xlfn.XLOOKUP(
   $B$4&amp;" "&amp;$B30,
   Actuals!$D:$D,
   _xlfn.XLOOKUP(
      AC$6,
      Actuals!$H$3:$BD$3,
      Actuals!$H:$BD
   )
)</f>
        <v>196.95</v>
      </c>
      <c r="AD30" s="354" cm="1">
        <f t="array" ref="AD30">_xlfn.XLOOKUP(
   $B$4&amp;" "&amp;$B30,
   Actuals!$D:$D,
   _xlfn.XLOOKUP(
      AD$6,
      Actuals!$H$3:$BD$3,
      Actuals!$H:$BD
   )
)</f>
        <v>0</v>
      </c>
      <c r="AE30" s="354" cm="1">
        <f t="array" ref="AE30">_xlfn.XLOOKUP(
   $B$4&amp;" "&amp;$B30,
   Actuals!$D:$D,
   _xlfn.XLOOKUP(
      AE$6,
      Actuals!$H$3:$BD$3,
      Actuals!$H:$BD
   )
)</f>
        <v>500</v>
      </c>
      <c r="AF30" s="354" cm="1">
        <f t="array" ref="AF30">_xlfn.XLOOKUP(
   $B$4&amp;" "&amp;$B30,
   Actuals!$D:$D,
   _xlfn.XLOOKUP(
      AF$6,
      Actuals!$H$3:$BD$3,
      Actuals!$H:$BD
   )
)</f>
        <v>544.91999999999996</v>
      </c>
      <c r="AG30" s="354" cm="1">
        <f t="array" ref="AG30">_xlfn.XLOOKUP(
   $B$4&amp;" "&amp;$B30,
   Actuals!$D:$D,
   _xlfn.XLOOKUP(
      AG$6,
      Actuals!$H$3:$BD$3,
      Actuals!$H:$BD
   )
)</f>
        <v>608.74</v>
      </c>
      <c r="AH30" s="354" cm="1">
        <f t="array" ref="AH30">_xlfn.XLOOKUP(
   $B$4&amp;" "&amp;$B30,
   Actuals!$D:$D,
   _xlfn.XLOOKUP(
      AH$6,
      Actuals!$H$3:$BD$3,
      Actuals!$H:$BD
   )
)</f>
        <v>598.78</v>
      </c>
      <c r="AI30" s="354" cm="1">
        <f t="array" ref="AI30">_xlfn.XLOOKUP(
   $B$4&amp;" "&amp;$B30,
   Actuals!$D:$D,
   _xlfn.XLOOKUP(
      AI$6,
      Actuals!$H$3:$BD$3,
      Actuals!$H:$BD
   )
)</f>
        <v>608.86</v>
      </c>
      <c r="AJ30" s="354" cm="1">
        <f t="array" ref="AJ30">_xlfn.XLOOKUP(
   $B$4&amp;" "&amp;$B30,
   Actuals!$D:$D,
   _xlfn.XLOOKUP(
      AJ$6,
      Actuals!$H$3:$BD$3,
      Actuals!$H:$BD
   )
)</f>
        <v>609.24</v>
      </c>
      <c r="AK30" s="354" cm="1">
        <f t="array" ref="AK30">_xlfn.XLOOKUP(
   $B$4&amp;" "&amp;$B30,
   Actuals!$D:$D,
   _xlfn.XLOOKUP(
      AK$6,
      Actuals!$H$3:$BD$3,
      Actuals!$H:$BD
   )
)</f>
        <v>596.59</v>
      </c>
      <c r="AL30" s="354" cm="1">
        <f t="array" ref="AL30">_xlfn.XLOOKUP(
   $B$4&amp;" "&amp;$B30,
   Actuals!$D:$D,
   _xlfn.XLOOKUP(
      AL$6,
      Actuals!$H$3:$BD$3,
      Actuals!$H:$BD
   )
)</f>
        <v>608.52</v>
      </c>
      <c r="AM30" s="354" cm="1">
        <f t="array" ref="AM30">_xlfn.XLOOKUP(
   $B$4&amp;" "&amp;$B30,
   Actuals!$D:$D,
   _xlfn.XLOOKUP(
      AM$6,
      Actuals!$H$3:$BD$3,
      Actuals!$H:$BD
   )
)</f>
        <v>607.64</v>
      </c>
      <c r="AN30" s="354" cm="1">
        <f t="array" ref="AN30">_xlfn.XLOOKUP(
   $B$4&amp;" "&amp;$B30,
   Actuals!$D:$D,
   _xlfn.XLOOKUP(
      AN$6,
      Actuals!$H$3:$BD$3,
      Actuals!$H:$BD
   )
)</f>
        <v>0</v>
      </c>
      <c r="AO30" s="354" cm="1">
        <f t="array" ref="AO30">_xlfn.XLOOKUP(
   $B$4&amp;" "&amp;$B30,
   Actuals!$D:$D,
   _xlfn.XLOOKUP(
      AO$6,
      Actuals!$H$3:$BD$3,
      Actuals!$H:$BD
   )
)</f>
        <v>0</v>
      </c>
      <c r="AP30" s="354" cm="1">
        <f t="array" ref="AP30">_xlfn.XLOOKUP(
   $B$4&amp;" "&amp;$B30,
   Actuals!$D:$D,
   _xlfn.XLOOKUP(
      AP$6,
      Actuals!$H$3:$BD$3,
      Actuals!$H:$BD
   )
)</f>
        <v>0</v>
      </c>
      <c r="AQ30" s="354" cm="1">
        <f t="array" ref="AQ30">_xlfn.XLOOKUP(
   $B$4&amp;" "&amp;$B30,
   Actuals!$D:$D,
   _xlfn.XLOOKUP(
      AQ$6,
      Actuals!$H$3:$BD$3,
      Actuals!$H:$BD
   )
)</f>
        <v>0</v>
      </c>
      <c r="AR30" s="354" cm="1">
        <f t="array" ref="AR30">_xlfn.XLOOKUP(
   $B$4&amp;" "&amp;$B30,
   Actuals!$D:$D,
   _xlfn.XLOOKUP(
      AR$6,
      Actuals!$H$3:$BD$3,
      Actuals!$H:$BD
   )
)</f>
        <v>0</v>
      </c>
      <c r="AS30" s="354" cm="1">
        <f t="array" ref="AS30">_xlfn.XLOOKUP(
   $B$4&amp;" "&amp;$B30,
   Actuals!$D:$D,
   _xlfn.XLOOKUP(
      AS$6,
      Actuals!$H$3:$BD$3,
      Actuals!$H:$BD
   )
)</f>
        <v>0</v>
      </c>
      <c r="AT30" s="354" cm="1">
        <f t="array" ref="AT30">_xlfn.XLOOKUP(
   $B$4&amp;" "&amp;$B30,
   Actuals!$D:$D,
   _xlfn.XLOOKUP(
      AT$6,
      Actuals!$H$3:$BD$3,
      Actuals!$H:$BD
   )
)</f>
        <v>0</v>
      </c>
      <c r="AU30" s="354" cm="1">
        <f t="array" ref="AU30">_xlfn.XLOOKUP(
   $B$4&amp;" "&amp;$B30,
   Actuals!$D:$D,
   _xlfn.XLOOKUP(
      AU$6,
      Actuals!$H$3:$BD$3,
      Actuals!$H:$BD
   )
)</f>
        <v>0</v>
      </c>
      <c r="AV30" s="354" cm="1">
        <f t="array" ref="AV30">_xlfn.XLOOKUP(
   $B$4&amp;" "&amp;$B30,
   Actuals!$D:$D,
   _xlfn.XLOOKUP(
      AV$6,
      Actuals!$H$3:$BD$3,
      Actuals!$H:$BD
   )
)</f>
        <v>0</v>
      </c>
      <c r="AW30" s="354" cm="1">
        <f t="array" ref="AW30">_xlfn.XLOOKUP(
   $B$4&amp;" "&amp;$B30,
   Actuals!$D:$D,
   _xlfn.XLOOKUP(
      AW$6,
      Actuals!$H$3:$BD$3,
      Actuals!$H:$BD
   )
)</f>
        <v>0</v>
      </c>
      <c r="AX30" s="354" cm="1">
        <f t="array" ref="AX30">_xlfn.XLOOKUP(
   $B$4&amp;" "&amp;$B30,
   Actuals!$D:$D,
   _xlfn.XLOOKUP(
      AX$6,
      Actuals!$H$3:$BD$3,
      Actuals!$H:$BD
   )
)</f>
        <v>0</v>
      </c>
      <c r="AY30" s="354" cm="1">
        <f t="array" ref="AY30">_xlfn.XLOOKUP(
   $B$4&amp;" "&amp;$B30,
   Actuals!$D:$D,
   _xlfn.XLOOKUP(
      AY$6,
      Actuals!$H$3:$BD$3,
      Actuals!$H:$BD
   )
)</f>
        <v>0</v>
      </c>
      <c r="AZ30" s="354" cm="1">
        <f t="array" ref="AZ30">_xlfn.XLOOKUP(
   $B$4&amp;" "&amp;$B30,
   Actuals!$D:$D,
   _xlfn.XLOOKUP(
      AZ$6,
      Actuals!$H$3:$BD$3,
      Actuals!$H:$BD
   )
)</f>
        <v>0</v>
      </c>
      <c r="BA30" s="354"/>
      <c r="BB30" s="354" cm="1">
        <f t="array" ref="BB30">_xlfn.XLOOKUP(
   $B$4&amp;" "&amp;$B30,
   Actuals!$D:$D,
   _xlfn.XLOOKUP(
      BB$7,
      Actuals!$H$3:$BM$3,
      Actuals!$H:$BM
   )
)</f>
        <v>0</v>
      </c>
      <c r="BC30" s="354">
        <f>VLOOKUP($B$4&amp;" "&amp;$B30,Budget!$AG$4:$AL$132,$BB$5+1,FALSE)</f>
        <v>15000</v>
      </c>
      <c r="BD30" s="354">
        <f t="shared" si="33"/>
        <v>-15000</v>
      </c>
      <c r="BE30" s="354"/>
      <c r="BF30" s="354" cm="1">
        <f t="array" ref="BF30">_xlfn.XLOOKUP(
   $B$4&amp;" "&amp;$B30,
   Actuals!$D:$D,
   _xlfn.XLOOKUP(
      BF$7,
      Actuals!$H$3:$BM$3,
      Actuals!$H:$BM
   )
)</f>
        <v>0</v>
      </c>
      <c r="BG30" s="354">
        <f>VLOOKUP($B$4&amp;" "&amp;$B30,Budget!$AG$4:$AL$132,BF$5+1,FALSE)</f>
        <v>15000</v>
      </c>
      <c r="BH30" s="354">
        <f t="shared" si="34"/>
        <v>-15000</v>
      </c>
      <c r="BI30" s="354"/>
      <c r="BJ30" s="354" cm="1">
        <f t="array" ref="BJ30">_xlfn.XLOOKUP(
   $B$4&amp;" "&amp;$B30,
   Actuals!$D:$D,
   _xlfn.XLOOKUP(
      BJ$7,
      Actuals!$H$3:$BM$3,
      Actuals!$H:$BM
   )
)</f>
        <v>0</v>
      </c>
      <c r="BK30" s="354">
        <f>VLOOKUP($B$4&amp;" "&amp;$B30,Budget!$AG$4:$AL$132,BJ$5+1,FALSE)</f>
        <v>15000</v>
      </c>
      <c r="BL30" s="354">
        <f t="shared" si="35"/>
        <v>-15000</v>
      </c>
      <c r="BM30" s="354"/>
      <c r="BN30" s="354" cm="1">
        <f t="array" ref="BN30">_xlfn.XLOOKUP(
   $B$4&amp;" "&amp;$B30,
   Actuals!$D:$D,
   _xlfn.XLOOKUP(
      BN$7,
      Actuals!$H$3:$BM$3,
      Actuals!$H:$BM
   )
)</f>
        <v>0</v>
      </c>
      <c r="BO30" s="354">
        <f>VLOOKUP($B$4&amp;" "&amp;$B30,Budget!$AG$4:$AL$132,BN$5+1,FALSE)</f>
        <v>15000</v>
      </c>
      <c r="BP30" s="354"/>
      <c r="BQ30" s="354"/>
      <c r="BR30" s="354" cm="1">
        <f t="array" aca="1" ref="BR30" ca="1">_xlfn.XLOOKUP(
   $B$4&amp;" "&amp;$B30,
   Actuals!$D:$D,
   _xlfn.XLOOKUP(
      BR$6,
      Actuals!$H$3:$BM$3,
      Actuals!$H:$BM
   )
)</f>
        <v>0</v>
      </c>
      <c r="BS30" s="354">
        <f ca="1">VLOOKUP($B$4&amp;" "&amp;$B30,Budget!$AG$4:$AL$132,6,FALSE)</f>
        <v>60000</v>
      </c>
      <c r="BT30" s="354">
        <f t="shared" ca="1" si="36"/>
        <v>-60000</v>
      </c>
      <c r="BU30" s="354"/>
      <c r="BV30" s="354" cm="1">
        <f t="array" ref="BV30">_xlfn.XLOOKUP(
   $B$4&amp;" "&amp;$B30,
   Actuals!$D:$D,
   _xlfn.XLOOKUP(
      BV$6,
      Actuals!$H$3:$BM$3,
      Actuals!$H:$BM
   )
)</f>
        <v>5283.29</v>
      </c>
    </row>
    <row r="31" spans="2:74">
      <c r="B31" s="26" t="s">
        <v>124</v>
      </c>
      <c r="C31" s="139" t="s">
        <v>49</v>
      </c>
      <c r="D31" s="171" t="str">
        <f>VLOOKUP($B$4&amp;" "&amp;$B31,Actuals!$D$4:$AG$131,3,FALSE)</f>
        <v>$</v>
      </c>
      <c r="E31" s="168" cm="1">
        <f t="array" ref="E31">_xlfn.XLOOKUP(
   $B$4&amp;" "&amp;$B31,
   Actuals!$D:$D,
   _xlfn.XLOOKUP(
      E$6,
      Actuals!$H$3:$BD$3,
      Actuals!$H:$BD
   )
)</f>
        <v>0</v>
      </c>
      <c r="F31" s="168" cm="1">
        <f t="array" ref="F31">_xlfn.XLOOKUP(
   $B$4&amp;" "&amp;$B31,
   Actuals!$D:$D,
   _xlfn.XLOOKUP(
      F$6,
      Actuals!$H$3:$BD$3,
      Actuals!$H:$BD
   )
)</f>
        <v>0</v>
      </c>
      <c r="G31" s="168" cm="1">
        <f t="array" ref="G31">_xlfn.XLOOKUP(
   $B$4&amp;" "&amp;$B31,
   Actuals!$D:$D,
   _xlfn.XLOOKUP(
      G$6,
      Actuals!$H$3:$BD$3,
      Actuals!$H:$BD
   )
)</f>
        <v>0</v>
      </c>
      <c r="H31" s="168" cm="1">
        <f t="array" ref="H31">_xlfn.XLOOKUP(
   $B$4&amp;" "&amp;$B31,
   Actuals!$D:$D,
   _xlfn.XLOOKUP(
      H$6,
      Actuals!$H$3:$BD$3,
      Actuals!$H:$BD
   )
)</f>
        <v>0</v>
      </c>
      <c r="I31" s="168" cm="1">
        <f t="array" ref="I31">_xlfn.XLOOKUP(
   $B$4&amp;" "&amp;$B31,
   Actuals!$D:$D,
   _xlfn.XLOOKUP(
      I$6,
      Actuals!$H$3:$BD$3,
      Actuals!$H:$BD
   )
)</f>
        <v>0</v>
      </c>
      <c r="J31" s="168" cm="1">
        <f t="array" ref="J31">_xlfn.XLOOKUP(
   $B$4&amp;" "&amp;$B31,
   Actuals!$D:$D,
   _xlfn.XLOOKUP(
      J$6,
      Actuals!$H$3:$BD$3,
      Actuals!$H:$BD
   )
)</f>
        <v>0</v>
      </c>
      <c r="K31" s="168" cm="1">
        <f t="array" ref="K31">_xlfn.XLOOKUP(
   $B$4&amp;" "&amp;$B31,
   Actuals!$D:$D,
   _xlfn.XLOOKUP(
      K$6,
      Actuals!$H$3:$BD$3,
      Actuals!$H:$BD
   )
)</f>
        <v>0</v>
      </c>
      <c r="L31" s="168" cm="1">
        <f t="array" ref="L31">_xlfn.XLOOKUP(
   $B$4&amp;" "&amp;$B31,
   Actuals!$D:$D,
   _xlfn.XLOOKUP(
      L$6,
      Actuals!$H$3:$BD$3,
      Actuals!$H:$BD
   )
)</f>
        <v>0</v>
      </c>
      <c r="M31" s="168" cm="1">
        <f t="array" ref="M31">_xlfn.XLOOKUP(
   $B$4&amp;" "&amp;$B31,
   Actuals!$D:$D,
   _xlfn.XLOOKUP(
      M$6,
      Actuals!$H$3:$BD$3,
      Actuals!$H:$BD
   )
)</f>
        <v>0</v>
      </c>
      <c r="N31" s="168" cm="1">
        <f t="array" ref="N31">_xlfn.XLOOKUP(
   $B$4&amp;" "&amp;$B31,
   Actuals!$D:$D,
   _xlfn.XLOOKUP(
      N$6,
      Actuals!$H$3:$BD$3,
      Actuals!$H:$BD
   )
)</f>
        <v>0</v>
      </c>
      <c r="O31" s="211" cm="1">
        <f t="array" ref="O31">_xlfn.XLOOKUP(
   $B$4&amp;" "&amp;$B31,
   Actuals!$D:$D,
   _xlfn.XLOOKUP(
      O$6,
      Actuals!$H$3:$BD$3,
      Actuals!$H:$BD
   )
)</f>
        <v>0</v>
      </c>
      <c r="P31" s="211" cm="1">
        <f t="array" ref="P31">_xlfn.XLOOKUP(
   $B$4&amp;" "&amp;$B31,
   Actuals!$D:$D,
   _xlfn.XLOOKUP(
      P$6,
      Actuals!$H$3:$BD$3,
      Actuals!$H:$BD
   )
)</f>
        <v>0</v>
      </c>
      <c r="Q31" s="354" cm="1">
        <f t="array" ref="Q31">_xlfn.XLOOKUP(
   $B$4&amp;" "&amp;$B31,
   Actuals!$D:$D,
   _xlfn.XLOOKUP(
      Q$6,
      Actuals!$H$3:$BD$3,
      Actuals!$H:$BD
   )
)</f>
        <v>0</v>
      </c>
      <c r="R31" s="354" cm="1">
        <f t="array" ref="R31">_xlfn.XLOOKUP(
   $B$4&amp;" "&amp;$B31,
   Actuals!$D:$D,
   _xlfn.XLOOKUP(
      R$6,
      Actuals!$H$3:$BD$3,
      Actuals!$H:$BD
   )
)</f>
        <v>0</v>
      </c>
      <c r="S31" s="354" cm="1">
        <f t="array" ref="S31">_xlfn.XLOOKUP(
   $B$4&amp;" "&amp;$B31,
   Actuals!$D:$D,
   _xlfn.XLOOKUP(
      S$6,
      Actuals!$H$3:$BD$3,
      Actuals!$H:$BD
   )
)</f>
        <v>0</v>
      </c>
      <c r="T31" s="354" cm="1">
        <f t="array" ref="T31">_xlfn.XLOOKUP(
   $B$4&amp;" "&amp;$B31,
   Actuals!$D:$D,
   _xlfn.XLOOKUP(
      T$6,
      Actuals!$H$3:$BD$3,
      Actuals!$H:$BD
   )
)</f>
        <v>0</v>
      </c>
      <c r="U31" s="354" cm="1">
        <f t="array" ref="U31">_xlfn.XLOOKUP(
   $B$4&amp;" "&amp;$B31,
   Actuals!$D:$D,
   _xlfn.XLOOKUP(
      U$6,
      Actuals!$H$3:$BD$3,
      Actuals!$H:$BD
   )
)</f>
        <v>0</v>
      </c>
      <c r="V31" s="354" cm="1">
        <f t="array" ref="V31">_xlfn.XLOOKUP(
   $B$4&amp;" "&amp;$B31,
   Actuals!$D:$D,
   _xlfn.XLOOKUP(
      V$6,
      Actuals!$H$3:$BD$3,
      Actuals!$H:$BD
   )
)</f>
        <v>0</v>
      </c>
      <c r="W31" s="354" cm="1">
        <f t="array" ref="W31">_xlfn.XLOOKUP(
   $B$4&amp;" "&amp;$B31,
   Actuals!$D:$D,
   _xlfn.XLOOKUP(
      W$6,
      Actuals!$H$3:$BD$3,
      Actuals!$H:$BD
   )
)</f>
        <v>0</v>
      </c>
      <c r="X31" s="354" cm="1">
        <f t="array" ref="X31">_xlfn.XLOOKUP(
   $B$4&amp;" "&amp;$B31,
   Actuals!$D:$D,
   _xlfn.XLOOKUP(
      X$6,
      Actuals!$H$3:$BD$3,
      Actuals!$H:$BD
   )
)</f>
        <v>0</v>
      </c>
      <c r="Y31" s="354" cm="1">
        <f t="array" ref="Y31">_xlfn.XLOOKUP(
   $B$4&amp;" "&amp;$B31,
   Actuals!$D:$D,
   _xlfn.XLOOKUP(
      Y$6,
      Actuals!$H$3:$BD$3,
      Actuals!$H:$BD
   )
)</f>
        <v>0</v>
      </c>
      <c r="Z31" s="354" cm="1">
        <f t="array" ref="Z31">_xlfn.XLOOKUP(
   $B$4&amp;" "&amp;$B31,
   Actuals!$D:$D,
   _xlfn.XLOOKUP(
      Z$6,
      Actuals!$H$3:$BD$3,
      Actuals!$H:$BD
   )
)</f>
        <v>0</v>
      </c>
      <c r="AA31" s="354" cm="1">
        <f t="array" ref="AA31">_xlfn.XLOOKUP(
   $B$4&amp;" "&amp;$B31,
   Actuals!$D:$D,
   _xlfn.XLOOKUP(
      AA$6,
      Actuals!$H$3:$BD$3,
      Actuals!$H:$BD
   )
)</f>
        <v>0</v>
      </c>
      <c r="AB31" s="354" cm="1">
        <f t="array" ref="AB31">_xlfn.XLOOKUP(
   $B$4&amp;" "&amp;$B31,
   Actuals!$D:$D,
   _xlfn.XLOOKUP(
      AB$6,
      Actuals!$H$3:$BD$3,
      Actuals!$H:$BD
   )
)</f>
        <v>0</v>
      </c>
      <c r="AC31" s="354" cm="1">
        <f t="array" ref="AC31">_xlfn.XLOOKUP(
   $B$4&amp;" "&amp;$B31,
   Actuals!$D:$D,
   _xlfn.XLOOKUP(
      AC$6,
      Actuals!$H$3:$BD$3,
      Actuals!$H:$BD
   )
)</f>
        <v>0</v>
      </c>
      <c r="AD31" s="354" cm="1">
        <f t="array" ref="AD31">_xlfn.XLOOKUP(
   $B$4&amp;" "&amp;$B31,
   Actuals!$D:$D,
   _xlfn.XLOOKUP(
      AD$6,
      Actuals!$H$3:$BD$3,
      Actuals!$H:$BD
   )
)</f>
        <v>0</v>
      </c>
      <c r="AE31" s="354" cm="1">
        <f t="array" ref="AE31">_xlfn.XLOOKUP(
   $B$4&amp;" "&amp;$B31,
   Actuals!$D:$D,
   _xlfn.XLOOKUP(
      AE$6,
      Actuals!$H$3:$BD$3,
      Actuals!$H:$BD
   )
)</f>
        <v>0</v>
      </c>
      <c r="AF31" s="354" cm="1">
        <f t="array" ref="AF31">_xlfn.XLOOKUP(
   $B$4&amp;" "&amp;$B31,
   Actuals!$D:$D,
   _xlfn.XLOOKUP(
      AF$6,
      Actuals!$H$3:$BD$3,
      Actuals!$H:$BD
   )
)</f>
        <v>0</v>
      </c>
      <c r="AG31" s="354" cm="1">
        <f t="array" ref="AG31">_xlfn.XLOOKUP(
   $B$4&amp;" "&amp;$B31,
   Actuals!$D:$D,
   _xlfn.XLOOKUP(
      AG$6,
      Actuals!$H$3:$BD$3,
      Actuals!$H:$BD
   )
)</f>
        <v>0</v>
      </c>
      <c r="AH31" s="354" cm="1">
        <f t="array" ref="AH31">_xlfn.XLOOKUP(
   $B$4&amp;" "&amp;$B31,
   Actuals!$D:$D,
   _xlfn.XLOOKUP(
      AH$6,
      Actuals!$H$3:$BD$3,
      Actuals!$H:$BD
   )
)</f>
        <v>0</v>
      </c>
      <c r="AI31" s="354" cm="1">
        <f t="array" ref="AI31">_xlfn.XLOOKUP(
   $B$4&amp;" "&amp;$B31,
   Actuals!$D:$D,
   _xlfn.XLOOKUP(
      AI$6,
      Actuals!$H$3:$BD$3,
      Actuals!$H:$BD
   )
)</f>
        <v>0</v>
      </c>
      <c r="AJ31" s="354" cm="1">
        <f t="array" ref="AJ31">_xlfn.XLOOKUP(
   $B$4&amp;" "&amp;$B31,
   Actuals!$D:$D,
   _xlfn.XLOOKUP(
      AJ$6,
      Actuals!$H$3:$BD$3,
      Actuals!$H:$BD
   )
)</f>
        <v>0</v>
      </c>
      <c r="AK31" s="354" cm="1">
        <f t="array" ref="AK31">_xlfn.XLOOKUP(
   $B$4&amp;" "&amp;$B31,
   Actuals!$D:$D,
   _xlfn.XLOOKUP(
      AK$6,
      Actuals!$H$3:$BD$3,
      Actuals!$H:$BD
   )
)</f>
        <v>0</v>
      </c>
      <c r="AL31" s="354" cm="1">
        <f t="array" ref="AL31">_xlfn.XLOOKUP(
   $B$4&amp;" "&amp;$B31,
   Actuals!$D:$D,
   _xlfn.XLOOKUP(
      AL$6,
      Actuals!$H$3:$BD$3,
      Actuals!$H:$BD
   )
)</f>
        <v>0</v>
      </c>
      <c r="AM31" s="354" cm="1">
        <f t="array" ref="AM31">_xlfn.XLOOKUP(
   $B$4&amp;" "&amp;$B31,
   Actuals!$D:$D,
   _xlfn.XLOOKUP(
      AM$6,
      Actuals!$H$3:$BD$3,
      Actuals!$H:$BD
   )
)</f>
        <v>0</v>
      </c>
      <c r="AN31" s="354" cm="1">
        <f t="array" ref="AN31">_xlfn.XLOOKUP(
   $B$4&amp;" "&amp;$B31,
   Actuals!$D:$D,
   _xlfn.XLOOKUP(
      AN$6,
      Actuals!$H$3:$BD$3,
      Actuals!$H:$BD
   )
)</f>
        <v>0</v>
      </c>
      <c r="AO31" s="354" cm="1">
        <f t="array" ref="AO31">_xlfn.XLOOKUP(
   $B$4&amp;" "&amp;$B31,
   Actuals!$D:$D,
   _xlfn.XLOOKUP(
      AO$6,
      Actuals!$H$3:$BD$3,
      Actuals!$H:$BD
   )
)</f>
        <v>0</v>
      </c>
      <c r="AP31" s="354" cm="1">
        <f t="array" ref="AP31">_xlfn.XLOOKUP(
   $B$4&amp;" "&amp;$B31,
   Actuals!$D:$D,
   _xlfn.XLOOKUP(
      AP$6,
      Actuals!$H$3:$BD$3,
      Actuals!$H:$BD
   )
)</f>
        <v>0</v>
      </c>
      <c r="AQ31" s="354" cm="1">
        <f t="array" ref="AQ31">_xlfn.XLOOKUP(
   $B$4&amp;" "&amp;$B31,
   Actuals!$D:$D,
   _xlfn.XLOOKUP(
      AQ$6,
      Actuals!$H$3:$BD$3,
      Actuals!$H:$BD
   )
)</f>
        <v>0</v>
      </c>
      <c r="AR31" s="354" cm="1">
        <f t="array" ref="AR31">_xlfn.XLOOKUP(
   $B$4&amp;" "&amp;$B31,
   Actuals!$D:$D,
   _xlfn.XLOOKUP(
      AR$6,
      Actuals!$H$3:$BD$3,
      Actuals!$H:$BD
   )
)</f>
        <v>0</v>
      </c>
      <c r="AS31" s="354" cm="1">
        <f t="array" ref="AS31">_xlfn.XLOOKUP(
   $B$4&amp;" "&amp;$B31,
   Actuals!$D:$D,
   _xlfn.XLOOKUP(
      AS$6,
      Actuals!$H$3:$BD$3,
      Actuals!$H:$BD
   )
)</f>
        <v>0</v>
      </c>
      <c r="AT31" s="354" cm="1">
        <f t="array" ref="AT31">_xlfn.XLOOKUP(
   $B$4&amp;" "&amp;$B31,
   Actuals!$D:$D,
   _xlfn.XLOOKUP(
      AT$6,
      Actuals!$H$3:$BD$3,
      Actuals!$H:$BD
   )
)</f>
        <v>0</v>
      </c>
      <c r="AU31" s="354" cm="1">
        <f t="array" ref="AU31">_xlfn.XLOOKUP(
   $B$4&amp;" "&amp;$B31,
   Actuals!$D:$D,
   _xlfn.XLOOKUP(
      AU$6,
      Actuals!$H$3:$BD$3,
      Actuals!$H:$BD
   )
)</f>
        <v>0</v>
      </c>
      <c r="AV31" s="354" cm="1">
        <f t="array" ref="AV31">_xlfn.XLOOKUP(
   $B$4&amp;" "&amp;$B31,
   Actuals!$D:$D,
   _xlfn.XLOOKUP(
      AV$6,
      Actuals!$H$3:$BD$3,
      Actuals!$H:$BD
   )
)</f>
        <v>0</v>
      </c>
      <c r="AW31" s="354" cm="1">
        <f t="array" ref="AW31">_xlfn.XLOOKUP(
   $B$4&amp;" "&amp;$B31,
   Actuals!$D:$D,
   _xlfn.XLOOKUP(
      AW$6,
      Actuals!$H$3:$BD$3,
      Actuals!$H:$BD
   )
)</f>
        <v>0</v>
      </c>
      <c r="AX31" s="354" cm="1">
        <f t="array" ref="AX31">_xlfn.XLOOKUP(
   $B$4&amp;" "&amp;$B31,
   Actuals!$D:$D,
   _xlfn.XLOOKUP(
      AX$6,
      Actuals!$H$3:$BD$3,
      Actuals!$H:$BD
   )
)</f>
        <v>0</v>
      </c>
      <c r="AY31" s="354" cm="1">
        <f t="array" ref="AY31">_xlfn.XLOOKUP(
   $B$4&amp;" "&amp;$B31,
   Actuals!$D:$D,
   _xlfn.XLOOKUP(
      AY$6,
      Actuals!$H$3:$BD$3,
      Actuals!$H:$BD
   )
)</f>
        <v>0</v>
      </c>
      <c r="AZ31" s="354" cm="1">
        <f t="array" ref="AZ31">_xlfn.XLOOKUP(
   $B$4&amp;" "&amp;$B31,
   Actuals!$D:$D,
   _xlfn.XLOOKUP(
      AZ$6,
      Actuals!$H$3:$BD$3,
      Actuals!$H:$BD
   )
)</f>
        <v>0</v>
      </c>
      <c r="BA31" s="354"/>
      <c r="BB31" s="354" cm="1">
        <f t="array" ref="BB31">_xlfn.XLOOKUP(
   $B$4&amp;" "&amp;$B31,
   Actuals!$D:$D,
   _xlfn.XLOOKUP(
      BB$7,
      Actuals!$H$3:$BM$3,
      Actuals!$H:$BM
   )
)</f>
        <v>0</v>
      </c>
      <c r="BC31" s="354">
        <f>VLOOKUP($B$4&amp;" "&amp;$B31,Budget!$AG$4:$AL$132,$BB$5+1,FALSE)</f>
        <v>0</v>
      </c>
      <c r="BD31" s="354">
        <f t="shared" si="33"/>
        <v>0</v>
      </c>
      <c r="BE31" s="354"/>
      <c r="BF31" s="354" cm="1">
        <f t="array" ref="BF31">_xlfn.XLOOKUP(
   $B$4&amp;" "&amp;$B31,
   Actuals!$D:$D,
   _xlfn.XLOOKUP(
      BF$7,
      Actuals!$H$3:$BM$3,
      Actuals!$H:$BM
   )
)</f>
        <v>0</v>
      </c>
      <c r="BG31" s="354">
        <f>VLOOKUP($B$4&amp;" "&amp;$B31,Budget!$AG$4:$AL$132,BF$5+1,FALSE)</f>
        <v>0</v>
      </c>
      <c r="BH31" s="354">
        <f t="shared" si="34"/>
        <v>0</v>
      </c>
      <c r="BI31" s="354"/>
      <c r="BJ31" s="354" cm="1">
        <f t="array" ref="BJ31">_xlfn.XLOOKUP(
   $B$4&amp;" "&amp;$B31,
   Actuals!$D:$D,
   _xlfn.XLOOKUP(
      BJ$7,
      Actuals!$H$3:$BM$3,
      Actuals!$H:$BM
   )
)</f>
        <v>0</v>
      </c>
      <c r="BK31" s="354">
        <f>VLOOKUP($B$4&amp;" "&amp;$B31,Budget!$AG$4:$AL$132,BJ$5+1,FALSE)</f>
        <v>0</v>
      </c>
      <c r="BL31" s="354">
        <f t="shared" si="35"/>
        <v>0</v>
      </c>
      <c r="BM31" s="354"/>
      <c r="BN31" s="354" cm="1">
        <f t="array" ref="BN31">_xlfn.XLOOKUP(
   $B$4&amp;" "&amp;$B31,
   Actuals!$D:$D,
   _xlfn.XLOOKUP(
      BN$7,
      Actuals!$H$3:$BM$3,
      Actuals!$H:$BM
   )
)</f>
        <v>0</v>
      </c>
      <c r="BO31" s="354">
        <f>VLOOKUP($B$4&amp;" "&amp;$B31,Budget!$AG$4:$AL$132,BN$5+1,FALSE)</f>
        <v>0</v>
      </c>
      <c r="BP31" s="354"/>
      <c r="BQ31" s="354"/>
      <c r="BR31" s="354" cm="1">
        <f t="array" aca="1" ref="BR31" ca="1">_xlfn.XLOOKUP(
   $B$4&amp;" "&amp;$B31,
   Actuals!$D:$D,
   _xlfn.XLOOKUP(
      BR$6,
      Actuals!$H$3:$BM$3,
      Actuals!$H:$BM
   )
)</f>
        <v>0</v>
      </c>
      <c r="BS31" s="354">
        <f ca="1">VLOOKUP($B$4&amp;" "&amp;$B31,Budget!$AG$4:$AL$132,6,FALSE)</f>
        <v>0</v>
      </c>
      <c r="BT31" s="354">
        <f t="shared" ca="1" si="36"/>
        <v>0</v>
      </c>
      <c r="BU31" s="354"/>
      <c r="BV31" s="354" cm="1">
        <f t="array" ref="BV31">_xlfn.XLOOKUP(
   $B$4&amp;" "&amp;$B31,
   Actuals!$D:$D,
   _xlfn.XLOOKUP(
      BV$6,
      Actuals!$H$3:$BM$3,
      Actuals!$H:$BM
   )
)</f>
        <v>0</v>
      </c>
    </row>
    <row r="32" spans="2:74">
      <c r="B32" s="26" t="s">
        <v>125</v>
      </c>
      <c r="C32" s="139" t="s">
        <v>49</v>
      </c>
      <c r="D32" s="171" t="str">
        <f>VLOOKUP($B$4&amp;" "&amp;$B32,Actuals!$D$4:$AG$131,3,FALSE)</f>
        <v>$</v>
      </c>
      <c r="E32" s="168" cm="1">
        <f t="array" ref="E32">_xlfn.XLOOKUP(
   $B$4&amp;" "&amp;$B32,
   Actuals!$D:$D,
   _xlfn.XLOOKUP(
      E$6,
      Actuals!$H$3:$BD$3,
      Actuals!$H:$BD
   )
)</f>
        <v>0</v>
      </c>
      <c r="F32" s="168" cm="1">
        <f t="array" ref="F32">_xlfn.XLOOKUP(
   $B$4&amp;" "&amp;$B32,
   Actuals!$D:$D,
   _xlfn.XLOOKUP(
      F$6,
      Actuals!$H$3:$BD$3,
      Actuals!$H:$BD
   )
)</f>
        <v>0</v>
      </c>
      <c r="G32" s="168" cm="1">
        <f t="array" ref="G32">_xlfn.XLOOKUP(
   $B$4&amp;" "&amp;$B32,
   Actuals!$D:$D,
   _xlfn.XLOOKUP(
      G$6,
      Actuals!$H$3:$BD$3,
      Actuals!$H:$BD
   )
)</f>
        <v>0</v>
      </c>
      <c r="H32" s="168" cm="1">
        <f t="array" ref="H32">_xlfn.XLOOKUP(
   $B$4&amp;" "&amp;$B32,
   Actuals!$D:$D,
   _xlfn.XLOOKUP(
      H$6,
      Actuals!$H$3:$BD$3,
      Actuals!$H:$BD
   )
)</f>
        <v>0</v>
      </c>
      <c r="I32" s="168" cm="1">
        <f t="array" ref="I32">_xlfn.XLOOKUP(
   $B$4&amp;" "&amp;$B32,
   Actuals!$D:$D,
   _xlfn.XLOOKUP(
      I$6,
      Actuals!$H$3:$BD$3,
      Actuals!$H:$BD
   )
)</f>
        <v>0</v>
      </c>
      <c r="J32" s="168" cm="1">
        <f t="array" ref="J32">_xlfn.XLOOKUP(
   $B$4&amp;" "&amp;$B32,
   Actuals!$D:$D,
   _xlfn.XLOOKUP(
      J$6,
      Actuals!$H$3:$BD$3,
      Actuals!$H:$BD
   )
)</f>
        <v>0</v>
      </c>
      <c r="K32" s="168" cm="1">
        <f t="array" ref="K32">_xlfn.XLOOKUP(
   $B$4&amp;" "&amp;$B32,
   Actuals!$D:$D,
   _xlfn.XLOOKUP(
      K$6,
      Actuals!$H$3:$BD$3,
      Actuals!$H:$BD
   )
)</f>
        <v>0</v>
      </c>
      <c r="L32" s="168" cm="1">
        <f t="array" ref="L32">_xlfn.XLOOKUP(
   $B$4&amp;" "&amp;$B32,
   Actuals!$D:$D,
   _xlfn.XLOOKUP(
      L$6,
      Actuals!$H$3:$BD$3,
      Actuals!$H:$BD
   )
)</f>
        <v>0</v>
      </c>
      <c r="M32" s="168" cm="1">
        <f t="array" ref="M32">_xlfn.XLOOKUP(
   $B$4&amp;" "&amp;$B32,
   Actuals!$D:$D,
   _xlfn.XLOOKUP(
      M$6,
      Actuals!$H$3:$BD$3,
      Actuals!$H:$BD
   )
)</f>
        <v>0</v>
      </c>
      <c r="N32" s="168" cm="1">
        <f t="array" ref="N32">_xlfn.XLOOKUP(
   $B$4&amp;" "&amp;$B32,
   Actuals!$D:$D,
   _xlfn.XLOOKUP(
      N$6,
      Actuals!$H$3:$BD$3,
      Actuals!$H:$BD
   )
)</f>
        <v>0</v>
      </c>
      <c r="O32" s="211" cm="1">
        <f t="array" ref="O32">_xlfn.XLOOKUP(
   $B$4&amp;" "&amp;$B32,
   Actuals!$D:$D,
   _xlfn.XLOOKUP(
      O$6,
      Actuals!$H$3:$BD$3,
      Actuals!$H:$BD
   )
)</f>
        <v>0</v>
      </c>
      <c r="P32" s="211" cm="1">
        <f t="array" ref="P32">_xlfn.XLOOKUP(
   $B$4&amp;" "&amp;$B32,
   Actuals!$D:$D,
   _xlfn.XLOOKUP(
      P$6,
      Actuals!$H$3:$BD$3,
      Actuals!$H:$BD
   )
)</f>
        <v>0</v>
      </c>
      <c r="Q32" s="354" cm="1">
        <f t="array" ref="Q32">_xlfn.XLOOKUP(
   $B$4&amp;" "&amp;$B32,
   Actuals!$D:$D,
   _xlfn.XLOOKUP(
      Q$6,
      Actuals!$H$3:$BD$3,
      Actuals!$H:$BD
   )
)</f>
        <v>0</v>
      </c>
      <c r="R32" s="354" cm="1">
        <f t="array" ref="R32">_xlfn.XLOOKUP(
   $B$4&amp;" "&amp;$B32,
   Actuals!$D:$D,
   _xlfn.XLOOKUP(
      R$6,
      Actuals!$H$3:$BD$3,
      Actuals!$H:$BD
   )
)</f>
        <v>0</v>
      </c>
      <c r="S32" s="354" cm="1">
        <f t="array" ref="S32">_xlfn.XLOOKUP(
   $B$4&amp;" "&amp;$B32,
   Actuals!$D:$D,
   _xlfn.XLOOKUP(
      S$6,
      Actuals!$H$3:$BD$3,
      Actuals!$H:$BD
   )
)</f>
        <v>0</v>
      </c>
      <c r="T32" s="354" cm="1">
        <f t="array" ref="T32">_xlfn.XLOOKUP(
   $B$4&amp;" "&amp;$B32,
   Actuals!$D:$D,
   _xlfn.XLOOKUP(
      T$6,
      Actuals!$H$3:$BD$3,
      Actuals!$H:$BD
   )
)</f>
        <v>0</v>
      </c>
      <c r="U32" s="354" cm="1">
        <f t="array" ref="U32">_xlfn.XLOOKUP(
   $B$4&amp;" "&amp;$B32,
   Actuals!$D:$D,
   _xlfn.XLOOKUP(
      U$6,
      Actuals!$H$3:$BD$3,
      Actuals!$H:$BD
   )
)</f>
        <v>0</v>
      </c>
      <c r="V32" s="354" cm="1">
        <f t="array" ref="V32">_xlfn.XLOOKUP(
   $B$4&amp;" "&amp;$B32,
   Actuals!$D:$D,
   _xlfn.XLOOKUP(
      V$6,
      Actuals!$H$3:$BD$3,
      Actuals!$H:$BD
   )
)</f>
        <v>0</v>
      </c>
      <c r="W32" s="354" cm="1">
        <f t="array" ref="W32">_xlfn.XLOOKUP(
   $B$4&amp;" "&amp;$B32,
   Actuals!$D:$D,
   _xlfn.XLOOKUP(
      W$6,
      Actuals!$H$3:$BD$3,
      Actuals!$H:$BD
   )
)</f>
        <v>0</v>
      </c>
      <c r="X32" s="354" cm="1">
        <f t="array" ref="X32">_xlfn.XLOOKUP(
   $B$4&amp;" "&amp;$B32,
   Actuals!$D:$D,
   _xlfn.XLOOKUP(
      X$6,
      Actuals!$H$3:$BD$3,
      Actuals!$H:$BD
   )
)</f>
        <v>0</v>
      </c>
      <c r="Y32" s="354" cm="1">
        <f t="array" ref="Y32">_xlfn.XLOOKUP(
   $B$4&amp;" "&amp;$B32,
   Actuals!$D:$D,
   _xlfn.XLOOKUP(
      Y$6,
      Actuals!$H$3:$BD$3,
      Actuals!$H:$BD
   )
)</f>
        <v>0</v>
      </c>
      <c r="Z32" s="354" cm="1">
        <f t="array" ref="Z32">_xlfn.XLOOKUP(
   $B$4&amp;" "&amp;$B32,
   Actuals!$D:$D,
   _xlfn.XLOOKUP(
      Z$6,
      Actuals!$H$3:$BD$3,
      Actuals!$H:$BD
   )
)</f>
        <v>0</v>
      </c>
      <c r="AA32" s="354" cm="1">
        <f t="array" ref="AA32">_xlfn.XLOOKUP(
   $B$4&amp;" "&amp;$B32,
   Actuals!$D:$D,
   _xlfn.XLOOKUP(
      AA$6,
      Actuals!$H$3:$BD$3,
      Actuals!$H:$BD
   )
)</f>
        <v>0</v>
      </c>
      <c r="AB32" s="354" cm="1">
        <f t="array" ref="AB32">_xlfn.XLOOKUP(
   $B$4&amp;" "&amp;$B32,
   Actuals!$D:$D,
   _xlfn.XLOOKUP(
      AB$6,
      Actuals!$H$3:$BD$3,
      Actuals!$H:$BD
   )
)</f>
        <v>0</v>
      </c>
      <c r="AC32" s="354" cm="1">
        <f t="array" ref="AC32">_xlfn.XLOOKUP(
   $B$4&amp;" "&amp;$B32,
   Actuals!$D:$D,
   _xlfn.XLOOKUP(
      AC$6,
      Actuals!$H$3:$BD$3,
      Actuals!$H:$BD
   )
)</f>
        <v>20000</v>
      </c>
      <c r="AD32" s="354" cm="1">
        <f t="array" ref="AD32">_xlfn.XLOOKUP(
   $B$4&amp;" "&amp;$B32,
   Actuals!$D:$D,
   _xlfn.XLOOKUP(
      AD$6,
      Actuals!$H$3:$BD$3,
      Actuals!$H:$BD
   )
)</f>
        <v>0</v>
      </c>
      <c r="AE32" s="354" cm="1">
        <f t="array" ref="AE32">_xlfn.XLOOKUP(
   $B$4&amp;" "&amp;$B32,
   Actuals!$D:$D,
   _xlfn.XLOOKUP(
      AE$6,
      Actuals!$H$3:$BD$3,
      Actuals!$H:$BD
   )
)</f>
        <v>5000</v>
      </c>
      <c r="AF32" s="354" cm="1">
        <f t="array" ref="AF32">_xlfn.XLOOKUP(
   $B$4&amp;" "&amp;$B32,
   Actuals!$D:$D,
   _xlfn.XLOOKUP(
      AF$6,
      Actuals!$H$3:$BD$3,
      Actuals!$H:$BD
   )
)</f>
        <v>0</v>
      </c>
      <c r="AG32" s="354" cm="1">
        <f t="array" ref="AG32">_xlfn.XLOOKUP(
   $B$4&amp;" "&amp;$B32,
   Actuals!$D:$D,
   _xlfn.XLOOKUP(
      AG$6,
      Actuals!$H$3:$BD$3,
      Actuals!$H:$BD
   )
)</f>
        <v>18500</v>
      </c>
      <c r="AH32" s="354" cm="1">
        <f t="array" ref="AH32">_xlfn.XLOOKUP(
   $B$4&amp;" "&amp;$B32,
   Actuals!$D:$D,
   _xlfn.XLOOKUP(
      AH$6,
      Actuals!$H$3:$BD$3,
      Actuals!$H:$BD
   )
)</f>
        <v>32000</v>
      </c>
      <c r="AI32" s="354" cm="1">
        <f t="array" ref="AI32">_xlfn.XLOOKUP(
   $B$4&amp;" "&amp;$B32,
   Actuals!$D:$D,
   _xlfn.XLOOKUP(
      AI$6,
      Actuals!$H$3:$BD$3,
      Actuals!$H:$BD
   )
)</f>
        <v>10000</v>
      </c>
      <c r="AJ32" s="354" cm="1">
        <f t="array" ref="AJ32">_xlfn.XLOOKUP(
   $B$4&amp;" "&amp;$B32,
   Actuals!$D:$D,
   _xlfn.XLOOKUP(
      AJ$6,
      Actuals!$H$3:$BD$3,
      Actuals!$H:$BD
   )
)</f>
        <v>3000</v>
      </c>
      <c r="AK32" s="354" cm="1">
        <f t="array" ref="AK32">_xlfn.XLOOKUP(
   $B$4&amp;" "&amp;$B32,
   Actuals!$D:$D,
   _xlfn.XLOOKUP(
      AK$6,
      Actuals!$H$3:$BD$3,
      Actuals!$H:$BD
   )
)</f>
        <v>0</v>
      </c>
      <c r="AL32" s="354" cm="1">
        <f t="array" ref="AL32">_xlfn.XLOOKUP(
   $B$4&amp;" "&amp;$B32,
   Actuals!$D:$D,
   _xlfn.XLOOKUP(
      AL$6,
      Actuals!$H$3:$BD$3,
      Actuals!$H:$BD
   )
)</f>
        <v>8000</v>
      </c>
      <c r="AM32" s="354" cm="1">
        <f t="array" ref="AM32">_xlfn.XLOOKUP(
   $B$4&amp;" "&amp;$B32,
   Actuals!$D:$D,
   _xlfn.XLOOKUP(
      AM$6,
      Actuals!$H$3:$BD$3,
      Actuals!$H:$BD
   )
)</f>
        <v>0</v>
      </c>
      <c r="AN32" s="354" cm="1">
        <f t="array" ref="AN32">_xlfn.XLOOKUP(
   $B$4&amp;" "&amp;$B32,
   Actuals!$D:$D,
   _xlfn.XLOOKUP(
      AN$6,
      Actuals!$H$3:$BD$3,
      Actuals!$H:$BD
   )
)</f>
        <v>8500</v>
      </c>
      <c r="AO32" s="354" cm="1">
        <f t="array" ref="AO32">_xlfn.XLOOKUP(
   $B$4&amp;" "&amp;$B32,
   Actuals!$D:$D,
   _xlfn.XLOOKUP(
      AO$6,
      Actuals!$H$3:$BD$3,
      Actuals!$H:$BD
   )
)</f>
        <v>0</v>
      </c>
      <c r="AP32" s="354" cm="1">
        <f t="array" ref="AP32">_xlfn.XLOOKUP(
   $B$4&amp;" "&amp;$B32,
   Actuals!$D:$D,
   _xlfn.XLOOKUP(
      AP$6,
      Actuals!$H$3:$BD$3,
      Actuals!$H:$BD
   )
)</f>
        <v>0</v>
      </c>
      <c r="AQ32" s="354" cm="1">
        <f t="array" ref="AQ32">_xlfn.XLOOKUP(
   $B$4&amp;" "&amp;$B32,
   Actuals!$D:$D,
   _xlfn.XLOOKUP(
      AQ$6,
      Actuals!$H$3:$BD$3,
      Actuals!$H:$BD
   )
)</f>
        <v>0</v>
      </c>
      <c r="AR32" s="354" cm="1">
        <f t="array" ref="AR32">_xlfn.XLOOKUP(
   $B$4&amp;" "&amp;$B32,
   Actuals!$D:$D,
   _xlfn.XLOOKUP(
      AR$6,
      Actuals!$H$3:$BD$3,
      Actuals!$H:$BD
   )
)</f>
        <v>0</v>
      </c>
      <c r="AS32" s="354" cm="1">
        <f t="array" ref="AS32">_xlfn.XLOOKUP(
   $B$4&amp;" "&amp;$B32,
   Actuals!$D:$D,
   _xlfn.XLOOKUP(
      AS$6,
      Actuals!$H$3:$BD$3,
      Actuals!$H:$BD
   )
)</f>
        <v>0</v>
      </c>
      <c r="AT32" s="354" cm="1">
        <f t="array" ref="AT32">_xlfn.XLOOKUP(
   $B$4&amp;" "&amp;$B32,
   Actuals!$D:$D,
   _xlfn.XLOOKUP(
      AT$6,
      Actuals!$H$3:$BD$3,
      Actuals!$H:$BD
   )
)</f>
        <v>0</v>
      </c>
      <c r="AU32" s="354" cm="1">
        <f t="array" ref="AU32">_xlfn.XLOOKUP(
   $B$4&amp;" "&amp;$B32,
   Actuals!$D:$D,
   _xlfn.XLOOKUP(
      AU$6,
      Actuals!$H$3:$BD$3,
      Actuals!$H:$BD
   )
)</f>
        <v>0</v>
      </c>
      <c r="AV32" s="354" cm="1">
        <f t="array" ref="AV32">_xlfn.XLOOKUP(
   $B$4&amp;" "&amp;$B32,
   Actuals!$D:$D,
   _xlfn.XLOOKUP(
      AV$6,
      Actuals!$H$3:$BD$3,
      Actuals!$H:$BD
   )
)</f>
        <v>0</v>
      </c>
      <c r="AW32" s="354" cm="1">
        <f t="array" ref="AW32">_xlfn.XLOOKUP(
   $B$4&amp;" "&amp;$B32,
   Actuals!$D:$D,
   _xlfn.XLOOKUP(
      AW$6,
      Actuals!$H$3:$BD$3,
      Actuals!$H:$BD
   )
)</f>
        <v>0</v>
      </c>
      <c r="AX32" s="354" cm="1">
        <f t="array" ref="AX32">_xlfn.XLOOKUP(
   $B$4&amp;" "&amp;$B32,
   Actuals!$D:$D,
   _xlfn.XLOOKUP(
      AX$6,
      Actuals!$H$3:$BD$3,
      Actuals!$H:$BD
   )
)</f>
        <v>0</v>
      </c>
      <c r="AY32" s="354" cm="1">
        <f t="array" ref="AY32">_xlfn.XLOOKUP(
   $B$4&amp;" "&amp;$B32,
   Actuals!$D:$D,
   _xlfn.XLOOKUP(
      AY$6,
      Actuals!$H$3:$BD$3,
      Actuals!$H:$BD
   )
)</f>
        <v>0</v>
      </c>
      <c r="AZ32" s="354" cm="1">
        <f t="array" ref="AZ32">_xlfn.XLOOKUP(
   $B$4&amp;" "&amp;$B32,
   Actuals!$D:$D,
   _xlfn.XLOOKUP(
      AZ$6,
      Actuals!$H$3:$BD$3,
      Actuals!$H:$BD
   )
)</f>
        <v>0</v>
      </c>
      <c r="BA32" s="354"/>
      <c r="BB32" s="354" cm="1">
        <f t="array" ref="BB32">_xlfn.XLOOKUP(
   $B$4&amp;" "&amp;$B32,
   Actuals!$D:$D,
   _xlfn.XLOOKUP(
      BB$7,
      Actuals!$H$3:$BM$3,
      Actuals!$H:$BM
   )
)</f>
        <v>0</v>
      </c>
      <c r="BC32" s="354">
        <f>VLOOKUP($B$4&amp;" "&amp;$B32,Budget!$AG$4:$AL$132,$BB$5+1,FALSE)</f>
        <v>0</v>
      </c>
      <c r="BD32" s="354">
        <f t="shared" si="33"/>
        <v>0</v>
      </c>
      <c r="BE32" s="354"/>
      <c r="BF32" s="354" cm="1">
        <f t="array" ref="BF32">_xlfn.XLOOKUP(
   $B$4&amp;" "&amp;$B32,
   Actuals!$D:$D,
   _xlfn.XLOOKUP(
      BF$7,
      Actuals!$H$3:$BM$3,
      Actuals!$H:$BM
   )
)</f>
        <v>0</v>
      </c>
      <c r="BG32" s="354">
        <f>VLOOKUP($B$4&amp;" "&amp;$B32,Budget!$AG$4:$AL$132,BF$5+1,FALSE)</f>
        <v>0</v>
      </c>
      <c r="BH32" s="354">
        <f t="shared" si="34"/>
        <v>0</v>
      </c>
      <c r="BI32" s="354"/>
      <c r="BJ32" s="354" cm="1">
        <f t="array" ref="BJ32">_xlfn.XLOOKUP(
   $B$4&amp;" "&amp;$B32,
   Actuals!$D:$D,
   _xlfn.XLOOKUP(
      BJ$7,
      Actuals!$H$3:$BM$3,
      Actuals!$H:$BM
   )
)</f>
        <v>0</v>
      </c>
      <c r="BK32" s="354">
        <f>VLOOKUP($B$4&amp;" "&amp;$B32,Budget!$AG$4:$AL$132,BJ$5+1,FALSE)</f>
        <v>0</v>
      </c>
      <c r="BL32" s="354">
        <f t="shared" si="35"/>
        <v>0</v>
      </c>
      <c r="BM32" s="354"/>
      <c r="BN32" s="354" cm="1">
        <f t="array" ref="BN32">_xlfn.XLOOKUP(
   $B$4&amp;" "&amp;$B32,
   Actuals!$D:$D,
   _xlfn.XLOOKUP(
      BN$7,
      Actuals!$H$3:$BM$3,
      Actuals!$H:$BM
   )
)</f>
        <v>0</v>
      </c>
      <c r="BO32" s="354">
        <f>VLOOKUP($B$4&amp;" "&amp;$B32,Budget!$AG$4:$AL$132,BN$5+1,FALSE)</f>
        <v>0</v>
      </c>
      <c r="BP32" s="354"/>
      <c r="BQ32" s="354"/>
      <c r="BR32" s="354" cm="1">
        <f t="array" aca="1" ref="BR32" ca="1">_xlfn.XLOOKUP(
   $B$4&amp;" "&amp;$B32,
   Actuals!$D:$D,
   _xlfn.XLOOKUP(
      BR$6,
      Actuals!$H$3:$BM$3,
      Actuals!$H:$BM
   )
)</f>
        <v>0</v>
      </c>
      <c r="BS32" s="354">
        <f ca="1">VLOOKUP($B$4&amp;" "&amp;$B32,Budget!$AG$4:$AL$132,6,FALSE)</f>
        <v>0</v>
      </c>
      <c r="BT32" s="354">
        <f t="shared" ca="1" si="36"/>
        <v>0</v>
      </c>
      <c r="BU32" s="354"/>
      <c r="BV32" s="354" cm="1">
        <f t="array" ref="BV32">_xlfn.XLOOKUP(
   $B$4&amp;" "&amp;$B32,
   Actuals!$D:$D,
   _xlfn.XLOOKUP(
      BV$6,
      Actuals!$H$3:$BM$3,
      Actuals!$H:$BM
   )
)</f>
        <v>85000</v>
      </c>
    </row>
    <row r="33" spans="2:74">
      <c r="B33" s="26" t="s">
        <v>126</v>
      </c>
      <c r="C33" s="139" t="s">
        <v>49</v>
      </c>
      <c r="D33" s="171" t="str">
        <f>VLOOKUP($B$4&amp;" "&amp;$B33,Actuals!$D$4:$AG$131,3,FALSE)</f>
        <v>$</v>
      </c>
      <c r="E33" s="168" cm="1">
        <f t="array" ref="E33">_xlfn.XLOOKUP(
   $B$4&amp;" "&amp;$B33,
   Actuals!$D:$D,
   _xlfn.XLOOKUP(
      E$6,
      Actuals!$H$3:$BD$3,
      Actuals!$H:$BD
   )
)</f>
        <v>0</v>
      </c>
      <c r="F33" s="168" cm="1">
        <f t="array" ref="F33">_xlfn.XLOOKUP(
   $B$4&amp;" "&amp;$B33,
   Actuals!$D:$D,
   _xlfn.XLOOKUP(
      F$6,
      Actuals!$H$3:$BD$3,
      Actuals!$H:$BD
   )
)</f>
        <v>0</v>
      </c>
      <c r="G33" s="168" cm="1">
        <f t="array" ref="G33">_xlfn.XLOOKUP(
   $B$4&amp;" "&amp;$B33,
   Actuals!$D:$D,
   _xlfn.XLOOKUP(
      G$6,
      Actuals!$H$3:$BD$3,
      Actuals!$H:$BD
   )
)</f>
        <v>0</v>
      </c>
      <c r="H33" s="168" cm="1">
        <f t="array" ref="H33">_xlfn.XLOOKUP(
   $B$4&amp;" "&amp;$B33,
   Actuals!$D:$D,
   _xlfn.XLOOKUP(
      H$6,
      Actuals!$H$3:$BD$3,
      Actuals!$H:$BD
   )
)</f>
        <v>0</v>
      </c>
      <c r="I33" s="168" cm="1">
        <f t="array" ref="I33">_xlfn.XLOOKUP(
   $B$4&amp;" "&amp;$B33,
   Actuals!$D:$D,
   _xlfn.XLOOKUP(
      I$6,
      Actuals!$H$3:$BD$3,
      Actuals!$H:$BD
   )
)</f>
        <v>0</v>
      </c>
      <c r="J33" s="168" cm="1">
        <f t="array" ref="J33">_xlfn.XLOOKUP(
   $B$4&amp;" "&amp;$B33,
   Actuals!$D:$D,
   _xlfn.XLOOKUP(
      J$6,
      Actuals!$H$3:$BD$3,
      Actuals!$H:$BD
   )
)</f>
        <v>0</v>
      </c>
      <c r="K33" s="168" cm="1">
        <f t="array" ref="K33">_xlfn.XLOOKUP(
   $B$4&amp;" "&amp;$B33,
   Actuals!$D:$D,
   _xlfn.XLOOKUP(
      K$6,
      Actuals!$H$3:$BD$3,
      Actuals!$H:$BD
   )
)</f>
        <v>0</v>
      </c>
      <c r="L33" s="168" cm="1">
        <f t="array" ref="L33">_xlfn.XLOOKUP(
   $B$4&amp;" "&amp;$B33,
   Actuals!$D:$D,
   _xlfn.XLOOKUP(
      L$6,
      Actuals!$H$3:$BD$3,
      Actuals!$H:$BD
   )
)</f>
        <v>0</v>
      </c>
      <c r="M33" s="168" cm="1">
        <f t="array" ref="M33">_xlfn.XLOOKUP(
   $B$4&amp;" "&amp;$B33,
   Actuals!$D:$D,
   _xlfn.XLOOKUP(
      M$6,
      Actuals!$H$3:$BD$3,
      Actuals!$H:$BD
   )
)</f>
        <v>0</v>
      </c>
      <c r="N33" s="168" cm="1">
        <f t="array" ref="N33">_xlfn.XLOOKUP(
   $B$4&amp;" "&amp;$B33,
   Actuals!$D:$D,
   _xlfn.XLOOKUP(
      N$6,
      Actuals!$H$3:$BD$3,
      Actuals!$H:$BD
   )
)</f>
        <v>0</v>
      </c>
      <c r="O33" s="211" cm="1">
        <f t="array" ref="O33">_xlfn.XLOOKUP(
   $B$4&amp;" "&amp;$B33,
   Actuals!$D:$D,
   _xlfn.XLOOKUP(
      O$6,
      Actuals!$H$3:$BD$3,
      Actuals!$H:$BD
   )
)</f>
        <v>0</v>
      </c>
      <c r="P33" s="211" cm="1">
        <f t="array" ref="P33">_xlfn.XLOOKUP(
   $B$4&amp;" "&amp;$B33,
   Actuals!$D:$D,
   _xlfn.XLOOKUP(
      P$6,
      Actuals!$H$3:$BD$3,
      Actuals!$H:$BD
   )
)</f>
        <v>0</v>
      </c>
      <c r="Q33" s="354" cm="1">
        <f t="array" ref="Q33">_xlfn.XLOOKUP(
   $B$4&amp;" "&amp;$B33,
   Actuals!$D:$D,
   _xlfn.XLOOKUP(
      Q$6,
      Actuals!$H$3:$BD$3,
      Actuals!$H:$BD
   )
)</f>
        <v>0</v>
      </c>
      <c r="R33" s="354" cm="1">
        <f t="array" ref="R33">_xlfn.XLOOKUP(
   $B$4&amp;" "&amp;$B33,
   Actuals!$D:$D,
   _xlfn.XLOOKUP(
      R$6,
      Actuals!$H$3:$BD$3,
      Actuals!$H:$BD
   )
)</f>
        <v>0</v>
      </c>
      <c r="S33" s="354" cm="1">
        <f t="array" ref="S33">_xlfn.XLOOKUP(
   $B$4&amp;" "&amp;$B33,
   Actuals!$D:$D,
   _xlfn.XLOOKUP(
      S$6,
      Actuals!$H$3:$BD$3,
      Actuals!$H:$BD
   )
)</f>
        <v>0</v>
      </c>
      <c r="T33" s="354" cm="1">
        <f t="array" ref="T33">_xlfn.XLOOKUP(
   $B$4&amp;" "&amp;$B33,
   Actuals!$D:$D,
   _xlfn.XLOOKUP(
      T$6,
      Actuals!$H$3:$BD$3,
      Actuals!$H:$BD
   )
)</f>
        <v>0</v>
      </c>
      <c r="U33" s="354" cm="1">
        <f t="array" ref="U33">_xlfn.XLOOKUP(
   $B$4&amp;" "&amp;$B33,
   Actuals!$D:$D,
   _xlfn.XLOOKUP(
      U$6,
      Actuals!$H$3:$BD$3,
      Actuals!$H:$BD
   )
)</f>
        <v>0</v>
      </c>
      <c r="V33" s="354" cm="1">
        <f t="array" ref="V33">_xlfn.XLOOKUP(
   $B$4&amp;" "&amp;$B33,
   Actuals!$D:$D,
   _xlfn.XLOOKUP(
      V$6,
      Actuals!$H$3:$BD$3,
      Actuals!$H:$BD
   )
)</f>
        <v>0</v>
      </c>
      <c r="W33" s="354" cm="1">
        <f t="array" ref="W33">_xlfn.XLOOKUP(
   $B$4&amp;" "&amp;$B33,
   Actuals!$D:$D,
   _xlfn.XLOOKUP(
      W$6,
      Actuals!$H$3:$BD$3,
      Actuals!$H:$BD
   )
)</f>
        <v>0</v>
      </c>
      <c r="X33" s="354" cm="1">
        <f t="array" ref="X33">_xlfn.XLOOKUP(
   $B$4&amp;" "&amp;$B33,
   Actuals!$D:$D,
   _xlfn.XLOOKUP(
      X$6,
      Actuals!$H$3:$BD$3,
      Actuals!$H:$BD
   )
)</f>
        <v>0</v>
      </c>
      <c r="Y33" s="354" cm="1">
        <f t="array" ref="Y33">_xlfn.XLOOKUP(
   $B$4&amp;" "&amp;$B33,
   Actuals!$D:$D,
   _xlfn.XLOOKUP(
      Y$6,
      Actuals!$H$3:$BD$3,
      Actuals!$H:$BD
   )
)</f>
        <v>0</v>
      </c>
      <c r="Z33" s="354" cm="1">
        <f t="array" ref="Z33">_xlfn.XLOOKUP(
   $B$4&amp;" "&amp;$B33,
   Actuals!$D:$D,
   _xlfn.XLOOKUP(
      Z$6,
      Actuals!$H$3:$BD$3,
      Actuals!$H:$BD
   )
)</f>
        <v>0</v>
      </c>
      <c r="AA33" s="354" cm="1">
        <f t="array" ref="AA33">_xlfn.XLOOKUP(
   $B$4&amp;" "&amp;$B33,
   Actuals!$D:$D,
   _xlfn.XLOOKUP(
      AA$6,
      Actuals!$H$3:$BD$3,
      Actuals!$H:$BD
   )
)</f>
        <v>0</v>
      </c>
      <c r="AB33" s="354" cm="1">
        <f t="array" ref="AB33">_xlfn.XLOOKUP(
   $B$4&amp;" "&amp;$B33,
   Actuals!$D:$D,
   _xlfn.XLOOKUP(
      AB$6,
      Actuals!$H$3:$BD$3,
      Actuals!$H:$BD
   )
)</f>
        <v>0</v>
      </c>
      <c r="AC33" s="354" cm="1">
        <f t="array" ref="AC33">_xlfn.XLOOKUP(
   $B$4&amp;" "&amp;$B33,
   Actuals!$D:$D,
   _xlfn.XLOOKUP(
      AC$6,
      Actuals!$H$3:$BD$3,
      Actuals!$H:$BD
   )
)</f>
        <v>0</v>
      </c>
      <c r="AD33" s="354" cm="1">
        <f t="array" ref="AD33">_xlfn.XLOOKUP(
   $B$4&amp;" "&amp;$B33,
   Actuals!$D:$D,
   _xlfn.XLOOKUP(
      AD$6,
      Actuals!$H$3:$BD$3,
      Actuals!$H:$BD
   )
)</f>
        <v>0</v>
      </c>
      <c r="AE33" s="354" cm="1">
        <f t="array" ref="AE33">_xlfn.XLOOKUP(
   $B$4&amp;" "&amp;$B33,
   Actuals!$D:$D,
   _xlfn.XLOOKUP(
      AE$6,
      Actuals!$H$3:$BD$3,
      Actuals!$H:$BD
   )
)</f>
        <v>0</v>
      </c>
      <c r="AF33" s="354" cm="1">
        <f t="array" ref="AF33">_xlfn.XLOOKUP(
   $B$4&amp;" "&amp;$B33,
   Actuals!$D:$D,
   _xlfn.XLOOKUP(
      AF$6,
      Actuals!$H$3:$BD$3,
      Actuals!$H:$BD
   )
)</f>
        <v>0</v>
      </c>
      <c r="AG33" s="354" cm="1">
        <f t="array" ref="AG33">_xlfn.XLOOKUP(
   $B$4&amp;" "&amp;$B33,
   Actuals!$D:$D,
   _xlfn.XLOOKUP(
      AG$6,
      Actuals!$H$3:$BD$3,
      Actuals!$H:$BD
   )
)</f>
        <v>0</v>
      </c>
      <c r="AH33" s="354" cm="1">
        <f t="array" ref="AH33">_xlfn.XLOOKUP(
   $B$4&amp;" "&amp;$B33,
   Actuals!$D:$D,
   _xlfn.XLOOKUP(
      AH$6,
      Actuals!$H$3:$BD$3,
      Actuals!$H:$BD
   )
)</f>
        <v>0</v>
      </c>
      <c r="AI33" s="354" cm="1">
        <f t="array" ref="AI33">_xlfn.XLOOKUP(
   $B$4&amp;" "&amp;$B33,
   Actuals!$D:$D,
   _xlfn.XLOOKUP(
      AI$6,
      Actuals!$H$3:$BD$3,
      Actuals!$H:$BD
   )
)</f>
        <v>0</v>
      </c>
      <c r="AJ33" s="354" cm="1">
        <f t="array" ref="AJ33">_xlfn.XLOOKUP(
   $B$4&amp;" "&amp;$B33,
   Actuals!$D:$D,
   _xlfn.XLOOKUP(
      AJ$6,
      Actuals!$H$3:$BD$3,
      Actuals!$H:$BD
   )
)</f>
        <v>0</v>
      </c>
      <c r="AK33" s="354" cm="1">
        <f t="array" ref="AK33">_xlfn.XLOOKUP(
   $B$4&amp;" "&amp;$B33,
   Actuals!$D:$D,
   _xlfn.XLOOKUP(
      AK$6,
      Actuals!$H$3:$BD$3,
      Actuals!$H:$BD
   )
)</f>
        <v>0</v>
      </c>
      <c r="AL33" s="354" cm="1">
        <f t="array" ref="AL33">_xlfn.XLOOKUP(
   $B$4&amp;" "&amp;$B33,
   Actuals!$D:$D,
   _xlfn.XLOOKUP(
      AL$6,
      Actuals!$H$3:$BD$3,
      Actuals!$H:$BD
   )
)</f>
        <v>0</v>
      </c>
      <c r="AM33" s="354" cm="1">
        <f t="array" ref="AM33">_xlfn.XLOOKUP(
   $B$4&amp;" "&amp;$B33,
   Actuals!$D:$D,
   _xlfn.XLOOKUP(
      AM$6,
      Actuals!$H$3:$BD$3,
      Actuals!$H:$BD
   )
)</f>
        <v>0</v>
      </c>
      <c r="AN33" s="354" cm="1">
        <f t="array" ref="AN33">_xlfn.XLOOKUP(
   $B$4&amp;" "&amp;$B33,
   Actuals!$D:$D,
   _xlfn.XLOOKUP(
      AN$6,
      Actuals!$H$3:$BD$3,
      Actuals!$H:$BD
   )
)</f>
        <v>0</v>
      </c>
      <c r="AO33" s="354" cm="1">
        <f t="array" ref="AO33">_xlfn.XLOOKUP(
   $B$4&amp;" "&amp;$B33,
   Actuals!$D:$D,
   _xlfn.XLOOKUP(
      AO$6,
      Actuals!$H$3:$BD$3,
      Actuals!$H:$BD
   )
)</f>
        <v>0</v>
      </c>
      <c r="AP33" s="354" cm="1">
        <f t="array" ref="AP33">_xlfn.XLOOKUP(
   $B$4&amp;" "&amp;$B33,
   Actuals!$D:$D,
   _xlfn.XLOOKUP(
      AP$6,
      Actuals!$H$3:$BD$3,
      Actuals!$H:$BD
   )
)</f>
        <v>0</v>
      </c>
      <c r="AQ33" s="354" cm="1">
        <f t="array" ref="AQ33">_xlfn.XLOOKUP(
   $B$4&amp;" "&amp;$B33,
   Actuals!$D:$D,
   _xlfn.XLOOKUP(
      AQ$6,
      Actuals!$H$3:$BD$3,
      Actuals!$H:$BD
   )
)</f>
        <v>0</v>
      </c>
      <c r="AR33" s="354" cm="1">
        <f t="array" ref="AR33">_xlfn.XLOOKUP(
   $B$4&amp;" "&amp;$B33,
   Actuals!$D:$D,
   _xlfn.XLOOKUP(
      AR$6,
      Actuals!$H$3:$BD$3,
      Actuals!$H:$BD
   )
)</f>
        <v>0</v>
      </c>
      <c r="AS33" s="354" cm="1">
        <f t="array" ref="AS33">_xlfn.XLOOKUP(
   $B$4&amp;" "&amp;$B33,
   Actuals!$D:$D,
   _xlfn.XLOOKUP(
      AS$6,
      Actuals!$H$3:$BD$3,
      Actuals!$H:$BD
   )
)</f>
        <v>0</v>
      </c>
      <c r="AT33" s="354" cm="1">
        <f t="array" ref="AT33">_xlfn.XLOOKUP(
   $B$4&amp;" "&amp;$B33,
   Actuals!$D:$D,
   _xlfn.XLOOKUP(
      AT$6,
      Actuals!$H$3:$BD$3,
      Actuals!$H:$BD
   )
)</f>
        <v>0</v>
      </c>
      <c r="AU33" s="354" cm="1">
        <f t="array" ref="AU33">_xlfn.XLOOKUP(
   $B$4&amp;" "&amp;$B33,
   Actuals!$D:$D,
   _xlfn.XLOOKUP(
      AU$6,
      Actuals!$H$3:$BD$3,
      Actuals!$H:$BD
   )
)</f>
        <v>0</v>
      </c>
      <c r="AV33" s="354" cm="1">
        <f t="array" ref="AV33">_xlfn.XLOOKUP(
   $B$4&amp;" "&amp;$B33,
   Actuals!$D:$D,
   _xlfn.XLOOKUP(
      AV$6,
      Actuals!$H$3:$BD$3,
      Actuals!$H:$BD
   )
)</f>
        <v>0</v>
      </c>
      <c r="AW33" s="354" cm="1">
        <f t="array" ref="AW33">_xlfn.XLOOKUP(
   $B$4&amp;" "&amp;$B33,
   Actuals!$D:$D,
   _xlfn.XLOOKUP(
      AW$6,
      Actuals!$H$3:$BD$3,
      Actuals!$H:$BD
   )
)</f>
        <v>0</v>
      </c>
      <c r="AX33" s="354" cm="1">
        <f t="array" ref="AX33">_xlfn.XLOOKUP(
   $B$4&amp;" "&amp;$B33,
   Actuals!$D:$D,
   _xlfn.XLOOKUP(
      AX$6,
      Actuals!$H$3:$BD$3,
      Actuals!$H:$BD
   )
)</f>
        <v>0</v>
      </c>
      <c r="AY33" s="354" cm="1">
        <f t="array" ref="AY33">_xlfn.XLOOKUP(
   $B$4&amp;" "&amp;$B33,
   Actuals!$D:$D,
   _xlfn.XLOOKUP(
      AY$6,
      Actuals!$H$3:$BD$3,
      Actuals!$H:$BD
   )
)</f>
        <v>0</v>
      </c>
      <c r="AZ33" s="354" cm="1">
        <f t="array" ref="AZ33">_xlfn.XLOOKUP(
   $B$4&amp;" "&amp;$B33,
   Actuals!$D:$D,
   _xlfn.XLOOKUP(
      AZ$6,
      Actuals!$H$3:$BD$3,
      Actuals!$H:$BD
   )
)</f>
        <v>0</v>
      </c>
      <c r="BA33" s="354"/>
      <c r="BB33" s="354" cm="1">
        <f t="array" ref="BB33">_xlfn.XLOOKUP(
   $B$4&amp;" "&amp;$B33,
   Actuals!$D:$D,
   _xlfn.XLOOKUP(
      BB$7,
      Actuals!$H$3:$BM$3,
      Actuals!$H:$BM
   )
)</f>
        <v>0</v>
      </c>
      <c r="BC33" s="354">
        <f>VLOOKUP($B$4&amp;" "&amp;$B33,Budget!$AG$4:$AL$132,$BB$5+1,FALSE)</f>
        <v>65550</v>
      </c>
      <c r="BD33" s="354">
        <f t="shared" si="33"/>
        <v>-65550</v>
      </c>
      <c r="BE33" s="354"/>
      <c r="BF33" s="354" cm="1">
        <f t="array" ref="BF33">_xlfn.XLOOKUP(
   $B$4&amp;" "&amp;$B33,
   Actuals!$D:$D,
   _xlfn.XLOOKUP(
      BF$7,
      Actuals!$H$3:$BM$3,
      Actuals!$H:$BM
   )
)</f>
        <v>0</v>
      </c>
      <c r="BG33" s="354">
        <f>VLOOKUP($B$4&amp;" "&amp;$B33,Budget!$AG$4:$AL$132,BF$5+1,FALSE)</f>
        <v>65550</v>
      </c>
      <c r="BH33" s="354">
        <f t="shared" si="34"/>
        <v>-65550</v>
      </c>
      <c r="BI33" s="354"/>
      <c r="BJ33" s="354" cm="1">
        <f t="array" ref="BJ33">_xlfn.XLOOKUP(
   $B$4&amp;" "&amp;$B33,
   Actuals!$D:$D,
   _xlfn.XLOOKUP(
      BJ$7,
      Actuals!$H$3:$BM$3,
      Actuals!$H:$BM
   )
)</f>
        <v>0</v>
      </c>
      <c r="BK33" s="354">
        <f>VLOOKUP($B$4&amp;" "&amp;$B33,Budget!$AG$4:$AL$132,BJ$5+1,FALSE)</f>
        <v>67736</v>
      </c>
      <c r="BL33" s="354">
        <f t="shared" si="35"/>
        <v>-67736</v>
      </c>
      <c r="BM33" s="354"/>
      <c r="BN33" s="354" cm="1">
        <f t="array" ref="BN33">_xlfn.XLOOKUP(
   $B$4&amp;" "&amp;$B33,
   Actuals!$D:$D,
   _xlfn.XLOOKUP(
      BN$7,
      Actuals!$H$3:$BM$3,
      Actuals!$H:$BM
   )
)</f>
        <v>0</v>
      </c>
      <c r="BO33" s="354">
        <f>VLOOKUP($B$4&amp;" "&amp;$B33,Budget!$AG$4:$AL$132,BN$5+1,FALSE)</f>
        <v>68829</v>
      </c>
      <c r="BP33" s="354"/>
      <c r="BQ33" s="354"/>
      <c r="BR33" s="354" cm="1">
        <f t="array" aca="1" ref="BR33" ca="1">_xlfn.XLOOKUP(
   $B$4&amp;" "&amp;$B33,
   Actuals!$D:$D,
   _xlfn.XLOOKUP(
      BR$6,
      Actuals!$H$3:$BM$3,
      Actuals!$H:$BM
   )
)</f>
        <v>0</v>
      </c>
      <c r="BS33" s="354">
        <f ca="1">VLOOKUP($B$4&amp;" "&amp;$B33,Budget!$AG$4:$AL$132,6,FALSE)</f>
        <v>268758</v>
      </c>
      <c r="BT33" s="354">
        <f t="shared" ca="1" si="36"/>
        <v>-268758</v>
      </c>
      <c r="BU33" s="354"/>
      <c r="BV33" s="354" cm="1">
        <f t="array" ref="BV33">_xlfn.XLOOKUP(
   $B$4&amp;" "&amp;$B33,
   Actuals!$D:$D,
   _xlfn.XLOOKUP(
      BV$6,
      Actuals!$H$3:$BM$3,
      Actuals!$H:$BM
   )
)</f>
        <v>0</v>
      </c>
    </row>
    <row r="34" spans="2:74">
      <c r="B34" s="26" t="s">
        <v>127</v>
      </c>
      <c r="C34" s="139" t="s">
        <v>49</v>
      </c>
      <c r="D34" s="171" t="str">
        <f>VLOOKUP($B$4&amp;" "&amp;$B34,Actuals!$D$4:$AG$131,3,FALSE)</f>
        <v>$</v>
      </c>
      <c r="E34" s="168" cm="1">
        <f t="array" ref="E34">_xlfn.XLOOKUP(
   $B$4&amp;" "&amp;$B34,
   Actuals!$D:$D,
   _xlfn.XLOOKUP(
      E$6,
      Actuals!$H$3:$BD$3,
      Actuals!$H:$BD
   )
)</f>
        <v>0</v>
      </c>
      <c r="F34" s="168" cm="1">
        <f t="array" ref="F34">_xlfn.XLOOKUP(
   $B$4&amp;" "&amp;$B34,
   Actuals!$D:$D,
   _xlfn.XLOOKUP(
      F$6,
      Actuals!$H$3:$BD$3,
      Actuals!$H:$BD
   )
)</f>
        <v>0</v>
      </c>
      <c r="G34" s="168" cm="1">
        <f t="array" ref="G34">_xlfn.XLOOKUP(
   $B$4&amp;" "&amp;$B34,
   Actuals!$D:$D,
   _xlfn.XLOOKUP(
      G$6,
      Actuals!$H$3:$BD$3,
      Actuals!$H:$BD
   )
)</f>
        <v>0</v>
      </c>
      <c r="H34" s="168" cm="1">
        <f t="array" ref="H34">_xlfn.XLOOKUP(
   $B$4&amp;" "&amp;$B34,
   Actuals!$D:$D,
   _xlfn.XLOOKUP(
      H$6,
      Actuals!$H$3:$BD$3,
      Actuals!$H:$BD
   )
)</f>
        <v>0</v>
      </c>
      <c r="I34" s="168" cm="1">
        <f t="array" ref="I34">_xlfn.XLOOKUP(
   $B$4&amp;" "&amp;$B34,
   Actuals!$D:$D,
   _xlfn.XLOOKUP(
      I$6,
      Actuals!$H$3:$BD$3,
      Actuals!$H:$BD
   )
)</f>
        <v>0</v>
      </c>
      <c r="J34" s="168" cm="1">
        <f t="array" ref="J34">_xlfn.XLOOKUP(
   $B$4&amp;" "&amp;$B34,
   Actuals!$D:$D,
   _xlfn.XLOOKUP(
      J$6,
      Actuals!$H$3:$BD$3,
      Actuals!$H:$BD
   )
)</f>
        <v>0</v>
      </c>
      <c r="K34" s="168" cm="1">
        <f t="array" ref="K34">_xlfn.XLOOKUP(
   $B$4&amp;" "&amp;$B34,
   Actuals!$D:$D,
   _xlfn.XLOOKUP(
      K$6,
      Actuals!$H$3:$BD$3,
      Actuals!$H:$BD
   )
)</f>
        <v>0</v>
      </c>
      <c r="L34" s="168" cm="1">
        <f t="array" ref="L34">_xlfn.XLOOKUP(
   $B$4&amp;" "&amp;$B34,
   Actuals!$D:$D,
   _xlfn.XLOOKUP(
      L$6,
      Actuals!$H$3:$BD$3,
      Actuals!$H:$BD
   )
)</f>
        <v>0</v>
      </c>
      <c r="M34" s="168" cm="1">
        <f t="array" ref="M34">_xlfn.XLOOKUP(
   $B$4&amp;" "&amp;$B34,
   Actuals!$D:$D,
   _xlfn.XLOOKUP(
      M$6,
      Actuals!$H$3:$BD$3,
      Actuals!$H:$BD
   )
)</f>
        <v>0</v>
      </c>
      <c r="N34" s="168" cm="1">
        <f t="array" ref="N34">_xlfn.XLOOKUP(
   $B$4&amp;" "&amp;$B34,
   Actuals!$D:$D,
   _xlfn.XLOOKUP(
      N$6,
      Actuals!$H$3:$BD$3,
      Actuals!$H:$BD
   )
)</f>
        <v>0</v>
      </c>
      <c r="O34" s="211" cm="1">
        <f t="array" ref="O34">_xlfn.XLOOKUP(
   $B$4&amp;" "&amp;$B34,
   Actuals!$D:$D,
   _xlfn.XLOOKUP(
      O$6,
      Actuals!$H$3:$BD$3,
      Actuals!$H:$BD
   )
)</f>
        <v>0</v>
      </c>
      <c r="P34" s="211" cm="1">
        <f t="array" ref="P34">_xlfn.XLOOKUP(
   $B$4&amp;" "&amp;$B34,
   Actuals!$D:$D,
   _xlfn.XLOOKUP(
      P$6,
      Actuals!$H$3:$BD$3,
      Actuals!$H:$BD
   )
)</f>
        <v>0</v>
      </c>
      <c r="Q34" s="354" cm="1">
        <f t="array" ref="Q34">_xlfn.XLOOKUP(
   $B$4&amp;" "&amp;$B34,
   Actuals!$D:$D,
   _xlfn.XLOOKUP(
      Q$6,
      Actuals!$H$3:$BD$3,
      Actuals!$H:$BD
   )
)</f>
        <v>0</v>
      </c>
      <c r="R34" s="354" cm="1">
        <f t="array" ref="R34">_xlfn.XLOOKUP(
   $B$4&amp;" "&amp;$B34,
   Actuals!$D:$D,
   _xlfn.XLOOKUP(
      R$6,
      Actuals!$H$3:$BD$3,
      Actuals!$H:$BD
   )
)</f>
        <v>0</v>
      </c>
      <c r="S34" s="354" cm="1">
        <f t="array" ref="S34">_xlfn.XLOOKUP(
   $B$4&amp;" "&amp;$B34,
   Actuals!$D:$D,
   _xlfn.XLOOKUP(
      S$6,
      Actuals!$H$3:$BD$3,
      Actuals!$H:$BD
   )
)</f>
        <v>0</v>
      </c>
      <c r="T34" s="354" cm="1">
        <f t="array" ref="T34">_xlfn.XLOOKUP(
   $B$4&amp;" "&amp;$B34,
   Actuals!$D:$D,
   _xlfn.XLOOKUP(
      T$6,
      Actuals!$H$3:$BD$3,
      Actuals!$H:$BD
   )
)</f>
        <v>0</v>
      </c>
      <c r="U34" s="354" cm="1">
        <f t="array" ref="U34">_xlfn.XLOOKUP(
   $B$4&amp;" "&amp;$B34,
   Actuals!$D:$D,
   _xlfn.XLOOKUP(
      U$6,
      Actuals!$H$3:$BD$3,
      Actuals!$H:$BD
   )
)</f>
        <v>0</v>
      </c>
      <c r="V34" s="354" cm="1">
        <f t="array" ref="V34">_xlfn.XLOOKUP(
   $B$4&amp;" "&amp;$B34,
   Actuals!$D:$D,
   _xlfn.XLOOKUP(
      V$6,
      Actuals!$H$3:$BD$3,
      Actuals!$H:$BD
   )
)</f>
        <v>0</v>
      </c>
      <c r="W34" s="354" cm="1">
        <f t="array" ref="W34">_xlfn.XLOOKUP(
   $B$4&amp;" "&amp;$B34,
   Actuals!$D:$D,
   _xlfn.XLOOKUP(
      W$6,
      Actuals!$H$3:$BD$3,
      Actuals!$H:$BD
   )
)</f>
        <v>0</v>
      </c>
      <c r="X34" s="354" cm="1">
        <f t="array" ref="X34">_xlfn.XLOOKUP(
   $B$4&amp;" "&amp;$B34,
   Actuals!$D:$D,
   _xlfn.XLOOKUP(
      X$6,
      Actuals!$H$3:$BD$3,
      Actuals!$H:$BD
   )
)</f>
        <v>0</v>
      </c>
      <c r="Y34" s="354" cm="1">
        <f t="array" ref="Y34">_xlfn.XLOOKUP(
   $B$4&amp;" "&amp;$B34,
   Actuals!$D:$D,
   _xlfn.XLOOKUP(
      Y$6,
      Actuals!$H$3:$BD$3,
      Actuals!$H:$BD
   )
)</f>
        <v>0</v>
      </c>
      <c r="Z34" s="354" cm="1">
        <f t="array" ref="Z34">_xlfn.XLOOKUP(
   $B$4&amp;" "&amp;$B34,
   Actuals!$D:$D,
   _xlfn.XLOOKUP(
      Z$6,
      Actuals!$H$3:$BD$3,
      Actuals!$H:$BD
   )
)</f>
        <v>0</v>
      </c>
      <c r="AA34" s="354" cm="1">
        <f t="array" ref="AA34">_xlfn.XLOOKUP(
   $B$4&amp;" "&amp;$B34,
   Actuals!$D:$D,
   _xlfn.XLOOKUP(
      AA$6,
      Actuals!$H$3:$BD$3,
      Actuals!$H:$BD
   )
)</f>
        <v>0</v>
      </c>
      <c r="AB34" s="354" cm="1">
        <f t="array" ref="AB34">_xlfn.XLOOKUP(
   $B$4&amp;" "&amp;$B34,
   Actuals!$D:$D,
   _xlfn.XLOOKUP(
      AB$6,
      Actuals!$H$3:$BD$3,
      Actuals!$H:$BD
   )
)</f>
        <v>0</v>
      </c>
      <c r="AC34" s="354" cm="1">
        <f t="array" ref="AC34">_xlfn.XLOOKUP(
   $B$4&amp;" "&amp;$B34,
   Actuals!$D:$D,
   _xlfn.XLOOKUP(
      AC$6,
      Actuals!$H$3:$BD$3,
      Actuals!$H:$BD
   )
)</f>
        <v>890</v>
      </c>
      <c r="AD34" s="354" cm="1">
        <f t="array" ref="AD34">_xlfn.XLOOKUP(
   $B$4&amp;" "&amp;$B34,
   Actuals!$D:$D,
   _xlfn.XLOOKUP(
      AD$6,
      Actuals!$H$3:$BD$3,
      Actuals!$H:$BD
   )
)</f>
        <v>890</v>
      </c>
      <c r="AE34" s="354" cm="1">
        <f t="array" ref="AE34">_xlfn.XLOOKUP(
   $B$4&amp;" "&amp;$B34,
   Actuals!$D:$D,
   _xlfn.XLOOKUP(
      AE$6,
      Actuals!$H$3:$BD$3,
      Actuals!$H:$BD
   )
)</f>
        <v>890</v>
      </c>
      <c r="AF34" s="354" cm="1">
        <f t="array" ref="AF34">_xlfn.XLOOKUP(
   $B$4&amp;" "&amp;$B34,
   Actuals!$D:$D,
   _xlfn.XLOOKUP(
      AF$6,
      Actuals!$H$3:$BD$3,
      Actuals!$H:$BD
   )
)</f>
        <v>890</v>
      </c>
      <c r="AG34" s="354" cm="1">
        <f t="array" ref="AG34">_xlfn.XLOOKUP(
   $B$4&amp;" "&amp;$B34,
   Actuals!$D:$D,
   _xlfn.XLOOKUP(
      AG$6,
      Actuals!$H$3:$BD$3,
      Actuals!$H:$BD
   )
)</f>
        <v>890</v>
      </c>
      <c r="AH34" s="354" cm="1">
        <f t="array" ref="AH34">_xlfn.XLOOKUP(
   $B$4&amp;" "&amp;$B34,
   Actuals!$D:$D,
   _xlfn.XLOOKUP(
      AH$6,
      Actuals!$H$3:$BD$3,
      Actuals!$H:$BD
   )
)</f>
        <v>890</v>
      </c>
      <c r="AI34" s="354" cm="1">
        <f t="array" ref="AI34">_xlfn.XLOOKUP(
   $B$4&amp;" "&amp;$B34,
   Actuals!$D:$D,
   _xlfn.XLOOKUP(
      AI$6,
      Actuals!$H$3:$BD$3,
      Actuals!$H:$BD
   )
)</f>
        <v>890</v>
      </c>
      <c r="AJ34" s="354" cm="1">
        <f t="array" ref="AJ34">_xlfn.XLOOKUP(
   $B$4&amp;" "&amp;$B34,
   Actuals!$D:$D,
   _xlfn.XLOOKUP(
      AJ$6,
      Actuals!$H$3:$BD$3,
      Actuals!$H:$BD
   )
)</f>
        <v>890</v>
      </c>
      <c r="AK34" s="354" cm="1">
        <f t="array" ref="AK34">_xlfn.XLOOKUP(
   $B$4&amp;" "&amp;$B34,
   Actuals!$D:$D,
   _xlfn.XLOOKUP(
      AK$6,
      Actuals!$H$3:$BD$3,
      Actuals!$H:$BD
   )
)</f>
        <v>890</v>
      </c>
      <c r="AL34" s="354" cm="1">
        <f t="array" ref="AL34">_xlfn.XLOOKUP(
   $B$4&amp;" "&amp;$B34,
   Actuals!$D:$D,
   _xlfn.XLOOKUP(
      AL$6,
      Actuals!$H$3:$BD$3,
      Actuals!$H:$BD
   )
)</f>
        <v>890</v>
      </c>
      <c r="AM34" s="354" cm="1">
        <f t="array" ref="AM34">_xlfn.XLOOKUP(
   $B$4&amp;" "&amp;$B34,
   Actuals!$D:$D,
   _xlfn.XLOOKUP(
      AM$6,
      Actuals!$H$3:$BD$3,
      Actuals!$H:$BD
   )
)</f>
        <v>890</v>
      </c>
      <c r="AN34" s="354" cm="1">
        <f t="array" ref="AN34">_xlfn.XLOOKUP(
   $B$4&amp;" "&amp;$B34,
   Actuals!$D:$D,
   _xlfn.XLOOKUP(
      AN$6,
      Actuals!$H$3:$BD$3,
      Actuals!$H:$BD
   )
)</f>
        <v>890</v>
      </c>
      <c r="AO34" s="354" cm="1">
        <f t="array" ref="AO34">_xlfn.XLOOKUP(
   $B$4&amp;" "&amp;$B34,
   Actuals!$D:$D,
   _xlfn.XLOOKUP(
      AO$6,
      Actuals!$H$3:$BD$3,
      Actuals!$H:$BD
   )
)</f>
        <v>0</v>
      </c>
      <c r="AP34" s="354" cm="1">
        <f t="array" ref="AP34">_xlfn.XLOOKUP(
   $B$4&amp;" "&amp;$B34,
   Actuals!$D:$D,
   _xlfn.XLOOKUP(
      AP$6,
      Actuals!$H$3:$BD$3,
      Actuals!$H:$BD
   )
)</f>
        <v>0</v>
      </c>
      <c r="AQ34" s="354" cm="1">
        <f t="array" ref="AQ34">_xlfn.XLOOKUP(
   $B$4&amp;" "&amp;$B34,
   Actuals!$D:$D,
   _xlfn.XLOOKUP(
      AQ$6,
      Actuals!$H$3:$BD$3,
      Actuals!$H:$BD
   )
)</f>
        <v>0</v>
      </c>
      <c r="AR34" s="354" cm="1">
        <f t="array" ref="AR34">_xlfn.XLOOKUP(
   $B$4&amp;" "&amp;$B34,
   Actuals!$D:$D,
   _xlfn.XLOOKUP(
      AR$6,
      Actuals!$H$3:$BD$3,
      Actuals!$H:$BD
   )
)</f>
        <v>0</v>
      </c>
      <c r="AS34" s="354" cm="1">
        <f t="array" ref="AS34">_xlfn.XLOOKUP(
   $B$4&amp;" "&amp;$B34,
   Actuals!$D:$D,
   _xlfn.XLOOKUP(
      AS$6,
      Actuals!$H$3:$BD$3,
      Actuals!$H:$BD
   )
)</f>
        <v>0</v>
      </c>
      <c r="AT34" s="354" cm="1">
        <f t="array" ref="AT34">_xlfn.XLOOKUP(
   $B$4&amp;" "&amp;$B34,
   Actuals!$D:$D,
   _xlfn.XLOOKUP(
      AT$6,
      Actuals!$H$3:$BD$3,
      Actuals!$H:$BD
   )
)</f>
        <v>0</v>
      </c>
      <c r="AU34" s="354" cm="1">
        <f t="array" ref="AU34">_xlfn.XLOOKUP(
   $B$4&amp;" "&amp;$B34,
   Actuals!$D:$D,
   _xlfn.XLOOKUP(
      AU$6,
      Actuals!$H$3:$BD$3,
      Actuals!$H:$BD
   )
)</f>
        <v>0</v>
      </c>
      <c r="AV34" s="354" cm="1">
        <f t="array" ref="AV34">_xlfn.XLOOKUP(
   $B$4&amp;" "&amp;$B34,
   Actuals!$D:$D,
   _xlfn.XLOOKUP(
      AV$6,
      Actuals!$H$3:$BD$3,
      Actuals!$H:$BD
   )
)</f>
        <v>0</v>
      </c>
      <c r="AW34" s="354" cm="1">
        <f t="array" ref="AW34">_xlfn.XLOOKUP(
   $B$4&amp;" "&amp;$B34,
   Actuals!$D:$D,
   _xlfn.XLOOKUP(
      AW$6,
      Actuals!$H$3:$BD$3,
      Actuals!$H:$BD
   )
)</f>
        <v>0</v>
      </c>
      <c r="AX34" s="354" cm="1">
        <f t="array" ref="AX34">_xlfn.XLOOKUP(
   $B$4&amp;" "&amp;$B34,
   Actuals!$D:$D,
   _xlfn.XLOOKUP(
      AX$6,
      Actuals!$H$3:$BD$3,
      Actuals!$H:$BD
   )
)</f>
        <v>0</v>
      </c>
      <c r="AY34" s="354" cm="1">
        <f t="array" ref="AY34">_xlfn.XLOOKUP(
   $B$4&amp;" "&amp;$B34,
   Actuals!$D:$D,
   _xlfn.XLOOKUP(
      AY$6,
      Actuals!$H$3:$BD$3,
      Actuals!$H:$BD
   )
)</f>
        <v>0</v>
      </c>
      <c r="AZ34" s="354" cm="1">
        <f t="array" ref="AZ34">_xlfn.XLOOKUP(
   $B$4&amp;" "&amp;$B34,
   Actuals!$D:$D,
   _xlfn.XLOOKUP(
      AZ$6,
      Actuals!$H$3:$BD$3,
      Actuals!$H:$BD
   )
)</f>
        <v>0</v>
      </c>
      <c r="BA34" s="354"/>
      <c r="BB34" s="354" cm="1">
        <f t="array" ref="BB34">_xlfn.XLOOKUP(
   $B$4&amp;" "&amp;$B34,
   Actuals!$D:$D,
   _xlfn.XLOOKUP(
      BB$7,
      Actuals!$H$3:$BM$3,
      Actuals!$H:$BM
   )
)</f>
        <v>0</v>
      </c>
      <c r="BC34" s="354">
        <f>VLOOKUP($B$4&amp;" "&amp;$B34,Budget!$AG$4:$AL$132,$BB$5+1,FALSE)</f>
        <v>0</v>
      </c>
      <c r="BD34" s="354">
        <f t="shared" si="33"/>
        <v>0</v>
      </c>
      <c r="BE34" s="354"/>
      <c r="BF34" s="354" cm="1">
        <f t="array" ref="BF34">_xlfn.XLOOKUP(
   $B$4&amp;" "&amp;$B34,
   Actuals!$D:$D,
   _xlfn.XLOOKUP(
      BF$7,
      Actuals!$H$3:$BM$3,
      Actuals!$H:$BM
   )
)</f>
        <v>0</v>
      </c>
      <c r="BG34" s="354">
        <f>VLOOKUP($B$4&amp;" "&amp;$B34,Budget!$AG$4:$AL$132,BF$5+1,FALSE)</f>
        <v>0</v>
      </c>
      <c r="BH34" s="354">
        <f t="shared" si="34"/>
        <v>0</v>
      </c>
      <c r="BI34" s="354"/>
      <c r="BJ34" s="354" cm="1">
        <f t="array" ref="BJ34">_xlfn.XLOOKUP(
   $B$4&amp;" "&amp;$B34,
   Actuals!$D:$D,
   _xlfn.XLOOKUP(
      BJ$7,
      Actuals!$H$3:$BM$3,
      Actuals!$H:$BM
   )
)</f>
        <v>0</v>
      </c>
      <c r="BK34" s="354">
        <f>VLOOKUP($B$4&amp;" "&amp;$B34,Budget!$AG$4:$AL$132,BJ$5+1,FALSE)</f>
        <v>0</v>
      </c>
      <c r="BL34" s="354">
        <f t="shared" si="35"/>
        <v>0</v>
      </c>
      <c r="BM34" s="354"/>
      <c r="BN34" s="354" cm="1">
        <f t="array" ref="BN34">_xlfn.XLOOKUP(
   $B$4&amp;" "&amp;$B34,
   Actuals!$D:$D,
   _xlfn.XLOOKUP(
      BN$7,
      Actuals!$H$3:$BM$3,
      Actuals!$H:$BM
   )
)</f>
        <v>0</v>
      </c>
      <c r="BO34" s="354">
        <f>VLOOKUP($B$4&amp;" "&amp;$B34,Budget!$AG$4:$AL$132,BN$5+1,FALSE)</f>
        <v>0</v>
      </c>
      <c r="BP34" s="354"/>
      <c r="BQ34" s="354"/>
      <c r="BR34" s="354" cm="1">
        <f t="array" aca="1" ref="BR34" ca="1">_xlfn.XLOOKUP(
   $B$4&amp;" "&amp;$B34,
   Actuals!$D:$D,
   _xlfn.XLOOKUP(
      BR$6,
      Actuals!$H$3:$BM$3,
      Actuals!$H:$BM
   )
)</f>
        <v>0</v>
      </c>
      <c r="BS34" s="354">
        <f ca="1">VLOOKUP($B$4&amp;" "&amp;$B34,Budget!$AG$4:$AL$132,6,FALSE)</f>
        <v>0</v>
      </c>
      <c r="BT34" s="354">
        <f t="shared" ca="1" si="36"/>
        <v>0</v>
      </c>
      <c r="BU34" s="354"/>
      <c r="BV34" s="354" cm="1">
        <f t="array" ref="BV34">_xlfn.XLOOKUP(
   $B$4&amp;" "&amp;$B34,
   Actuals!$D:$D,
   _xlfn.XLOOKUP(
      BV$6,
      Actuals!$H$3:$BM$3,
      Actuals!$H:$BM
   )
)</f>
        <v>9790</v>
      </c>
    </row>
    <row r="35" spans="2:74">
      <c r="B35" s="26" t="s">
        <v>128</v>
      </c>
      <c r="C35" s="139" t="s">
        <v>49</v>
      </c>
      <c r="D35" s="171" t="e">
        <f>VLOOKUP($B$4&amp;" "&amp;$B35,Actuals!$D$4:$AG$131,3,FALSE)</f>
        <v>#N/A</v>
      </c>
      <c r="E35" s="168" t="e" cm="1">
        <f t="array" ref="E35">_xlfn.XLOOKUP(
   $B$4&amp;" "&amp;$B35,
   Actuals!$D:$D,
   _xlfn.XLOOKUP(
      E$6,
      Actuals!$H$3:$BD$3,
      Actuals!$H:$BD
   )
)</f>
        <v>#N/A</v>
      </c>
      <c r="F35" s="168" t="e" cm="1">
        <f t="array" ref="F35">_xlfn.XLOOKUP(
   $B$4&amp;" "&amp;$B35,
   Actuals!$D:$D,
   _xlfn.XLOOKUP(
      F$6,
      Actuals!$H$3:$BD$3,
      Actuals!$H:$BD
   )
)</f>
        <v>#N/A</v>
      </c>
      <c r="G35" s="168" t="e" cm="1">
        <f t="array" ref="G35">_xlfn.XLOOKUP(
   $B$4&amp;" "&amp;$B35,
   Actuals!$D:$D,
   _xlfn.XLOOKUP(
      G$6,
      Actuals!$H$3:$BD$3,
      Actuals!$H:$BD
   )
)</f>
        <v>#N/A</v>
      </c>
      <c r="H35" s="168" t="e" cm="1">
        <f t="array" ref="H35">_xlfn.XLOOKUP(
   $B$4&amp;" "&amp;$B35,
   Actuals!$D:$D,
   _xlfn.XLOOKUP(
      H$6,
      Actuals!$H$3:$BD$3,
      Actuals!$H:$BD
   )
)</f>
        <v>#N/A</v>
      </c>
      <c r="I35" s="168" t="e" cm="1">
        <f t="array" ref="I35">_xlfn.XLOOKUP(
   $B$4&amp;" "&amp;$B35,
   Actuals!$D:$D,
   _xlfn.XLOOKUP(
      I$6,
      Actuals!$H$3:$BD$3,
      Actuals!$H:$BD
   )
)</f>
        <v>#N/A</v>
      </c>
      <c r="J35" s="168" t="e" cm="1">
        <f t="array" ref="J35">_xlfn.XLOOKUP(
   $B$4&amp;" "&amp;$B35,
   Actuals!$D:$D,
   _xlfn.XLOOKUP(
      J$6,
      Actuals!$H$3:$BD$3,
      Actuals!$H:$BD
   )
)</f>
        <v>#N/A</v>
      </c>
      <c r="K35" s="168" t="e" cm="1">
        <f t="array" ref="K35">_xlfn.XLOOKUP(
   $B$4&amp;" "&amp;$B35,
   Actuals!$D:$D,
   _xlfn.XLOOKUP(
      K$6,
      Actuals!$H$3:$BD$3,
      Actuals!$H:$BD
   )
)</f>
        <v>#N/A</v>
      </c>
      <c r="L35" s="168" t="e" cm="1">
        <f t="array" ref="L35">_xlfn.XLOOKUP(
   $B$4&amp;" "&amp;$B35,
   Actuals!$D:$D,
   _xlfn.XLOOKUP(
      L$6,
      Actuals!$H$3:$BD$3,
      Actuals!$H:$BD
   )
)</f>
        <v>#N/A</v>
      </c>
      <c r="M35" s="168" t="e" cm="1">
        <f t="array" ref="M35">_xlfn.XLOOKUP(
   $B$4&amp;" "&amp;$B35,
   Actuals!$D:$D,
   _xlfn.XLOOKUP(
      M$6,
      Actuals!$H$3:$BD$3,
      Actuals!$H:$BD
   )
)</f>
        <v>#N/A</v>
      </c>
      <c r="N35" s="168" t="e" cm="1">
        <f t="array" ref="N35">_xlfn.XLOOKUP(
   $B$4&amp;" "&amp;$B35,
   Actuals!$D:$D,
   _xlfn.XLOOKUP(
      N$6,
      Actuals!$H$3:$BD$3,
      Actuals!$H:$BD
   )
)</f>
        <v>#N/A</v>
      </c>
      <c r="O35" s="211" t="e" cm="1">
        <f t="array" ref="O35">_xlfn.XLOOKUP(
   $B$4&amp;" "&amp;$B35,
   Actuals!$D:$D,
   _xlfn.XLOOKUP(
      O$6,
      Actuals!$H$3:$BD$3,
      Actuals!$H:$BD
   )
)</f>
        <v>#N/A</v>
      </c>
      <c r="P35" s="211" t="e" cm="1">
        <f t="array" ref="P35">_xlfn.XLOOKUP(
   $B$4&amp;" "&amp;$B35,
   Actuals!$D:$D,
   _xlfn.XLOOKUP(
      P$6,
      Actuals!$H$3:$BD$3,
      Actuals!$H:$BD
   )
)</f>
        <v>#N/A</v>
      </c>
      <c r="Q35" s="354" t="e" cm="1">
        <f t="array" ref="Q35">_xlfn.XLOOKUP(
   $B$4&amp;" "&amp;$B35,
   Actuals!$D:$D,
   _xlfn.XLOOKUP(
      Q$6,
      Actuals!$H$3:$BD$3,
      Actuals!$H:$BD
   )
)</f>
        <v>#N/A</v>
      </c>
      <c r="R35" s="354" t="e" cm="1">
        <f t="array" ref="R35">_xlfn.XLOOKUP(
   $B$4&amp;" "&amp;$B35,
   Actuals!$D:$D,
   _xlfn.XLOOKUP(
      R$6,
      Actuals!$H$3:$BD$3,
      Actuals!$H:$BD
   )
)</f>
        <v>#N/A</v>
      </c>
      <c r="S35" s="354" t="e" cm="1">
        <f t="array" ref="S35">_xlfn.XLOOKUP(
   $B$4&amp;" "&amp;$B35,
   Actuals!$D:$D,
   _xlfn.XLOOKUP(
      S$6,
      Actuals!$H$3:$BD$3,
      Actuals!$H:$BD
   )
)</f>
        <v>#N/A</v>
      </c>
      <c r="T35" s="354" t="e" cm="1">
        <f t="array" ref="T35">_xlfn.XLOOKUP(
   $B$4&amp;" "&amp;$B35,
   Actuals!$D:$D,
   _xlfn.XLOOKUP(
      T$6,
      Actuals!$H$3:$BD$3,
      Actuals!$H:$BD
   )
)</f>
        <v>#N/A</v>
      </c>
      <c r="U35" s="354" t="e" cm="1">
        <f t="array" ref="U35">_xlfn.XLOOKUP(
   $B$4&amp;" "&amp;$B35,
   Actuals!$D:$D,
   _xlfn.XLOOKUP(
      U$6,
      Actuals!$H$3:$BD$3,
      Actuals!$H:$BD
   )
)</f>
        <v>#N/A</v>
      </c>
      <c r="V35" s="354" t="e" cm="1">
        <f t="array" ref="V35">_xlfn.XLOOKUP(
   $B$4&amp;" "&amp;$B35,
   Actuals!$D:$D,
   _xlfn.XLOOKUP(
      V$6,
      Actuals!$H$3:$BD$3,
      Actuals!$H:$BD
   )
)</f>
        <v>#N/A</v>
      </c>
      <c r="W35" s="354" t="e" cm="1">
        <f t="array" ref="W35">_xlfn.XLOOKUP(
   $B$4&amp;" "&amp;$B35,
   Actuals!$D:$D,
   _xlfn.XLOOKUP(
      W$6,
      Actuals!$H$3:$BD$3,
      Actuals!$H:$BD
   )
)</f>
        <v>#N/A</v>
      </c>
      <c r="X35" s="354" t="e" cm="1">
        <f t="array" ref="X35">_xlfn.XLOOKUP(
   $B$4&amp;" "&amp;$B35,
   Actuals!$D:$D,
   _xlfn.XLOOKUP(
      X$6,
      Actuals!$H$3:$BD$3,
      Actuals!$H:$BD
   )
)</f>
        <v>#N/A</v>
      </c>
      <c r="Y35" s="354" t="e" cm="1">
        <f t="array" ref="Y35">_xlfn.XLOOKUP(
   $B$4&amp;" "&amp;$B35,
   Actuals!$D:$D,
   _xlfn.XLOOKUP(
      Y$6,
      Actuals!$H$3:$BD$3,
      Actuals!$H:$BD
   )
)</f>
        <v>#N/A</v>
      </c>
      <c r="Z35" s="354" t="e" cm="1">
        <f t="array" ref="Z35">_xlfn.XLOOKUP(
   $B$4&amp;" "&amp;$B35,
   Actuals!$D:$D,
   _xlfn.XLOOKUP(
      Z$6,
      Actuals!$H$3:$BD$3,
      Actuals!$H:$BD
   )
)</f>
        <v>#N/A</v>
      </c>
      <c r="AA35" s="354" t="e" cm="1">
        <f t="array" ref="AA35">_xlfn.XLOOKUP(
   $B$4&amp;" "&amp;$B35,
   Actuals!$D:$D,
   _xlfn.XLOOKUP(
      AA$6,
      Actuals!$H$3:$BD$3,
      Actuals!$H:$BD
   )
)</f>
        <v>#N/A</v>
      </c>
      <c r="AB35" s="354" t="e" cm="1">
        <f t="array" ref="AB35">_xlfn.XLOOKUP(
   $B$4&amp;" "&amp;$B35,
   Actuals!$D:$D,
   _xlfn.XLOOKUP(
      AB$6,
      Actuals!$H$3:$BD$3,
      Actuals!$H:$BD
   )
)</f>
        <v>#N/A</v>
      </c>
      <c r="AC35" s="354" t="e" cm="1">
        <f t="array" ref="AC35">_xlfn.XLOOKUP(
   $B$4&amp;" "&amp;$B35,
   Actuals!$D:$D,
   _xlfn.XLOOKUP(
      AC$6,
      Actuals!$H$3:$BD$3,
      Actuals!$H:$BD
   )
)</f>
        <v>#N/A</v>
      </c>
      <c r="AD35" s="354" t="e" cm="1">
        <f t="array" ref="AD35">_xlfn.XLOOKUP(
   $B$4&amp;" "&amp;$B35,
   Actuals!$D:$D,
   _xlfn.XLOOKUP(
      AD$6,
      Actuals!$H$3:$BD$3,
      Actuals!$H:$BD
   )
)</f>
        <v>#N/A</v>
      </c>
      <c r="AE35" s="354" t="e" cm="1">
        <f t="array" ref="AE35">_xlfn.XLOOKUP(
   $B$4&amp;" "&amp;$B35,
   Actuals!$D:$D,
   _xlfn.XLOOKUP(
      AE$6,
      Actuals!$H$3:$BD$3,
      Actuals!$H:$BD
   )
)</f>
        <v>#N/A</v>
      </c>
      <c r="AF35" s="354" t="e" cm="1">
        <f t="array" ref="AF35">_xlfn.XLOOKUP(
   $B$4&amp;" "&amp;$B35,
   Actuals!$D:$D,
   _xlfn.XLOOKUP(
      AF$6,
      Actuals!$H$3:$BD$3,
      Actuals!$H:$BD
   )
)</f>
        <v>#N/A</v>
      </c>
      <c r="AG35" s="354" t="e" cm="1">
        <f t="array" ref="AG35">_xlfn.XLOOKUP(
   $B$4&amp;" "&amp;$B35,
   Actuals!$D:$D,
   _xlfn.XLOOKUP(
      AG$6,
      Actuals!$H$3:$BD$3,
      Actuals!$H:$BD
   )
)</f>
        <v>#N/A</v>
      </c>
      <c r="AH35" s="354" t="e" cm="1">
        <f t="array" ref="AH35">_xlfn.XLOOKUP(
   $B$4&amp;" "&amp;$B35,
   Actuals!$D:$D,
   _xlfn.XLOOKUP(
      AH$6,
      Actuals!$H$3:$BD$3,
      Actuals!$H:$BD
   )
)</f>
        <v>#N/A</v>
      </c>
      <c r="AI35" s="354" t="e" cm="1">
        <f t="array" ref="AI35">_xlfn.XLOOKUP(
   $B$4&amp;" "&amp;$B35,
   Actuals!$D:$D,
   _xlfn.XLOOKUP(
      AI$6,
      Actuals!$H$3:$BD$3,
      Actuals!$H:$BD
   )
)</f>
        <v>#N/A</v>
      </c>
      <c r="AJ35" s="354" t="e" cm="1">
        <f t="array" ref="AJ35">_xlfn.XLOOKUP(
   $B$4&amp;" "&amp;$B35,
   Actuals!$D:$D,
   _xlfn.XLOOKUP(
      AJ$6,
      Actuals!$H$3:$BD$3,
      Actuals!$H:$BD
   )
)</f>
        <v>#N/A</v>
      </c>
      <c r="AK35" s="354" t="e" cm="1">
        <f t="array" ref="AK35">_xlfn.XLOOKUP(
   $B$4&amp;" "&amp;$B35,
   Actuals!$D:$D,
   _xlfn.XLOOKUP(
      AK$6,
      Actuals!$H$3:$BD$3,
      Actuals!$H:$BD
   )
)</f>
        <v>#N/A</v>
      </c>
      <c r="AL35" s="354" t="e" cm="1">
        <f t="array" ref="AL35">_xlfn.XLOOKUP(
   $B$4&amp;" "&amp;$B35,
   Actuals!$D:$D,
   _xlfn.XLOOKUP(
      AL$6,
      Actuals!$H$3:$BD$3,
      Actuals!$H:$BD
   )
)</f>
        <v>#N/A</v>
      </c>
      <c r="AM35" s="354" t="e" cm="1">
        <f t="array" ref="AM35">_xlfn.XLOOKUP(
   $B$4&amp;" "&amp;$B35,
   Actuals!$D:$D,
   _xlfn.XLOOKUP(
      AM$6,
      Actuals!$H$3:$BD$3,
      Actuals!$H:$BD
   )
)</f>
        <v>#N/A</v>
      </c>
      <c r="AN35" s="354" t="e" cm="1">
        <f t="array" ref="AN35">_xlfn.XLOOKUP(
   $B$4&amp;" "&amp;$B35,
   Actuals!$D:$D,
   _xlfn.XLOOKUP(
      AN$6,
      Actuals!$H$3:$BD$3,
      Actuals!$H:$BD
   )
)</f>
        <v>#N/A</v>
      </c>
      <c r="AO35" s="354" t="e" cm="1">
        <f t="array" ref="AO35">_xlfn.XLOOKUP(
   $B$4&amp;" "&amp;$B35,
   Actuals!$D:$D,
   _xlfn.XLOOKUP(
      AO$6,
      Actuals!$H$3:$BD$3,
      Actuals!$H:$BD
   )
)</f>
        <v>#N/A</v>
      </c>
      <c r="AP35" s="354" t="e" cm="1">
        <f t="array" ref="AP35">_xlfn.XLOOKUP(
   $B$4&amp;" "&amp;$B35,
   Actuals!$D:$D,
   _xlfn.XLOOKUP(
      AP$6,
      Actuals!$H$3:$BD$3,
      Actuals!$H:$BD
   )
)</f>
        <v>#N/A</v>
      </c>
      <c r="AQ35" s="354" t="e" cm="1">
        <f t="array" ref="AQ35">_xlfn.XLOOKUP(
   $B$4&amp;" "&amp;$B35,
   Actuals!$D:$D,
   _xlfn.XLOOKUP(
      AQ$6,
      Actuals!$H$3:$BD$3,
      Actuals!$H:$BD
   )
)</f>
        <v>#N/A</v>
      </c>
      <c r="AR35" s="354" t="e" cm="1">
        <f t="array" ref="AR35">_xlfn.XLOOKUP(
   $B$4&amp;" "&amp;$B35,
   Actuals!$D:$D,
   _xlfn.XLOOKUP(
      AR$6,
      Actuals!$H$3:$BD$3,
      Actuals!$H:$BD
   )
)</f>
        <v>#N/A</v>
      </c>
      <c r="AS35" s="354" t="e" cm="1">
        <f t="array" ref="AS35">_xlfn.XLOOKUP(
   $B$4&amp;" "&amp;$B35,
   Actuals!$D:$D,
   _xlfn.XLOOKUP(
      AS$6,
      Actuals!$H$3:$BD$3,
      Actuals!$H:$BD
   )
)</f>
        <v>#N/A</v>
      </c>
      <c r="AT35" s="354" t="e" cm="1">
        <f t="array" ref="AT35">_xlfn.XLOOKUP(
   $B$4&amp;" "&amp;$B35,
   Actuals!$D:$D,
   _xlfn.XLOOKUP(
      AT$6,
      Actuals!$H$3:$BD$3,
      Actuals!$H:$BD
   )
)</f>
        <v>#N/A</v>
      </c>
      <c r="AU35" s="354" t="e" cm="1">
        <f t="array" ref="AU35">_xlfn.XLOOKUP(
   $B$4&amp;" "&amp;$B35,
   Actuals!$D:$D,
   _xlfn.XLOOKUP(
      AU$6,
      Actuals!$H$3:$BD$3,
      Actuals!$H:$BD
   )
)</f>
        <v>#N/A</v>
      </c>
      <c r="AV35" s="354" t="e" cm="1">
        <f t="array" ref="AV35">_xlfn.XLOOKUP(
   $B$4&amp;" "&amp;$B35,
   Actuals!$D:$D,
   _xlfn.XLOOKUP(
      AV$6,
      Actuals!$H$3:$BD$3,
      Actuals!$H:$BD
   )
)</f>
        <v>#N/A</v>
      </c>
      <c r="AW35" s="354" t="e" cm="1">
        <f t="array" ref="AW35">_xlfn.XLOOKUP(
   $B$4&amp;" "&amp;$B35,
   Actuals!$D:$D,
   _xlfn.XLOOKUP(
      AW$6,
      Actuals!$H$3:$BD$3,
      Actuals!$H:$BD
   )
)</f>
        <v>#N/A</v>
      </c>
      <c r="AX35" s="354" t="e" cm="1">
        <f t="array" ref="AX35">_xlfn.XLOOKUP(
   $B$4&amp;" "&amp;$B35,
   Actuals!$D:$D,
   _xlfn.XLOOKUP(
      AX$6,
      Actuals!$H$3:$BD$3,
      Actuals!$H:$BD
   )
)</f>
        <v>#N/A</v>
      </c>
      <c r="AY35" s="354" t="e" cm="1">
        <f t="array" ref="AY35">_xlfn.XLOOKUP(
   $B$4&amp;" "&amp;$B35,
   Actuals!$D:$D,
   _xlfn.XLOOKUP(
      AY$6,
      Actuals!$H$3:$BD$3,
      Actuals!$H:$BD
   )
)</f>
        <v>#N/A</v>
      </c>
      <c r="AZ35" s="354" t="e" cm="1">
        <f t="array" ref="AZ35">_xlfn.XLOOKUP(
   $B$4&amp;" "&amp;$B35,
   Actuals!$D:$D,
   _xlfn.XLOOKUP(
      AZ$6,
      Actuals!$H$3:$BD$3,
      Actuals!$H:$BD
   )
)</f>
        <v>#N/A</v>
      </c>
      <c r="BA35" s="354"/>
      <c r="BB35" s="354" t="e" cm="1">
        <f t="array" ref="BB35">_xlfn.XLOOKUP(
   $B$4&amp;" "&amp;$B35,
   Actuals!$D:$D,
   _xlfn.XLOOKUP(
      BB$7,
      Actuals!$H$3:$BM$3,
      Actuals!$H:$BM
   )
)</f>
        <v>#N/A</v>
      </c>
      <c r="BC35" s="354">
        <f t="shared" ref="BC35" si="37">IFERROR(BC30/BC25,"-")</f>
        <v>2000</v>
      </c>
      <c r="BD35" s="354" t="e">
        <f t="shared" si="33"/>
        <v>#N/A</v>
      </c>
      <c r="BE35" s="354"/>
      <c r="BF35" s="354" t="e" cm="1">
        <f t="array" ref="BF35">_xlfn.XLOOKUP(
   $B$4&amp;" "&amp;$B35,
   Actuals!$D:$D,
   _xlfn.XLOOKUP(
      BF$7,
      Actuals!$H$3:$BM$3,
      Actuals!$H:$BM
   )
)</f>
        <v>#N/A</v>
      </c>
      <c r="BG35" s="354">
        <f t="shared" ref="BG35" si="38">IFERROR(BG30/BG25,"-")</f>
        <v>2000</v>
      </c>
      <c r="BH35" s="354" t="e">
        <f t="shared" si="34"/>
        <v>#N/A</v>
      </c>
      <c r="BI35" s="354"/>
      <c r="BJ35" s="354" t="e" cm="1">
        <f t="array" ref="BJ35">_xlfn.XLOOKUP(
   $B$4&amp;" "&amp;$B35,
   Actuals!$D:$D,
   _xlfn.XLOOKUP(
      BJ$7,
      Actuals!$H$3:$BM$3,
      Actuals!$H:$BM
   )
)</f>
        <v>#N/A</v>
      </c>
      <c r="BK35" s="354">
        <f t="shared" ref="BK35" si="39">IFERROR(BK30/BK25,"-")</f>
        <v>2000</v>
      </c>
      <c r="BL35" s="354" t="e">
        <f t="shared" si="35"/>
        <v>#N/A</v>
      </c>
      <c r="BM35" s="354"/>
      <c r="BN35" s="354" t="e" cm="1">
        <f t="array" ref="BN35">_xlfn.XLOOKUP(
   $B$4&amp;" "&amp;$B35,
   Actuals!$D:$D,
   _xlfn.XLOOKUP(
      BN$7,
      Actuals!$H$3:$BM$3,
      Actuals!$H:$BM
   )
)</f>
        <v>#N/A</v>
      </c>
      <c r="BO35" s="354">
        <f t="shared" ref="BO35" si="40">IFERROR(BO30/BO25,"-")</f>
        <v>2000</v>
      </c>
      <c r="BP35" s="354"/>
      <c r="BQ35" s="354"/>
      <c r="BR35" s="354" t="e" cm="1">
        <f t="array" ref="BR35">_xlfn.XLOOKUP(
   $B$4&amp;" "&amp;$B35,
   Actuals!$D:$D,
   _xlfn.XLOOKUP(
      BR$6,
      Actuals!$H$3:$BM$3,
      Actuals!$H:$BM
   )
)</f>
        <v>#N/A</v>
      </c>
      <c r="BS35" s="354">
        <f t="shared" ref="BS35" ca="1" si="41">IFERROR(BS30/BS25,"-")</f>
        <v>2000</v>
      </c>
      <c r="BT35" s="354" t="e">
        <f t="shared" ca="1" si="36"/>
        <v>#N/A</v>
      </c>
      <c r="BU35" s="354"/>
      <c r="BV35" s="354" t="e" cm="1">
        <f t="array" ref="BV35">_xlfn.XLOOKUP(
   $B$4&amp;" "&amp;$B35,
   Actuals!$D:$D,
   _xlfn.XLOOKUP(
      BV$6,
      Actuals!$H$3:$BM$3,
      Actuals!$H:$BM
   )
)</f>
        <v>#N/A</v>
      </c>
    </row>
    <row r="36" spans="2:74">
      <c r="B36" s="26" t="s">
        <v>129</v>
      </c>
      <c r="C36" s="139" t="s">
        <v>49</v>
      </c>
      <c r="D36" s="171" t="e">
        <f>VLOOKUP($B$4&amp;" "&amp;$B36,Actuals!$D$4:$AG$131,3,FALSE)</f>
        <v>#N/A</v>
      </c>
      <c r="E36" s="168" t="e" cm="1">
        <f t="array" ref="E36">_xlfn.XLOOKUP(
   $B$4&amp;" "&amp;$B36,
   Actuals!$D:$D,
   _xlfn.XLOOKUP(
      E$6,
      Actuals!$H$3:$BD$3,
      Actuals!$H:$BD
   )
)</f>
        <v>#N/A</v>
      </c>
      <c r="F36" s="168" t="e" cm="1">
        <f t="array" ref="F36">_xlfn.XLOOKUP(
   $B$4&amp;" "&amp;$B36,
   Actuals!$D:$D,
   _xlfn.XLOOKUP(
      F$6,
      Actuals!$H$3:$BD$3,
      Actuals!$H:$BD
   )
)</f>
        <v>#N/A</v>
      </c>
      <c r="G36" s="168" t="e" cm="1">
        <f t="array" ref="G36">_xlfn.XLOOKUP(
   $B$4&amp;" "&amp;$B36,
   Actuals!$D:$D,
   _xlfn.XLOOKUP(
      G$6,
      Actuals!$H$3:$BD$3,
      Actuals!$H:$BD
   )
)</f>
        <v>#N/A</v>
      </c>
      <c r="H36" s="168" t="e" cm="1">
        <f t="array" ref="H36">_xlfn.XLOOKUP(
   $B$4&amp;" "&amp;$B36,
   Actuals!$D:$D,
   _xlfn.XLOOKUP(
      H$6,
      Actuals!$H$3:$BD$3,
      Actuals!$H:$BD
   )
)</f>
        <v>#N/A</v>
      </c>
      <c r="I36" s="168" t="e" cm="1">
        <f t="array" ref="I36">_xlfn.XLOOKUP(
   $B$4&amp;" "&amp;$B36,
   Actuals!$D:$D,
   _xlfn.XLOOKUP(
      I$6,
      Actuals!$H$3:$BD$3,
      Actuals!$H:$BD
   )
)</f>
        <v>#N/A</v>
      </c>
      <c r="J36" s="168" t="e" cm="1">
        <f t="array" ref="J36">_xlfn.XLOOKUP(
   $B$4&amp;" "&amp;$B36,
   Actuals!$D:$D,
   _xlfn.XLOOKUP(
      J$6,
      Actuals!$H$3:$BD$3,
      Actuals!$H:$BD
   )
)</f>
        <v>#N/A</v>
      </c>
      <c r="K36" s="168" t="e" cm="1">
        <f t="array" ref="K36">_xlfn.XLOOKUP(
   $B$4&amp;" "&amp;$B36,
   Actuals!$D:$D,
   _xlfn.XLOOKUP(
      K$6,
      Actuals!$H$3:$BD$3,
      Actuals!$H:$BD
   )
)</f>
        <v>#N/A</v>
      </c>
      <c r="L36" s="168" t="e" cm="1">
        <f t="array" ref="L36">_xlfn.XLOOKUP(
   $B$4&amp;" "&amp;$B36,
   Actuals!$D:$D,
   _xlfn.XLOOKUP(
      L$6,
      Actuals!$H$3:$BD$3,
      Actuals!$H:$BD
   )
)</f>
        <v>#N/A</v>
      </c>
      <c r="M36" s="168" t="e" cm="1">
        <f t="array" ref="M36">_xlfn.XLOOKUP(
   $B$4&amp;" "&amp;$B36,
   Actuals!$D:$D,
   _xlfn.XLOOKUP(
      M$6,
      Actuals!$H$3:$BD$3,
      Actuals!$H:$BD
   )
)</f>
        <v>#N/A</v>
      </c>
      <c r="N36" s="168" t="e" cm="1">
        <f t="array" ref="N36">_xlfn.XLOOKUP(
   $B$4&amp;" "&amp;$B36,
   Actuals!$D:$D,
   _xlfn.XLOOKUP(
      N$6,
      Actuals!$H$3:$BD$3,
      Actuals!$H:$BD
   )
)</f>
        <v>#N/A</v>
      </c>
      <c r="O36" s="211" t="e" cm="1">
        <f t="array" ref="O36">_xlfn.XLOOKUP(
   $B$4&amp;" "&amp;$B36,
   Actuals!$D:$D,
   _xlfn.XLOOKUP(
      O$6,
      Actuals!$H$3:$BD$3,
      Actuals!$H:$BD
   )
)</f>
        <v>#N/A</v>
      </c>
      <c r="P36" s="211" t="e" cm="1">
        <f t="array" ref="P36">_xlfn.XLOOKUP(
   $B$4&amp;" "&amp;$B36,
   Actuals!$D:$D,
   _xlfn.XLOOKUP(
      P$6,
      Actuals!$H$3:$BD$3,
      Actuals!$H:$BD
   )
)</f>
        <v>#N/A</v>
      </c>
      <c r="Q36" s="354" t="e" cm="1">
        <f t="array" ref="Q36">_xlfn.XLOOKUP(
   $B$4&amp;" "&amp;$B36,
   Actuals!$D:$D,
   _xlfn.XLOOKUP(
      Q$6,
      Actuals!$H$3:$BD$3,
      Actuals!$H:$BD
   )
)</f>
        <v>#N/A</v>
      </c>
      <c r="R36" s="354" t="e" cm="1">
        <f t="array" ref="R36">_xlfn.XLOOKUP(
   $B$4&amp;" "&amp;$B36,
   Actuals!$D:$D,
   _xlfn.XLOOKUP(
      R$6,
      Actuals!$H$3:$BD$3,
      Actuals!$H:$BD
   )
)</f>
        <v>#N/A</v>
      </c>
      <c r="S36" s="354" t="e" cm="1">
        <f t="array" ref="S36">_xlfn.XLOOKUP(
   $B$4&amp;" "&amp;$B36,
   Actuals!$D:$D,
   _xlfn.XLOOKUP(
      S$6,
      Actuals!$H$3:$BD$3,
      Actuals!$H:$BD
   )
)</f>
        <v>#N/A</v>
      </c>
      <c r="T36" s="354" t="e" cm="1">
        <f t="array" ref="T36">_xlfn.XLOOKUP(
   $B$4&amp;" "&amp;$B36,
   Actuals!$D:$D,
   _xlfn.XLOOKUP(
      T$6,
      Actuals!$H$3:$BD$3,
      Actuals!$H:$BD
   )
)</f>
        <v>#N/A</v>
      </c>
      <c r="U36" s="354" t="e" cm="1">
        <f t="array" ref="U36">_xlfn.XLOOKUP(
   $B$4&amp;" "&amp;$B36,
   Actuals!$D:$D,
   _xlfn.XLOOKUP(
      U$6,
      Actuals!$H$3:$BD$3,
      Actuals!$H:$BD
   )
)</f>
        <v>#N/A</v>
      </c>
      <c r="V36" s="354" t="e" cm="1">
        <f t="array" ref="V36">_xlfn.XLOOKUP(
   $B$4&amp;" "&amp;$B36,
   Actuals!$D:$D,
   _xlfn.XLOOKUP(
      V$6,
      Actuals!$H$3:$BD$3,
      Actuals!$H:$BD
   )
)</f>
        <v>#N/A</v>
      </c>
      <c r="W36" s="354" t="e" cm="1">
        <f t="array" ref="W36">_xlfn.XLOOKUP(
   $B$4&amp;" "&amp;$B36,
   Actuals!$D:$D,
   _xlfn.XLOOKUP(
      W$6,
      Actuals!$H$3:$BD$3,
      Actuals!$H:$BD
   )
)</f>
        <v>#N/A</v>
      </c>
      <c r="X36" s="354" t="e" cm="1">
        <f t="array" ref="X36">_xlfn.XLOOKUP(
   $B$4&amp;" "&amp;$B36,
   Actuals!$D:$D,
   _xlfn.XLOOKUP(
      X$6,
      Actuals!$H$3:$BD$3,
      Actuals!$H:$BD
   )
)</f>
        <v>#N/A</v>
      </c>
      <c r="Y36" s="354" t="e" cm="1">
        <f t="array" ref="Y36">_xlfn.XLOOKUP(
   $B$4&amp;" "&amp;$B36,
   Actuals!$D:$D,
   _xlfn.XLOOKUP(
      Y$6,
      Actuals!$H$3:$BD$3,
      Actuals!$H:$BD
   )
)</f>
        <v>#N/A</v>
      </c>
      <c r="Z36" s="354" t="e" cm="1">
        <f t="array" ref="Z36">_xlfn.XLOOKUP(
   $B$4&amp;" "&amp;$B36,
   Actuals!$D:$D,
   _xlfn.XLOOKUP(
      Z$6,
      Actuals!$H$3:$BD$3,
      Actuals!$H:$BD
   )
)</f>
        <v>#N/A</v>
      </c>
      <c r="AA36" s="354" t="e" cm="1">
        <f t="array" ref="AA36">_xlfn.XLOOKUP(
   $B$4&amp;" "&amp;$B36,
   Actuals!$D:$D,
   _xlfn.XLOOKUP(
      AA$6,
      Actuals!$H$3:$BD$3,
      Actuals!$H:$BD
   )
)</f>
        <v>#N/A</v>
      </c>
      <c r="AB36" s="354" t="e" cm="1">
        <f t="array" ref="AB36">_xlfn.XLOOKUP(
   $B$4&amp;" "&amp;$B36,
   Actuals!$D:$D,
   _xlfn.XLOOKUP(
      AB$6,
      Actuals!$H$3:$BD$3,
      Actuals!$H:$BD
   )
)</f>
        <v>#N/A</v>
      </c>
      <c r="AC36" s="354" t="e" cm="1">
        <f t="array" ref="AC36">_xlfn.XLOOKUP(
   $B$4&amp;" "&amp;$B36,
   Actuals!$D:$D,
   _xlfn.XLOOKUP(
      AC$6,
      Actuals!$H$3:$BD$3,
      Actuals!$H:$BD
   )
)</f>
        <v>#N/A</v>
      </c>
      <c r="AD36" s="354" t="e" cm="1">
        <f t="array" ref="AD36">_xlfn.XLOOKUP(
   $B$4&amp;" "&amp;$B36,
   Actuals!$D:$D,
   _xlfn.XLOOKUP(
      AD$6,
      Actuals!$H$3:$BD$3,
      Actuals!$H:$BD
   )
)</f>
        <v>#N/A</v>
      </c>
      <c r="AE36" s="354" t="e" cm="1">
        <f t="array" ref="AE36">_xlfn.XLOOKUP(
   $B$4&amp;" "&amp;$B36,
   Actuals!$D:$D,
   _xlfn.XLOOKUP(
      AE$6,
      Actuals!$H$3:$BD$3,
      Actuals!$H:$BD
   )
)</f>
        <v>#N/A</v>
      </c>
      <c r="AF36" s="354" t="e" cm="1">
        <f t="array" ref="AF36">_xlfn.XLOOKUP(
   $B$4&amp;" "&amp;$B36,
   Actuals!$D:$D,
   _xlfn.XLOOKUP(
      AF$6,
      Actuals!$H$3:$BD$3,
      Actuals!$H:$BD
   )
)</f>
        <v>#N/A</v>
      </c>
      <c r="AG36" s="354" t="e" cm="1">
        <f t="array" ref="AG36">_xlfn.XLOOKUP(
   $B$4&amp;" "&amp;$B36,
   Actuals!$D:$D,
   _xlfn.XLOOKUP(
      AG$6,
      Actuals!$H$3:$BD$3,
      Actuals!$H:$BD
   )
)</f>
        <v>#N/A</v>
      </c>
      <c r="AH36" s="354" t="e" cm="1">
        <f t="array" ref="AH36">_xlfn.XLOOKUP(
   $B$4&amp;" "&amp;$B36,
   Actuals!$D:$D,
   _xlfn.XLOOKUP(
      AH$6,
      Actuals!$H$3:$BD$3,
      Actuals!$H:$BD
   )
)</f>
        <v>#N/A</v>
      </c>
      <c r="AI36" s="354" t="e" cm="1">
        <f t="array" ref="AI36">_xlfn.XLOOKUP(
   $B$4&amp;" "&amp;$B36,
   Actuals!$D:$D,
   _xlfn.XLOOKUP(
      AI$6,
      Actuals!$H$3:$BD$3,
      Actuals!$H:$BD
   )
)</f>
        <v>#N/A</v>
      </c>
      <c r="AJ36" s="354" t="e" cm="1">
        <f t="array" ref="AJ36">_xlfn.XLOOKUP(
   $B$4&amp;" "&amp;$B36,
   Actuals!$D:$D,
   _xlfn.XLOOKUP(
      AJ$6,
      Actuals!$H$3:$BD$3,
      Actuals!$H:$BD
   )
)</f>
        <v>#N/A</v>
      </c>
      <c r="AK36" s="354" t="e" cm="1">
        <f t="array" ref="AK36">_xlfn.XLOOKUP(
   $B$4&amp;" "&amp;$B36,
   Actuals!$D:$D,
   _xlfn.XLOOKUP(
      AK$6,
      Actuals!$H$3:$BD$3,
      Actuals!$H:$BD
   )
)</f>
        <v>#N/A</v>
      </c>
      <c r="AL36" s="354" t="e" cm="1">
        <f t="array" ref="AL36">_xlfn.XLOOKUP(
   $B$4&amp;" "&amp;$B36,
   Actuals!$D:$D,
   _xlfn.XLOOKUP(
      AL$6,
      Actuals!$H$3:$BD$3,
      Actuals!$H:$BD
   )
)</f>
        <v>#N/A</v>
      </c>
      <c r="AM36" s="354" t="e" cm="1">
        <f t="array" ref="AM36">_xlfn.XLOOKUP(
   $B$4&amp;" "&amp;$B36,
   Actuals!$D:$D,
   _xlfn.XLOOKUP(
      AM$6,
      Actuals!$H$3:$BD$3,
      Actuals!$H:$BD
   )
)</f>
        <v>#N/A</v>
      </c>
      <c r="AN36" s="354" t="e" cm="1">
        <f t="array" ref="AN36">_xlfn.XLOOKUP(
   $B$4&amp;" "&amp;$B36,
   Actuals!$D:$D,
   _xlfn.XLOOKUP(
      AN$6,
      Actuals!$H$3:$BD$3,
      Actuals!$H:$BD
   )
)</f>
        <v>#N/A</v>
      </c>
      <c r="AO36" s="354" t="e" cm="1">
        <f t="array" ref="AO36">_xlfn.XLOOKUP(
   $B$4&amp;" "&amp;$B36,
   Actuals!$D:$D,
   _xlfn.XLOOKUP(
      AO$6,
      Actuals!$H$3:$BD$3,
      Actuals!$H:$BD
   )
)</f>
        <v>#N/A</v>
      </c>
      <c r="AP36" s="354" t="e" cm="1">
        <f t="array" ref="AP36">_xlfn.XLOOKUP(
   $B$4&amp;" "&amp;$B36,
   Actuals!$D:$D,
   _xlfn.XLOOKUP(
      AP$6,
      Actuals!$H$3:$BD$3,
      Actuals!$H:$BD
   )
)</f>
        <v>#N/A</v>
      </c>
      <c r="AQ36" s="354" t="e" cm="1">
        <f t="array" ref="AQ36">_xlfn.XLOOKUP(
   $B$4&amp;" "&amp;$B36,
   Actuals!$D:$D,
   _xlfn.XLOOKUP(
      AQ$6,
      Actuals!$H$3:$BD$3,
      Actuals!$H:$BD
   )
)</f>
        <v>#N/A</v>
      </c>
      <c r="AR36" s="354" t="e" cm="1">
        <f t="array" ref="AR36">_xlfn.XLOOKUP(
   $B$4&amp;" "&amp;$B36,
   Actuals!$D:$D,
   _xlfn.XLOOKUP(
      AR$6,
      Actuals!$H$3:$BD$3,
      Actuals!$H:$BD
   )
)</f>
        <v>#N/A</v>
      </c>
      <c r="AS36" s="354" t="e" cm="1">
        <f t="array" ref="AS36">_xlfn.XLOOKUP(
   $B$4&amp;" "&amp;$B36,
   Actuals!$D:$D,
   _xlfn.XLOOKUP(
      AS$6,
      Actuals!$H$3:$BD$3,
      Actuals!$H:$BD
   )
)</f>
        <v>#N/A</v>
      </c>
      <c r="AT36" s="354" t="e" cm="1">
        <f t="array" ref="AT36">_xlfn.XLOOKUP(
   $B$4&amp;" "&amp;$B36,
   Actuals!$D:$D,
   _xlfn.XLOOKUP(
      AT$6,
      Actuals!$H$3:$BD$3,
      Actuals!$H:$BD
   )
)</f>
        <v>#N/A</v>
      </c>
      <c r="AU36" s="354" t="e" cm="1">
        <f t="array" ref="AU36">_xlfn.XLOOKUP(
   $B$4&amp;" "&amp;$B36,
   Actuals!$D:$D,
   _xlfn.XLOOKUP(
      AU$6,
      Actuals!$H$3:$BD$3,
      Actuals!$H:$BD
   )
)</f>
        <v>#N/A</v>
      </c>
      <c r="AV36" s="354" t="e" cm="1">
        <f t="array" ref="AV36">_xlfn.XLOOKUP(
   $B$4&amp;" "&amp;$B36,
   Actuals!$D:$D,
   _xlfn.XLOOKUP(
      AV$6,
      Actuals!$H$3:$BD$3,
      Actuals!$H:$BD
   )
)</f>
        <v>#N/A</v>
      </c>
      <c r="AW36" s="354" t="e" cm="1">
        <f t="array" ref="AW36">_xlfn.XLOOKUP(
   $B$4&amp;" "&amp;$B36,
   Actuals!$D:$D,
   _xlfn.XLOOKUP(
      AW$6,
      Actuals!$H$3:$BD$3,
      Actuals!$H:$BD
   )
)</f>
        <v>#N/A</v>
      </c>
      <c r="AX36" s="354" t="e" cm="1">
        <f t="array" ref="AX36">_xlfn.XLOOKUP(
   $B$4&amp;" "&amp;$B36,
   Actuals!$D:$D,
   _xlfn.XLOOKUP(
      AX$6,
      Actuals!$H$3:$BD$3,
      Actuals!$H:$BD
   )
)</f>
        <v>#N/A</v>
      </c>
      <c r="AY36" s="354" t="e" cm="1">
        <f t="array" ref="AY36">_xlfn.XLOOKUP(
   $B$4&amp;" "&amp;$B36,
   Actuals!$D:$D,
   _xlfn.XLOOKUP(
      AY$6,
      Actuals!$H$3:$BD$3,
      Actuals!$H:$BD
   )
)</f>
        <v>#N/A</v>
      </c>
      <c r="AZ36" s="354" t="e" cm="1">
        <f t="array" ref="AZ36">_xlfn.XLOOKUP(
   $B$4&amp;" "&amp;$B36,
   Actuals!$D:$D,
   _xlfn.XLOOKUP(
      AZ$6,
      Actuals!$H$3:$BD$3,
      Actuals!$H:$BD
   )
)</f>
        <v>#N/A</v>
      </c>
      <c r="BA36" s="354"/>
      <c r="BB36" s="354" t="e" cm="1">
        <f t="array" ref="BB36">_xlfn.XLOOKUP(
   $B$4&amp;" "&amp;$B36,
   Actuals!$D:$D,
   _xlfn.XLOOKUP(
      BB$7,
      Actuals!$H$3:$BM$3,
      Actuals!$H:$BM
   )
)</f>
        <v>#N/A</v>
      </c>
      <c r="BC36" s="354">
        <f t="shared" ref="BC36" si="42">IFERROR(BC31/BC26,"-")</f>
        <v>0</v>
      </c>
      <c r="BD36" s="354" t="e">
        <f t="shared" si="33"/>
        <v>#N/A</v>
      </c>
      <c r="BE36" s="354"/>
      <c r="BF36" s="354" t="e" cm="1">
        <f t="array" ref="BF36">_xlfn.XLOOKUP(
   $B$4&amp;" "&amp;$B36,
   Actuals!$D:$D,
   _xlfn.XLOOKUP(
      BF$7,
      Actuals!$H$3:$BM$3,
      Actuals!$H:$BM
   )
)</f>
        <v>#N/A</v>
      </c>
      <c r="BG36" s="354">
        <f t="shared" ref="BG36" si="43">IFERROR(BG31/BG26,"-")</f>
        <v>0</v>
      </c>
      <c r="BH36" s="354" t="e">
        <f t="shared" si="34"/>
        <v>#N/A</v>
      </c>
      <c r="BI36" s="354"/>
      <c r="BJ36" s="354" t="e" cm="1">
        <f t="array" ref="BJ36">_xlfn.XLOOKUP(
   $B$4&amp;" "&amp;$B36,
   Actuals!$D:$D,
   _xlfn.XLOOKUP(
      BJ$7,
      Actuals!$H$3:$BM$3,
      Actuals!$H:$BM
   )
)</f>
        <v>#N/A</v>
      </c>
      <c r="BK36" s="354">
        <f t="shared" ref="BK36" si="44">IFERROR(BK31/BK26,"-")</f>
        <v>0</v>
      </c>
      <c r="BL36" s="354" t="e">
        <f t="shared" si="35"/>
        <v>#N/A</v>
      </c>
      <c r="BM36" s="354"/>
      <c r="BN36" s="354" t="e" cm="1">
        <f t="array" ref="BN36">_xlfn.XLOOKUP(
   $B$4&amp;" "&amp;$B36,
   Actuals!$D:$D,
   _xlfn.XLOOKUP(
      BN$7,
      Actuals!$H$3:$BM$3,
      Actuals!$H:$BM
   )
)</f>
        <v>#N/A</v>
      </c>
      <c r="BO36" s="354">
        <f t="shared" ref="BO36" si="45">IFERROR(BO31/BO26,"-")</f>
        <v>0</v>
      </c>
      <c r="BP36" s="354"/>
      <c r="BQ36" s="354"/>
      <c r="BR36" s="354" t="e" cm="1">
        <f t="array" ref="BR36">_xlfn.XLOOKUP(
   $B$4&amp;" "&amp;$B36,
   Actuals!$D:$D,
   _xlfn.XLOOKUP(
      BR$6,
      Actuals!$H$3:$BM$3,
      Actuals!$H:$BM
   )
)</f>
        <v>#N/A</v>
      </c>
      <c r="BS36" s="354">
        <f t="shared" ref="BS36" ca="1" si="46">IFERROR(BS31/BS26,"-")</f>
        <v>0</v>
      </c>
      <c r="BT36" s="354" t="e">
        <f t="shared" ca="1" si="36"/>
        <v>#N/A</v>
      </c>
      <c r="BU36" s="354"/>
      <c r="BV36" s="354" t="e" cm="1">
        <f t="array" ref="BV36">_xlfn.XLOOKUP(
   $B$4&amp;" "&amp;$B36,
   Actuals!$D:$D,
   _xlfn.XLOOKUP(
      BV$6,
      Actuals!$H$3:$BM$3,
      Actuals!$H:$BM
   )
)</f>
        <v>#N/A</v>
      </c>
    </row>
    <row r="37" spans="2:74">
      <c r="B37" s="26" t="s">
        <v>130</v>
      </c>
      <c r="C37" s="139" t="s">
        <v>49</v>
      </c>
      <c r="D37" s="171" t="e">
        <f>VLOOKUP($B$4&amp;" "&amp;$B37,Actuals!$D$4:$AG$131,3,FALSE)</f>
        <v>#N/A</v>
      </c>
      <c r="E37" s="168" t="e" cm="1">
        <f t="array" ref="E37">_xlfn.XLOOKUP(
   $B$4&amp;" "&amp;$B37,
   Actuals!$D:$D,
   _xlfn.XLOOKUP(
      E$6,
      Actuals!$H$3:$BD$3,
      Actuals!$H:$BD
   )
)</f>
        <v>#N/A</v>
      </c>
      <c r="F37" s="168" t="e" cm="1">
        <f t="array" ref="F37">_xlfn.XLOOKUP(
   $B$4&amp;" "&amp;$B37,
   Actuals!$D:$D,
   _xlfn.XLOOKUP(
      F$6,
      Actuals!$H$3:$BD$3,
      Actuals!$H:$BD
   )
)</f>
        <v>#N/A</v>
      </c>
      <c r="G37" s="168" t="e" cm="1">
        <f t="array" ref="G37">_xlfn.XLOOKUP(
   $B$4&amp;" "&amp;$B37,
   Actuals!$D:$D,
   _xlfn.XLOOKUP(
      G$6,
      Actuals!$H$3:$BD$3,
      Actuals!$H:$BD
   )
)</f>
        <v>#N/A</v>
      </c>
      <c r="H37" s="168" t="e" cm="1">
        <f t="array" ref="H37">_xlfn.XLOOKUP(
   $B$4&amp;" "&amp;$B37,
   Actuals!$D:$D,
   _xlfn.XLOOKUP(
      H$6,
      Actuals!$H$3:$BD$3,
      Actuals!$H:$BD
   )
)</f>
        <v>#N/A</v>
      </c>
      <c r="I37" s="168" t="e" cm="1">
        <f t="array" ref="I37">_xlfn.XLOOKUP(
   $B$4&amp;" "&amp;$B37,
   Actuals!$D:$D,
   _xlfn.XLOOKUP(
      I$6,
      Actuals!$H$3:$BD$3,
      Actuals!$H:$BD
   )
)</f>
        <v>#N/A</v>
      </c>
      <c r="J37" s="168" t="e" cm="1">
        <f t="array" ref="J37">_xlfn.XLOOKUP(
   $B$4&amp;" "&amp;$B37,
   Actuals!$D:$D,
   _xlfn.XLOOKUP(
      J$6,
      Actuals!$H$3:$BD$3,
      Actuals!$H:$BD
   )
)</f>
        <v>#N/A</v>
      </c>
      <c r="K37" s="168" t="e" cm="1">
        <f t="array" ref="K37">_xlfn.XLOOKUP(
   $B$4&amp;" "&amp;$B37,
   Actuals!$D:$D,
   _xlfn.XLOOKUP(
      K$6,
      Actuals!$H$3:$BD$3,
      Actuals!$H:$BD
   )
)</f>
        <v>#N/A</v>
      </c>
      <c r="L37" s="168" t="e" cm="1">
        <f t="array" ref="L37">_xlfn.XLOOKUP(
   $B$4&amp;" "&amp;$B37,
   Actuals!$D:$D,
   _xlfn.XLOOKUP(
      L$6,
      Actuals!$H$3:$BD$3,
      Actuals!$H:$BD
   )
)</f>
        <v>#N/A</v>
      </c>
      <c r="M37" s="168" t="e" cm="1">
        <f t="array" ref="M37">_xlfn.XLOOKUP(
   $B$4&amp;" "&amp;$B37,
   Actuals!$D:$D,
   _xlfn.XLOOKUP(
      M$6,
      Actuals!$H$3:$BD$3,
      Actuals!$H:$BD
   )
)</f>
        <v>#N/A</v>
      </c>
      <c r="N37" s="168" t="e" cm="1">
        <f t="array" ref="N37">_xlfn.XLOOKUP(
   $B$4&amp;" "&amp;$B37,
   Actuals!$D:$D,
   _xlfn.XLOOKUP(
      N$6,
      Actuals!$H$3:$BD$3,
      Actuals!$H:$BD
   )
)</f>
        <v>#N/A</v>
      </c>
      <c r="O37" s="211" t="e" cm="1">
        <f t="array" ref="O37">_xlfn.XLOOKUP(
   $B$4&amp;" "&amp;$B37,
   Actuals!$D:$D,
   _xlfn.XLOOKUP(
      O$6,
      Actuals!$H$3:$BD$3,
      Actuals!$H:$BD
   )
)</f>
        <v>#N/A</v>
      </c>
      <c r="P37" s="211" t="e" cm="1">
        <f t="array" ref="P37">_xlfn.XLOOKUP(
   $B$4&amp;" "&amp;$B37,
   Actuals!$D:$D,
   _xlfn.XLOOKUP(
      P$6,
      Actuals!$H$3:$BD$3,
      Actuals!$H:$BD
   )
)</f>
        <v>#N/A</v>
      </c>
      <c r="Q37" s="354" t="e" cm="1">
        <f t="array" ref="Q37">_xlfn.XLOOKUP(
   $B$4&amp;" "&amp;$B37,
   Actuals!$D:$D,
   _xlfn.XLOOKUP(
      Q$6,
      Actuals!$H$3:$BD$3,
      Actuals!$H:$BD
   )
)</f>
        <v>#N/A</v>
      </c>
      <c r="R37" s="354" t="e" cm="1">
        <f t="array" ref="R37">_xlfn.XLOOKUP(
   $B$4&amp;" "&amp;$B37,
   Actuals!$D:$D,
   _xlfn.XLOOKUP(
      R$6,
      Actuals!$H$3:$BD$3,
      Actuals!$H:$BD
   )
)</f>
        <v>#N/A</v>
      </c>
      <c r="S37" s="354" t="e" cm="1">
        <f t="array" ref="S37">_xlfn.XLOOKUP(
   $B$4&amp;" "&amp;$B37,
   Actuals!$D:$D,
   _xlfn.XLOOKUP(
      S$6,
      Actuals!$H$3:$BD$3,
      Actuals!$H:$BD
   )
)</f>
        <v>#N/A</v>
      </c>
      <c r="T37" s="354" t="e" cm="1">
        <f t="array" ref="T37">_xlfn.XLOOKUP(
   $B$4&amp;" "&amp;$B37,
   Actuals!$D:$D,
   _xlfn.XLOOKUP(
      T$6,
      Actuals!$H$3:$BD$3,
      Actuals!$H:$BD
   )
)</f>
        <v>#N/A</v>
      </c>
      <c r="U37" s="354" t="e" cm="1">
        <f t="array" ref="U37">_xlfn.XLOOKUP(
   $B$4&amp;" "&amp;$B37,
   Actuals!$D:$D,
   _xlfn.XLOOKUP(
      U$6,
      Actuals!$H$3:$BD$3,
      Actuals!$H:$BD
   )
)</f>
        <v>#N/A</v>
      </c>
      <c r="V37" s="354" t="e" cm="1">
        <f t="array" ref="V37">_xlfn.XLOOKUP(
   $B$4&amp;" "&amp;$B37,
   Actuals!$D:$D,
   _xlfn.XLOOKUP(
      V$6,
      Actuals!$H$3:$BD$3,
      Actuals!$H:$BD
   )
)</f>
        <v>#N/A</v>
      </c>
      <c r="W37" s="354" t="e" cm="1">
        <f t="array" ref="W37">_xlfn.XLOOKUP(
   $B$4&amp;" "&amp;$B37,
   Actuals!$D:$D,
   _xlfn.XLOOKUP(
      W$6,
      Actuals!$H$3:$BD$3,
      Actuals!$H:$BD
   )
)</f>
        <v>#N/A</v>
      </c>
      <c r="X37" s="354" t="e" cm="1">
        <f t="array" ref="X37">_xlfn.XLOOKUP(
   $B$4&amp;" "&amp;$B37,
   Actuals!$D:$D,
   _xlfn.XLOOKUP(
      X$6,
      Actuals!$H$3:$BD$3,
      Actuals!$H:$BD
   )
)</f>
        <v>#N/A</v>
      </c>
      <c r="Y37" s="354" t="e" cm="1">
        <f t="array" ref="Y37">_xlfn.XLOOKUP(
   $B$4&amp;" "&amp;$B37,
   Actuals!$D:$D,
   _xlfn.XLOOKUP(
      Y$6,
      Actuals!$H$3:$BD$3,
      Actuals!$H:$BD
   )
)</f>
        <v>#N/A</v>
      </c>
      <c r="Z37" s="354" t="e" cm="1">
        <f t="array" ref="Z37">_xlfn.XLOOKUP(
   $B$4&amp;" "&amp;$B37,
   Actuals!$D:$D,
   _xlfn.XLOOKUP(
      Z$6,
      Actuals!$H$3:$BD$3,
      Actuals!$H:$BD
   )
)</f>
        <v>#N/A</v>
      </c>
      <c r="AA37" s="354" t="e" cm="1">
        <f t="array" ref="AA37">_xlfn.XLOOKUP(
   $B$4&amp;" "&amp;$B37,
   Actuals!$D:$D,
   _xlfn.XLOOKUP(
      AA$6,
      Actuals!$H$3:$BD$3,
      Actuals!$H:$BD
   )
)</f>
        <v>#N/A</v>
      </c>
      <c r="AB37" s="354" t="e" cm="1">
        <f t="array" ref="AB37">_xlfn.XLOOKUP(
   $B$4&amp;" "&amp;$B37,
   Actuals!$D:$D,
   _xlfn.XLOOKUP(
      AB$6,
      Actuals!$H$3:$BD$3,
      Actuals!$H:$BD
   )
)</f>
        <v>#N/A</v>
      </c>
      <c r="AC37" s="354" t="e" cm="1">
        <f t="array" ref="AC37">_xlfn.XLOOKUP(
   $B$4&amp;" "&amp;$B37,
   Actuals!$D:$D,
   _xlfn.XLOOKUP(
      AC$6,
      Actuals!$H$3:$BD$3,
      Actuals!$H:$BD
   )
)</f>
        <v>#N/A</v>
      </c>
      <c r="AD37" s="354" t="e" cm="1">
        <f t="array" ref="AD37">_xlfn.XLOOKUP(
   $B$4&amp;" "&amp;$B37,
   Actuals!$D:$D,
   _xlfn.XLOOKUP(
      AD$6,
      Actuals!$H$3:$BD$3,
      Actuals!$H:$BD
   )
)</f>
        <v>#N/A</v>
      </c>
      <c r="AE37" s="354" t="e" cm="1">
        <f t="array" ref="AE37">_xlfn.XLOOKUP(
   $B$4&amp;" "&amp;$B37,
   Actuals!$D:$D,
   _xlfn.XLOOKUP(
      AE$6,
      Actuals!$H$3:$BD$3,
      Actuals!$H:$BD
   )
)</f>
        <v>#N/A</v>
      </c>
      <c r="AF37" s="354" t="e" cm="1">
        <f t="array" ref="AF37">_xlfn.XLOOKUP(
   $B$4&amp;" "&amp;$B37,
   Actuals!$D:$D,
   _xlfn.XLOOKUP(
      AF$6,
      Actuals!$H$3:$BD$3,
      Actuals!$H:$BD
   )
)</f>
        <v>#N/A</v>
      </c>
      <c r="AG37" s="354" t="e" cm="1">
        <f t="array" ref="AG37">_xlfn.XLOOKUP(
   $B$4&amp;" "&amp;$B37,
   Actuals!$D:$D,
   _xlfn.XLOOKUP(
      AG$6,
      Actuals!$H$3:$BD$3,
      Actuals!$H:$BD
   )
)</f>
        <v>#N/A</v>
      </c>
      <c r="AH37" s="354" t="e" cm="1">
        <f t="array" ref="AH37">_xlfn.XLOOKUP(
   $B$4&amp;" "&amp;$B37,
   Actuals!$D:$D,
   _xlfn.XLOOKUP(
      AH$6,
      Actuals!$H$3:$BD$3,
      Actuals!$H:$BD
   )
)</f>
        <v>#N/A</v>
      </c>
      <c r="AI37" s="354" t="e" cm="1">
        <f t="array" ref="AI37">_xlfn.XLOOKUP(
   $B$4&amp;" "&amp;$B37,
   Actuals!$D:$D,
   _xlfn.XLOOKUP(
      AI$6,
      Actuals!$H$3:$BD$3,
      Actuals!$H:$BD
   )
)</f>
        <v>#N/A</v>
      </c>
      <c r="AJ37" s="354" t="e" cm="1">
        <f t="array" ref="AJ37">_xlfn.XLOOKUP(
   $B$4&amp;" "&amp;$B37,
   Actuals!$D:$D,
   _xlfn.XLOOKUP(
      AJ$6,
      Actuals!$H$3:$BD$3,
      Actuals!$H:$BD
   )
)</f>
        <v>#N/A</v>
      </c>
      <c r="AK37" s="354" t="e" cm="1">
        <f t="array" ref="AK37">_xlfn.XLOOKUP(
   $B$4&amp;" "&amp;$B37,
   Actuals!$D:$D,
   _xlfn.XLOOKUP(
      AK$6,
      Actuals!$H$3:$BD$3,
      Actuals!$H:$BD
   )
)</f>
        <v>#N/A</v>
      </c>
      <c r="AL37" s="354" t="e" cm="1">
        <f t="array" ref="AL37">_xlfn.XLOOKUP(
   $B$4&amp;" "&amp;$B37,
   Actuals!$D:$D,
   _xlfn.XLOOKUP(
      AL$6,
      Actuals!$H$3:$BD$3,
      Actuals!$H:$BD
   )
)</f>
        <v>#N/A</v>
      </c>
      <c r="AM37" s="354" t="e" cm="1">
        <f t="array" ref="AM37">_xlfn.XLOOKUP(
   $B$4&amp;" "&amp;$B37,
   Actuals!$D:$D,
   _xlfn.XLOOKUP(
      AM$6,
      Actuals!$H$3:$BD$3,
      Actuals!$H:$BD
   )
)</f>
        <v>#N/A</v>
      </c>
      <c r="AN37" s="354" t="e" cm="1">
        <f t="array" ref="AN37">_xlfn.XLOOKUP(
   $B$4&amp;" "&amp;$B37,
   Actuals!$D:$D,
   _xlfn.XLOOKUP(
      AN$6,
      Actuals!$H$3:$BD$3,
      Actuals!$H:$BD
   )
)</f>
        <v>#N/A</v>
      </c>
      <c r="AO37" s="354" t="e" cm="1">
        <f t="array" ref="AO37">_xlfn.XLOOKUP(
   $B$4&amp;" "&amp;$B37,
   Actuals!$D:$D,
   _xlfn.XLOOKUP(
      AO$6,
      Actuals!$H$3:$BD$3,
      Actuals!$H:$BD
   )
)</f>
        <v>#N/A</v>
      </c>
      <c r="AP37" s="354" t="e" cm="1">
        <f t="array" ref="AP37">_xlfn.XLOOKUP(
   $B$4&amp;" "&amp;$B37,
   Actuals!$D:$D,
   _xlfn.XLOOKUP(
      AP$6,
      Actuals!$H$3:$BD$3,
      Actuals!$H:$BD
   )
)</f>
        <v>#N/A</v>
      </c>
      <c r="AQ37" s="354" t="e" cm="1">
        <f t="array" ref="AQ37">_xlfn.XLOOKUP(
   $B$4&amp;" "&amp;$B37,
   Actuals!$D:$D,
   _xlfn.XLOOKUP(
      AQ$6,
      Actuals!$H$3:$BD$3,
      Actuals!$H:$BD
   )
)</f>
        <v>#N/A</v>
      </c>
      <c r="AR37" s="354" t="e" cm="1">
        <f t="array" ref="AR37">_xlfn.XLOOKUP(
   $B$4&amp;" "&amp;$B37,
   Actuals!$D:$D,
   _xlfn.XLOOKUP(
      AR$6,
      Actuals!$H$3:$BD$3,
      Actuals!$H:$BD
   )
)</f>
        <v>#N/A</v>
      </c>
      <c r="AS37" s="354" t="e" cm="1">
        <f t="array" ref="AS37">_xlfn.XLOOKUP(
   $B$4&amp;" "&amp;$B37,
   Actuals!$D:$D,
   _xlfn.XLOOKUP(
      AS$6,
      Actuals!$H$3:$BD$3,
      Actuals!$H:$BD
   )
)</f>
        <v>#N/A</v>
      </c>
      <c r="AT37" s="354" t="e" cm="1">
        <f t="array" ref="AT37">_xlfn.XLOOKUP(
   $B$4&amp;" "&amp;$B37,
   Actuals!$D:$D,
   _xlfn.XLOOKUP(
      AT$6,
      Actuals!$H$3:$BD$3,
      Actuals!$H:$BD
   )
)</f>
        <v>#N/A</v>
      </c>
      <c r="AU37" s="354" t="e" cm="1">
        <f t="array" ref="AU37">_xlfn.XLOOKUP(
   $B$4&amp;" "&amp;$B37,
   Actuals!$D:$D,
   _xlfn.XLOOKUP(
      AU$6,
      Actuals!$H$3:$BD$3,
      Actuals!$H:$BD
   )
)</f>
        <v>#N/A</v>
      </c>
      <c r="AV37" s="354" t="e" cm="1">
        <f t="array" ref="AV37">_xlfn.XLOOKUP(
   $B$4&amp;" "&amp;$B37,
   Actuals!$D:$D,
   _xlfn.XLOOKUP(
      AV$6,
      Actuals!$H$3:$BD$3,
      Actuals!$H:$BD
   )
)</f>
        <v>#N/A</v>
      </c>
      <c r="AW37" s="354" t="e" cm="1">
        <f t="array" ref="AW37">_xlfn.XLOOKUP(
   $B$4&amp;" "&amp;$B37,
   Actuals!$D:$D,
   _xlfn.XLOOKUP(
      AW$6,
      Actuals!$H$3:$BD$3,
      Actuals!$H:$BD
   )
)</f>
        <v>#N/A</v>
      </c>
      <c r="AX37" s="354" t="e" cm="1">
        <f t="array" ref="AX37">_xlfn.XLOOKUP(
   $B$4&amp;" "&amp;$B37,
   Actuals!$D:$D,
   _xlfn.XLOOKUP(
      AX$6,
      Actuals!$H$3:$BD$3,
      Actuals!$H:$BD
   )
)</f>
        <v>#N/A</v>
      </c>
      <c r="AY37" s="354" t="e" cm="1">
        <f t="array" ref="AY37">_xlfn.XLOOKUP(
   $B$4&amp;" "&amp;$B37,
   Actuals!$D:$D,
   _xlfn.XLOOKUP(
      AY$6,
      Actuals!$H$3:$BD$3,
      Actuals!$H:$BD
   )
)</f>
        <v>#N/A</v>
      </c>
      <c r="AZ37" s="354" t="e" cm="1">
        <f t="array" ref="AZ37">_xlfn.XLOOKUP(
   $B$4&amp;" "&amp;$B37,
   Actuals!$D:$D,
   _xlfn.XLOOKUP(
      AZ$6,
      Actuals!$H$3:$BD$3,
      Actuals!$H:$BD
   )
)</f>
        <v>#N/A</v>
      </c>
      <c r="BA37" s="354"/>
      <c r="BB37" s="354" t="e" cm="1">
        <f t="array" ref="BB37">_xlfn.XLOOKUP(
   $B$4&amp;" "&amp;$B37,
   Actuals!$D:$D,
   _xlfn.XLOOKUP(
      BB$7,
      Actuals!$H$3:$BM$3,
      Actuals!$H:$BM
   )
)</f>
        <v>#N/A</v>
      </c>
      <c r="BC37" s="354">
        <f t="shared" ref="BC37" si="47">IFERROR(BC32/BC27,"-")</f>
        <v>0</v>
      </c>
      <c r="BD37" s="354" t="e">
        <f t="shared" si="33"/>
        <v>#N/A</v>
      </c>
      <c r="BE37" s="354"/>
      <c r="BF37" s="354" t="e" cm="1">
        <f t="array" ref="BF37">_xlfn.XLOOKUP(
   $B$4&amp;" "&amp;$B37,
   Actuals!$D:$D,
   _xlfn.XLOOKUP(
      BF$7,
      Actuals!$H$3:$BM$3,
      Actuals!$H:$BM
   )
)</f>
        <v>#N/A</v>
      </c>
      <c r="BG37" s="354">
        <f t="shared" ref="BG37" si="48">IFERROR(BG32/BG27,"-")</f>
        <v>0</v>
      </c>
      <c r="BH37" s="354" t="e">
        <f t="shared" si="34"/>
        <v>#N/A</v>
      </c>
      <c r="BI37" s="354"/>
      <c r="BJ37" s="354" t="e" cm="1">
        <f t="array" ref="BJ37">_xlfn.XLOOKUP(
   $B$4&amp;" "&amp;$B37,
   Actuals!$D:$D,
   _xlfn.XLOOKUP(
      BJ$7,
      Actuals!$H$3:$BM$3,
      Actuals!$H:$BM
   )
)</f>
        <v>#N/A</v>
      </c>
      <c r="BK37" s="354">
        <f t="shared" ref="BK37" si="49">IFERROR(BK32/BK27,"-")</f>
        <v>0</v>
      </c>
      <c r="BL37" s="354" t="e">
        <f t="shared" si="35"/>
        <v>#N/A</v>
      </c>
      <c r="BM37" s="354"/>
      <c r="BN37" s="354" t="e" cm="1">
        <f t="array" ref="BN37">_xlfn.XLOOKUP(
   $B$4&amp;" "&amp;$B37,
   Actuals!$D:$D,
   _xlfn.XLOOKUP(
      BN$7,
      Actuals!$H$3:$BM$3,
      Actuals!$H:$BM
   )
)</f>
        <v>#N/A</v>
      </c>
      <c r="BO37" s="354">
        <f t="shared" ref="BO37" si="50">IFERROR(BO32/BO27,"-")</f>
        <v>0</v>
      </c>
      <c r="BP37" s="354"/>
      <c r="BQ37" s="354"/>
      <c r="BR37" s="354" t="e" cm="1">
        <f t="array" ref="BR37">_xlfn.XLOOKUP(
   $B$4&amp;" "&amp;$B37,
   Actuals!$D:$D,
   _xlfn.XLOOKUP(
      BR$6,
      Actuals!$H$3:$BM$3,
      Actuals!$H:$BM
   )
)</f>
        <v>#N/A</v>
      </c>
      <c r="BS37" s="354">
        <f t="shared" ref="BS37" ca="1" si="51">IFERROR(BS32/BS27,"-")</f>
        <v>0</v>
      </c>
      <c r="BT37" s="354" t="e">
        <f t="shared" ca="1" si="36"/>
        <v>#N/A</v>
      </c>
      <c r="BU37" s="354"/>
      <c r="BV37" s="354" t="e" cm="1">
        <f t="array" ref="BV37">_xlfn.XLOOKUP(
   $B$4&amp;" "&amp;$B37,
   Actuals!$D:$D,
   _xlfn.XLOOKUP(
      BV$6,
      Actuals!$H$3:$BM$3,
      Actuals!$H:$BM
   )
)</f>
        <v>#N/A</v>
      </c>
    </row>
    <row r="38" spans="2:74">
      <c r="B38" s="26" t="s">
        <v>131</v>
      </c>
      <c r="C38" s="139" t="s">
        <v>49</v>
      </c>
      <c r="D38" s="171" t="e">
        <f>VLOOKUP($B$4&amp;" "&amp;$B38,Actuals!$D$4:$AG$131,3,FALSE)</f>
        <v>#N/A</v>
      </c>
      <c r="E38" s="168" t="e" cm="1">
        <f t="array" ref="E38">_xlfn.XLOOKUP(
   $B$4&amp;" "&amp;$B38,
   Actuals!$D:$D,
   _xlfn.XLOOKUP(
      E$6,
      Actuals!$H$3:$BD$3,
      Actuals!$H:$BD
   )
)</f>
        <v>#N/A</v>
      </c>
      <c r="F38" s="168" t="e" cm="1">
        <f t="array" ref="F38">_xlfn.XLOOKUP(
   $B$4&amp;" "&amp;$B38,
   Actuals!$D:$D,
   _xlfn.XLOOKUP(
      F$6,
      Actuals!$H$3:$BD$3,
      Actuals!$H:$BD
   )
)</f>
        <v>#N/A</v>
      </c>
      <c r="G38" s="168" t="e" cm="1">
        <f t="array" ref="G38">_xlfn.XLOOKUP(
   $B$4&amp;" "&amp;$B38,
   Actuals!$D:$D,
   _xlfn.XLOOKUP(
      G$6,
      Actuals!$H$3:$BD$3,
      Actuals!$H:$BD
   )
)</f>
        <v>#N/A</v>
      </c>
      <c r="H38" s="168" t="e" cm="1">
        <f t="array" ref="H38">_xlfn.XLOOKUP(
   $B$4&amp;" "&amp;$B38,
   Actuals!$D:$D,
   _xlfn.XLOOKUP(
      H$6,
      Actuals!$H$3:$BD$3,
      Actuals!$H:$BD
   )
)</f>
        <v>#N/A</v>
      </c>
      <c r="I38" s="168" t="e" cm="1">
        <f t="array" ref="I38">_xlfn.XLOOKUP(
   $B$4&amp;" "&amp;$B38,
   Actuals!$D:$D,
   _xlfn.XLOOKUP(
      I$6,
      Actuals!$H$3:$BD$3,
      Actuals!$H:$BD
   )
)</f>
        <v>#N/A</v>
      </c>
      <c r="J38" s="168" t="e" cm="1">
        <f t="array" ref="J38">_xlfn.XLOOKUP(
   $B$4&amp;" "&amp;$B38,
   Actuals!$D:$D,
   _xlfn.XLOOKUP(
      J$6,
      Actuals!$H$3:$BD$3,
      Actuals!$H:$BD
   )
)</f>
        <v>#N/A</v>
      </c>
      <c r="K38" s="168" t="e" cm="1">
        <f t="array" ref="K38">_xlfn.XLOOKUP(
   $B$4&amp;" "&amp;$B38,
   Actuals!$D:$D,
   _xlfn.XLOOKUP(
      K$6,
      Actuals!$H$3:$BD$3,
      Actuals!$H:$BD
   )
)</f>
        <v>#N/A</v>
      </c>
      <c r="L38" s="168" t="e" cm="1">
        <f t="array" ref="L38">_xlfn.XLOOKUP(
   $B$4&amp;" "&amp;$B38,
   Actuals!$D:$D,
   _xlfn.XLOOKUP(
      L$6,
      Actuals!$H$3:$BD$3,
      Actuals!$H:$BD
   )
)</f>
        <v>#N/A</v>
      </c>
      <c r="M38" s="168" t="e" cm="1">
        <f t="array" ref="M38">_xlfn.XLOOKUP(
   $B$4&amp;" "&amp;$B38,
   Actuals!$D:$D,
   _xlfn.XLOOKUP(
      M$6,
      Actuals!$H$3:$BD$3,
      Actuals!$H:$BD
   )
)</f>
        <v>#N/A</v>
      </c>
      <c r="N38" s="168" t="e" cm="1">
        <f t="array" ref="N38">_xlfn.XLOOKUP(
   $B$4&amp;" "&amp;$B38,
   Actuals!$D:$D,
   _xlfn.XLOOKUP(
      N$6,
      Actuals!$H$3:$BD$3,
      Actuals!$H:$BD
   )
)</f>
        <v>#N/A</v>
      </c>
      <c r="O38" s="211" t="e" cm="1">
        <f t="array" ref="O38">_xlfn.XLOOKUP(
   $B$4&amp;" "&amp;$B38,
   Actuals!$D:$D,
   _xlfn.XLOOKUP(
      O$6,
      Actuals!$H$3:$BD$3,
      Actuals!$H:$BD
   )
)</f>
        <v>#N/A</v>
      </c>
      <c r="P38" s="211" t="e" cm="1">
        <f t="array" ref="P38">_xlfn.XLOOKUP(
   $B$4&amp;" "&amp;$B38,
   Actuals!$D:$D,
   _xlfn.XLOOKUP(
      P$6,
      Actuals!$H$3:$BD$3,
      Actuals!$H:$BD
   )
)</f>
        <v>#N/A</v>
      </c>
      <c r="Q38" s="354" t="e" cm="1">
        <f t="array" ref="Q38">_xlfn.XLOOKUP(
   $B$4&amp;" "&amp;$B38,
   Actuals!$D:$D,
   _xlfn.XLOOKUP(
      Q$6,
      Actuals!$H$3:$BD$3,
      Actuals!$H:$BD
   )
)</f>
        <v>#N/A</v>
      </c>
      <c r="R38" s="354" t="e" cm="1">
        <f t="array" ref="R38">_xlfn.XLOOKUP(
   $B$4&amp;" "&amp;$B38,
   Actuals!$D:$D,
   _xlfn.XLOOKUP(
      R$6,
      Actuals!$H$3:$BD$3,
      Actuals!$H:$BD
   )
)</f>
        <v>#N/A</v>
      </c>
      <c r="S38" s="354" t="e" cm="1">
        <f t="array" ref="S38">_xlfn.XLOOKUP(
   $B$4&amp;" "&amp;$B38,
   Actuals!$D:$D,
   _xlfn.XLOOKUP(
      S$6,
      Actuals!$H$3:$BD$3,
      Actuals!$H:$BD
   )
)</f>
        <v>#N/A</v>
      </c>
      <c r="T38" s="354" t="e" cm="1">
        <f t="array" ref="T38">_xlfn.XLOOKUP(
   $B$4&amp;" "&amp;$B38,
   Actuals!$D:$D,
   _xlfn.XLOOKUP(
      T$6,
      Actuals!$H$3:$BD$3,
      Actuals!$H:$BD
   )
)</f>
        <v>#N/A</v>
      </c>
      <c r="U38" s="354" t="e" cm="1">
        <f t="array" ref="U38">_xlfn.XLOOKUP(
   $B$4&amp;" "&amp;$B38,
   Actuals!$D:$D,
   _xlfn.XLOOKUP(
      U$6,
      Actuals!$H$3:$BD$3,
      Actuals!$H:$BD
   )
)</f>
        <v>#N/A</v>
      </c>
      <c r="V38" s="354" t="e" cm="1">
        <f t="array" ref="V38">_xlfn.XLOOKUP(
   $B$4&amp;" "&amp;$B38,
   Actuals!$D:$D,
   _xlfn.XLOOKUP(
      V$6,
      Actuals!$H$3:$BD$3,
      Actuals!$H:$BD
   )
)</f>
        <v>#N/A</v>
      </c>
      <c r="W38" s="354" t="e" cm="1">
        <f t="array" ref="W38">_xlfn.XLOOKUP(
   $B$4&amp;" "&amp;$B38,
   Actuals!$D:$D,
   _xlfn.XLOOKUP(
      W$6,
      Actuals!$H$3:$BD$3,
      Actuals!$H:$BD
   )
)</f>
        <v>#N/A</v>
      </c>
      <c r="X38" s="354" t="e" cm="1">
        <f t="array" ref="X38">_xlfn.XLOOKUP(
   $B$4&amp;" "&amp;$B38,
   Actuals!$D:$D,
   _xlfn.XLOOKUP(
      X$6,
      Actuals!$H$3:$BD$3,
      Actuals!$H:$BD
   )
)</f>
        <v>#N/A</v>
      </c>
      <c r="Y38" s="354" t="e" cm="1">
        <f t="array" ref="Y38">_xlfn.XLOOKUP(
   $B$4&amp;" "&amp;$B38,
   Actuals!$D:$D,
   _xlfn.XLOOKUP(
      Y$6,
      Actuals!$H$3:$BD$3,
      Actuals!$H:$BD
   )
)</f>
        <v>#N/A</v>
      </c>
      <c r="Z38" s="354" t="e" cm="1">
        <f t="array" ref="Z38">_xlfn.XLOOKUP(
   $B$4&amp;" "&amp;$B38,
   Actuals!$D:$D,
   _xlfn.XLOOKUP(
      Z$6,
      Actuals!$H$3:$BD$3,
      Actuals!$H:$BD
   )
)</f>
        <v>#N/A</v>
      </c>
      <c r="AA38" s="354" t="e" cm="1">
        <f t="array" ref="AA38">_xlfn.XLOOKUP(
   $B$4&amp;" "&amp;$B38,
   Actuals!$D:$D,
   _xlfn.XLOOKUP(
      AA$6,
      Actuals!$H$3:$BD$3,
      Actuals!$H:$BD
   )
)</f>
        <v>#N/A</v>
      </c>
      <c r="AB38" s="354" t="e" cm="1">
        <f t="array" ref="AB38">_xlfn.XLOOKUP(
   $B$4&amp;" "&amp;$B38,
   Actuals!$D:$D,
   _xlfn.XLOOKUP(
      AB$6,
      Actuals!$H$3:$BD$3,
      Actuals!$H:$BD
   )
)</f>
        <v>#N/A</v>
      </c>
      <c r="AC38" s="354" t="e" cm="1">
        <f t="array" ref="AC38">_xlfn.XLOOKUP(
   $B$4&amp;" "&amp;$B38,
   Actuals!$D:$D,
   _xlfn.XLOOKUP(
      AC$6,
      Actuals!$H$3:$BD$3,
      Actuals!$H:$BD
   )
)</f>
        <v>#N/A</v>
      </c>
      <c r="AD38" s="354" t="e" cm="1">
        <f t="array" ref="AD38">_xlfn.XLOOKUP(
   $B$4&amp;" "&amp;$B38,
   Actuals!$D:$D,
   _xlfn.XLOOKUP(
      AD$6,
      Actuals!$H$3:$BD$3,
      Actuals!$H:$BD
   )
)</f>
        <v>#N/A</v>
      </c>
      <c r="AE38" s="354" t="e" cm="1">
        <f t="array" ref="AE38">_xlfn.XLOOKUP(
   $B$4&amp;" "&amp;$B38,
   Actuals!$D:$D,
   _xlfn.XLOOKUP(
      AE$6,
      Actuals!$H$3:$BD$3,
      Actuals!$H:$BD
   )
)</f>
        <v>#N/A</v>
      </c>
      <c r="AF38" s="354" t="e" cm="1">
        <f t="array" ref="AF38">_xlfn.XLOOKUP(
   $B$4&amp;" "&amp;$B38,
   Actuals!$D:$D,
   _xlfn.XLOOKUP(
      AF$6,
      Actuals!$H$3:$BD$3,
      Actuals!$H:$BD
   )
)</f>
        <v>#N/A</v>
      </c>
      <c r="AG38" s="354" t="e" cm="1">
        <f t="array" ref="AG38">_xlfn.XLOOKUP(
   $B$4&amp;" "&amp;$B38,
   Actuals!$D:$D,
   _xlfn.XLOOKUP(
      AG$6,
      Actuals!$H$3:$BD$3,
      Actuals!$H:$BD
   )
)</f>
        <v>#N/A</v>
      </c>
      <c r="AH38" s="354" t="e" cm="1">
        <f t="array" ref="AH38">_xlfn.XLOOKUP(
   $B$4&amp;" "&amp;$B38,
   Actuals!$D:$D,
   _xlfn.XLOOKUP(
      AH$6,
      Actuals!$H$3:$BD$3,
      Actuals!$H:$BD
   )
)</f>
        <v>#N/A</v>
      </c>
      <c r="AI38" s="354" t="e" cm="1">
        <f t="array" ref="AI38">_xlfn.XLOOKUP(
   $B$4&amp;" "&amp;$B38,
   Actuals!$D:$D,
   _xlfn.XLOOKUP(
      AI$6,
      Actuals!$H$3:$BD$3,
      Actuals!$H:$BD
   )
)</f>
        <v>#N/A</v>
      </c>
      <c r="AJ38" s="354" t="e" cm="1">
        <f t="array" ref="AJ38">_xlfn.XLOOKUP(
   $B$4&amp;" "&amp;$B38,
   Actuals!$D:$D,
   _xlfn.XLOOKUP(
      AJ$6,
      Actuals!$H$3:$BD$3,
      Actuals!$H:$BD
   )
)</f>
        <v>#N/A</v>
      </c>
      <c r="AK38" s="354" t="e" cm="1">
        <f t="array" ref="AK38">_xlfn.XLOOKUP(
   $B$4&amp;" "&amp;$B38,
   Actuals!$D:$D,
   _xlfn.XLOOKUP(
      AK$6,
      Actuals!$H$3:$BD$3,
      Actuals!$H:$BD
   )
)</f>
        <v>#N/A</v>
      </c>
      <c r="AL38" s="354" t="e" cm="1">
        <f t="array" ref="AL38">_xlfn.XLOOKUP(
   $B$4&amp;" "&amp;$B38,
   Actuals!$D:$D,
   _xlfn.XLOOKUP(
      AL$6,
      Actuals!$H$3:$BD$3,
      Actuals!$H:$BD
   )
)</f>
        <v>#N/A</v>
      </c>
      <c r="AM38" s="354" t="e" cm="1">
        <f t="array" ref="AM38">_xlfn.XLOOKUP(
   $B$4&amp;" "&amp;$B38,
   Actuals!$D:$D,
   _xlfn.XLOOKUP(
      AM$6,
      Actuals!$H$3:$BD$3,
      Actuals!$H:$BD
   )
)</f>
        <v>#N/A</v>
      </c>
      <c r="AN38" s="354" t="e" cm="1">
        <f t="array" ref="AN38">_xlfn.XLOOKUP(
   $B$4&amp;" "&amp;$B38,
   Actuals!$D:$D,
   _xlfn.XLOOKUP(
      AN$6,
      Actuals!$H$3:$BD$3,
      Actuals!$H:$BD
   )
)</f>
        <v>#N/A</v>
      </c>
      <c r="AO38" s="354" t="e" cm="1">
        <f t="array" ref="AO38">_xlfn.XLOOKUP(
   $B$4&amp;" "&amp;$B38,
   Actuals!$D:$D,
   _xlfn.XLOOKUP(
      AO$6,
      Actuals!$H$3:$BD$3,
      Actuals!$H:$BD
   )
)</f>
        <v>#N/A</v>
      </c>
      <c r="AP38" s="354" t="e" cm="1">
        <f t="array" ref="AP38">_xlfn.XLOOKUP(
   $B$4&amp;" "&amp;$B38,
   Actuals!$D:$D,
   _xlfn.XLOOKUP(
      AP$6,
      Actuals!$H$3:$BD$3,
      Actuals!$H:$BD
   )
)</f>
        <v>#N/A</v>
      </c>
      <c r="AQ38" s="354" t="e" cm="1">
        <f t="array" ref="AQ38">_xlfn.XLOOKUP(
   $B$4&amp;" "&amp;$B38,
   Actuals!$D:$D,
   _xlfn.XLOOKUP(
      AQ$6,
      Actuals!$H$3:$BD$3,
      Actuals!$H:$BD
   )
)</f>
        <v>#N/A</v>
      </c>
      <c r="AR38" s="354" t="e" cm="1">
        <f t="array" ref="AR38">_xlfn.XLOOKUP(
   $B$4&amp;" "&amp;$B38,
   Actuals!$D:$D,
   _xlfn.XLOOKUP(
      AR$6,
      Actuals!$H$3:$BD$3,
      Actuals!$H:$BD
   )
)</f>
        <v>#N/A</v>
      </c>
      <c r="AS38" s="354" t="e" cm="1">
        <f t="array" ref="AS38">_xlfn.XLOOKUP(
   $B$4&amp;" "&amp;$B38,
   Actuals!$D:$D,
   _xlfn.XLOOKUP(
      AS$6,
      Actuals!$H$3:$BD$3,
      Actuals!$H:$BD
   )
)</f>
        <v>#N/A</v>
      </c>
      <c r="AT38" s="354" t="e" cm="1">
        <f t="array" ref="AT38">_xlfn.XLOOKUP(
   $B$4&amp;" "&amp;$B38,
   Actuals!$D:$D,
   _xlfn.XLOOKUP(
      AT$6,
      Actuals!$H$3:$BD$3,
      Actuals!$H:$BD
   )
)</f>
        <v>#N/A</v>
      </c>
      <c r="AU38" s="354" t="e" cm="1">
        <f t="array" ref="AU38">_xlfn.XLOOKUP(
   $B$4&amp;" "&amp;$B38,
   Actuals!$D:$D,
   _xlfn.XLOOKUP(
      AU$6,
      Actuals!$H$3:$BD$3,
      Actuals!$H:$BD
   )
)</f>
        <v>#N/A</v>
      </c>
      <c r="AV38" s="354" t="e" cm="1">
        <f t="array" ref="AV38">_xlfn.XLOOKUP(
   $B$4&amp;" "&amp;$B38,
   Actuals!$D:$D,
   _xlfn.XLOOKUP(
      AV$6,
      Actuals!$H$3:$BD$3,
      Actuals!$H:$BD
   )
)</f>
        <v>#N/A</v>
      </c>
      <c r="AW38" s="354" t="e" cm="1">
        <f t="array" ref="AW38">_xlfn.XLOOKUP(
   $B$4&amp;" "&amp;$B38,
   Actuals!$D:$D,
   _xlfn.XLOOKUP(
      AW$6,
      Actuals!$H$3:$BD$3,
      Actuals!$H:$BD
   )
)</f>
        <v>#N/A</v>
      </c>
      <c r="AX38" s="354" t="e" cm="1">
        <f t="array" ref="AX38">_xlfn.XLOOKUP(
   $B$4&amp;" "&amp;$B38,
   Actuals!$D:$D,
   _xlfn.XLOOKUP(
      AX$6,
      Actuals!$H$3:$BD$3,
      Actuals!$H:$BD
   )
)</f>
        <v>#N/A</v>
      </c>
      <c r="AY38" s="354" t="e" cm="1">
        <f t="array" ref="AY38">_xlfn.XLOOKUP(
   $B$4&amp;" "&amp;$B38,
   Actuals!$D:$D,
   _xlfn.XLOOKUP(
      AY$6,
      Actuals!$H$3:$BD$3,
      Actuals!$H:$BD
   )
)</f>
        <v>#N/A</v>
      </c>
      <c r="AZ38" s="354" t="e" cm="1">
        <f t="array" ref="AZ38">_xlfn.XLOOKUP(
   $B$4&amp;" "&amp;$B38,
   Actuals!$D:$D,
   _xlfn.XLOOKUP(
      AZ$6,
      Actuals!$H$3:$BD$3,
      Actuals!$H:$BD
   )
)</f>
        <v>#N/A</v>
      </c>
      <c r="BA38" s="354"/>
      <c r="BB38" s="354" t="e" cm="1">
        <f t="array" ref="BB38">_xlfn.XLOOKUP(
   $B$4&amp;" "&amp;$B38,
   Actuals!$D:$D,
   _xlfn.XLOOKUP(
      BB$7,
      Actuals!$H$3:$BM$3,
      Actuals!$H:$BM
   )
)</f>
        <v>#N/A</v>
      </c>
      <c r="BC38" s="354">
        <f t="shared" ref="BC38" si="52">IFERROR(BC33/BC28,"-")</f>
        <v>2185</v>
      </c>
      <c r="BD38" s="354" t="e">
        <f t="shared" si="33"/>
        <v>#N/A</v>
      </c>
      <c r="BE38" s="354"/>
      <c r="BF38" s="354" t="e" cm="1">
        <f t="array" ref="BF38">_xlfn.XLOOKUP(
   $B$4&amp;" "&amp;$B38,
   Actuals!$D:$D,
   _xlfn.XLOOKUP(
      BF$7,
      Actuals!$H$3:$BM$3,
      Actuals!$H:$BM
   )
)</f>
        <v>#N/A</v>
      </c>
      <c r="BG38" s="354">
        <f t="shared" ref="BG38" si="53">IFERROR(BG33/BG28,"-")</f>
        <v>2185</v>
      </c>
      <c r="BH38" s="354" t="e">
        <f t="shared" si="34"/>
        <v>#N/A</v>
      </c>
      <c r="BI38" s="354"/>
      <c r="BJ38" s="354" t="e" cm="1">
        <f t="array" ref="BJ38">_xlfn.XLOOKUP(
   $B$4&amp;" "&amp;$B38,
   Actuals!$D:$D,
   _xlfn.XLOOKUP(
      BJ$7,
      Actuals!$H$3:$BM$3,
      Actuals!$H:$BM
   )
)</f>
        <v>#N/A</v>
      </c>
      <c r="BK38" s="354">
        <f t="shared" ref="BK38" si="54">IFERROR(BK33/BK28,"-")</f>
        <v>2257.8666666666668</v>
      </c>
      <c r="BL38" s="354" t="e">
        <f t="shared" si="35"/>
        <v>#N/A</v>
      </c>
      <c r="BM38" s="354"/>
      <c r="BN38" s="354" t="e" cm="1">
        <f t="array" ref="BN38">_xlfn.XLOOKUP(
   $B$4&amp;" "&amp;$B38,
   Actuals!$D:$D,
   _xlfn.XLOOKUP(
      BN$7,
      Actuals!$H$3:$BM$3,
      Actuals!$H:$BM
   )
)</f>
        <v>#N/A</v>
      </c>
      <c r="BO38" s="354">
        <f t="shared" ref="BO38" si="55">IFERROR(BO33/BO28,"-")</f>
        <v>2294.3000000000002</v>
      </c>
      <c r="BP38" s="354"/>
      <c r="BQ38" s="354"/>
      <c r="BR38" s="354" t="e" cm="1">
        <f t="array" ref="BR38">_xlfn.XLOOKUP(
   $B$4&amp;" "&amp;$B38,
   Actuals!$D:$D,
   _xlfn.XLOOKUP(
      BR$6,
      Actuals!$H$3:$BM$3,
      Actuals!$H:$BM
   )
)</f>
        <v>#N/A</v>
      </c>
      <c r="BS38" s="354">
        <f t="shared" ref="BS38" ca="1" si="56">IFERROR(BS33/BS28,"-")</f>
        <v>2239.65</v>
      </c>
      <c r="BT38" s="354" t="e">
        <f t="shared" ca="1" si="36"/>
        <v>#N/A</v>
      </c>
      <c r="BU38" s="354"/>
      <c r="BV38" s="354" t="e" cm="1">
        <f t="array" ref="BV38">_xlfn.XLOOKUP(
   $B$4&amp;" "&amp;$B38,
   Actuals!$D:$D,
   _xlfn.XLOOKUP(
      BV$6,
      Actuals!$H$3:$BM$3,
      Actuals!$H:$BM
   )
)</f>
        <v>#N/A</v>
      </c>
    </row>
    <row r="39" spans="2:74">
      <c r="B39" s="26" t="s">
        <v>132</v>
      </c>
      <c r="C39" s="139" t="s">
        <v>49</v>
      </c>
      <c r="D39" s="171" t="e">
        <f>VLOOKUP($B$4&amp;" "&amp;$B39,Actuals!$D$4:$AG$131,3,FALSE)</f>
        <v>#N/A</v>
      </c>
      <c r="E39" s="168" t="e" cm="1">
        <f t="array" ref="E39">_xlfn.XLOOKUP(
   $B$4&amp;" "&amp;$B39,
   Actuals!$D:$D,
   _xlfn.XLOOKUP(
      E$6,
      Actuals!$H$3:$BD$3,
      Actuals!$H:$BD
   )
)</f>
        <v>#N/A</v>
      </c>
      <c r="F39" s="168" t="e" cm="1">
        <f t="array" ref="F39">_xlfn.XLOOKUP(
   $B$4&amp;" "&amp;$B39,
   Actuals!$D:$D,
   _xlfn.XLOOKUP(
      F$6,
      Actuals!$H$3:$BD$3,
      Actuals!$H:$BD
   )
)</f>
        <v>#N/A</v>
      </c>
      <c r="G39" s="168" t="e" cm="1">
        <f t="array" ref="G39">_xlfn.XLOOKUP(
   $B$4&amp;" "&amp;$B39,
   Actuals!$D:$D,
   _xlfn.XLOOKUP(
      G$6,
      Actuals!$H$3:$BD$3,
      Actuals!$H:$BD
   )
)</f>
        <v>#N/A</v>
      </c>
      <c r="H39" s="168" t="e" cm="1">
        <f t="array" ref="H39">_xlfn.XLOOKUP(
   $B$4&amp;" "&amp;$B39,
   Actuals!$D:$D,
   _xlfn.XLOOKUP(
      H$6,
      Actuals!$H$3:$BD$3,
      Actuals!$H:$BD
   )
)</f>
        <v>#N/A</v>
      </c>
      <c r="I39" s="168" t="e" cm="1">
        <f t="array" ref="I39">_xlfn.XLOOKUP(
   $B$4&amp;" "&amp;$B39,
   Actuals!$D:$D,
   _xlfn.XLOOKUP(
      I$6,
      Actuals!$H$3:$BD$3,
      Actuals!$H:$BD
   )
)</f>
        <v>#N/A</v>
      </c>
      <c r="J39" s="168" t="e" cm="1">
        <f t="array" ref="J39">_xlfn.XLOOKUP(
   $B$4&amp;" "&amp;$B39,
   Actuals!$D:$D,
   _xlfn.XLOOKUP(
      J$6,
      Actuals!$H$3:$BD$3,
      Actuals!$H:$BD
   )
)</f>
        <v>#N/A</v>
      </c>
      <c r="K39" s="168" t="e" cm="1">
        <f t="array" ref="K39">_xlfn.XLOOKUP(
   $B$4&amp;" "&amp;$B39,
   Actuals!$D:$D,
   _xlfn.XLOOKUP(
      K$6,
      Actuals!$H$3:$BD$3,
      Actuals!$H:$BD
   )
)</f>
        <v>#N/A</v>
      </c>
      <c r="L39" s="168" t="e" cm="1">
        <f t="array" ref="L39">_xlfn.XLOOKUP(
   $B$4&amp;" "&amp;$B39,
   Actuals!$D:$D,
   _xlfn.XLOOKUP(
      L$6,
      Actuals!$H$3:$BD$3,
      Actuals!$H:$BD
   )
)</f>
        <v>#N/A</v>
      </c>
      <c r="M39" s="168" t="e" cm="1">
        <f t="array" ref="M39">_xlfn.XLOOKUP(
   $B$4&amp;" "&amp;$B39,
   Actuals!$D:$D,
   _xlfn.XLOOKUP(
      M$6,
      Actuals!$H$3:$BD$3,
      Actuals!$H:$BD
   )
)</f>
        <v>#N/A</v>
      </c>
      <c r="N39" s="168" t="e" cm="1">
        <f t="array" ref="N39">_xlfn.XLOOKUP(
   $B$4&amp;" "&amp;$B39,
   Actuals!$D:$D,
   _xlfn.XLOOKUP(
      N$6,
      Actuals!$H$3:$BD$3,
      Actuals!$H:$BD
   )
)</f>
        <v>#N/A</v>
      </c>
      <c r="O39" s="211" t="e" cm="1">
        <f t="array" ref="O39">_xlfn.XLOOKUP(
   $B$4&amp;" "&amp;$B39,
   Actuals!$D:$D,
   _xlfn.XLOOKUP(
      O$6,
      Actuals!$H$3:$BD$3,
      Actuals!$H:$BD
   )
)</f>
        <v>#N/A</v>
      </c>
      <c r="P39" s="211" t="e" cm="1">
        <f t="array" ref="P39">_xlfn.XLOOKUP(
   $B$4&amp;" "&amp;$B39,
   Actuals!$D:$D,
   _xlfn.XLOOKUP(
      P$6,
      Actuals!$H$3:$BD$3,
      Actuals!$H:$BD
   )
)</f>
        <v>#N/A</v>
      </c>
      <c r="Q39" s="354" t="e" cm="1">
        <f t="array" ref="Q39">_xlfn.XLOOKUP(
   $B$4&amp;" "&amp;$B39,
   Actuals!$D:$D,
   _xlfn.XLOOKUP(
      Q$6,
      Actuals!$H$3:$BD$3,
      Actuals!$H:$BD
   )
)</f>
        <v>#N/A</v>
      </c>
      <c r="R39" s="354" t="e" cm="1">
        <f t="array" ref="R39">_xlfn.XLOOKUP(
   $B$4&amp;" "&amp;$B39,
   Actuals!$D:$D,
   _xlfn.XLOOKUP(
      R$6,
      Actuals!$H$3:$BD$3,
      Actuals!$H:$BD
   )
)</f>
        <v>#N/A</v>
      </c>
      <c r="S39" s="354" t="e" cm="1">
        <f t="array" ref="S39">_xlfn.XLOOKUP(
   $B$4&amp;" "&amp;$B39,
   Actuals!$D:$D,
   _xlfn.XLOOKUP(
      S$6,
      Actuals!$H$3:$BD$3,
      Actuals!$H:$BD
   )
)</f>
        <v>#N/A</v>
      </c>
      <c r="T39" s="354" t="e" cm="1">
        <f t="array" ref="T39">_xlfn.XLOOKUP(
   $B$4&amp;" "&amp;$B39,
   Actuals!$D:$D,
   _xlfn.XLOOKUP(
      T$6,
      Actuals!$H$3:$BD$3,
      Actuals!$H:$BD
   )
)</f>
        <v>#N/A</v>
      </c>
      <c r="U39" s="354" t="e" cm="1">
        <f t="array" ref="U39">_xlfn.XLOOKUP(
   $B$4&amp;" "&amp;$B39,
   Actuals!$D:$D,
   _xlfn.XLOOKUP(
      U$6,
      Actuals!$H$3:$BD$3,
      Actuals!$H:$BD
   )
)</f>
        <v>#N/A</v>
      </c>
      <c r="V39" s="354" t="e" cm="1">
        <f t="array" ref="V39">_xlfn.XLOOKUP(
   $B$4&amp;" "&amp;$B39,
   Actuals!$D:$D,
   _xlfn.XLOOKUP(
      V$6,
      Actuals!$H$3:$BD$3,
      Actuals!$H:$BD
   )
)</f>
        <v>#N/A</v>
      </c>
      <c r="W39" s="354" t="e" cm="1">
        <f t="array" ref="W39">_xlfn.XLOOKUP(
   $B$4&amp;" "&amp;$B39,
   Actuals!$D:$D,
   _xlfn.XLOOKUP(
      W$6,
      Actuals!$H$3:$BD$3,
      Actuals!$H:$BD
   )
)</f>
        <v>#N/A</v>
      </c>
      <c r="X39" s="354" t="e" cm="1">
        <f t="array" ref="X39">_xlfn.XLOOKUP(
   $B$4&amp;" "&amp;$B39,
   Actuals!$D:$D,
   _xlfn.XLOOKUP(
      X$6,
      Actuals!$H$3:$BD$3,
      Actuals!$H:$BD
   )
)</f>
        <v>#N/A</v>
      </c>
      <c r="Y39" s="354" t="e" cm="1">
        <f t="array" ref="Y39">_xlfn.XLOOKUP(
   $B$4&amp;" "&amp;$B39,
   Actuals!$D:$D,
   _xlfn.XLOOKUP(
      Y$6,
      Actuals!$H$3:$BD$3,
      Actuals!$H:$BD
   )
)</f>
        <v>#N/A</v>
      </c>
      <c r="Z39" s="354" t="e" cm="1">
        <f t="array" ref="Z39">_xlfn.XLOOKUP(
   $B$4&amp;" "&amp;$B39,
   Actuals!$D:$D,
   _xlfn.XLOOKUP(
      Z$6,
      Actuals!$H$3:$BD$3,
      Actuals!$H:$BD
   )
)</f>
        <v>#N/A</v>
      </c>
      <c r="AA39" s="354" t="e" cm="1">
        <f t="array" ref="AA39">_xlfn.XLOOKUP(
   $B$4&amp;" "&amp;$B39,
   Actuals!$D:$D,
   _xlfn.XLOOKUP(
      AA$6,
      Actuals!$H$3:$BD$3,
      Actuals!$H:$BD
   )
)</f>
        <v>#N/A</v>
      </c>
      <c r="AB39" s="354" t="e" cm="1">
        <f t="array" ref="AB39">_xlfn.XLOOKUP(
   $B$4&amp;" "&amp;$B39,
   Actuals!$D:$D,
   _xlfn.XLOOKUP(
      AB$6,
      Actuals!$H$3:$BD$3,
      Actuals!$H:$BD
   )
)</f>
        <v>#N/A</v>
      </c>
      <c r="AC39" s="354" t="e" cm="1">
        <f t="array" ref="AC39">_xlfn.XLOOKUP(
   $B$4&amp;" "&amp;$B39,
   Actuals!$D:$D,
   _xlfn.XLOOKUP(
      AC$6,
      Actuals!$H$3:$BD$3,
      Actuals!$H:$BD
   )
)</f>
        <v>#N/A</v>
      </c>
      <c r="AD39" s="354" t="e" cm="1">
        <f t="array" ref="AD39">_xlfn.XLOOKUP(
   $B$4&amp;" "&amp;$B39,
   Actuals!$D:$D,
   _xlfn.XLOOKUP(
      AD$6,
      Actuals!$H$3:$BD$3,
      Actuals!$H:$BD
   )
)</f>
        <v>#N/A</v>
      </c>
      <c r="AE39" s="354" t="e" cm="1">
        <f t="array" ref="AE39">_xlfn.XLOOKUP(
   $B$4&amp;" "&amp;$B39,
   Actuals!$D:$D,
   _xlfn.XLOOKUP(
      AE$6,
      Actuals!$H$3:$BD$3,
      Actuals!$H:$BD
   )
)</f>
        <v>#N/A</v>
      </c>
      <c r="AF39" s="354" t="e" cm="1">
        <f t="array" ref="AF39">_xlfn.XLOOKUP(
   $B$4&amp;" "&amp;$B39,
   Actuals!$D:$D,
   _xlfn.XLOOKUP(
      AF$6,
      Actuals!$H$3:$BD$3,
      Actuals!$H:$BD
   )
)</f>
        <v>#N/A</v>
      </c>
      <c r="AG39" s="354" t="e" cm="1">
        <f t="array" ref="AG39">_xlfn.XLOOKUP(
   $B$4&amp;" "&amp;$B39,
   Actuals!$D:$D,
   _xlfn.XLOOKUP(
      AG$6,
      Actuals!$H$3:$BD$3,
      Actuals!$H:$BD
   )
)</f>
        <v>#N/A</v>
      </c>
      <c r="AH39" s="354" t="e" cm="1">
        <f t="array" ref="AH39">_xlfn.XLOOKUP(
   $B$4&amp;" "&amp;$B39,
   Actuals!$D:$D,
   _xlfn.XLOOKUP(
      AH$6,
      Actuals!$H$3:$BD$3,
      Actuals!$H:$BD
   )
)</f>
        <v>#N/A</v>
      </c>
      <c r="AI39" s="354" t="e" cm="1">
        <f t="array" ref="AI39">_xlfn.XLOOKUP(
   $B$4&amp;" "&amp;$B39,
   Actuals!$D:$D,
   _xlfn.XLOOKUP(
      AI$6,
      Actuals!$H$3:$BD$3,
      Actuals!$H:$BD
   )
)</f>
        <v>#N/A</v>
      </c>
      <c r="AJ39" s="354" t="e" cm="1">
        <f t="array" ref="AJ39">_xlfn.XLOOKUP(
   $B$4&amp;" "&amp;$B39,
   Actuals!$D:$D,
   _xlfn.XLOOKUP(
      AJ$6,
      Actuals!$H$3:$BD$3,
      Actuals!$H:$BD
   )
)</f>
        <v>#N/A</v>
      </c>
      <c r="AK39" s="354" t="e" cm="1">
        <f t="array" ref="AK39">_xlfn.XLOOKUP(
   $B$4&amp;" "&amp;$B39,
   Actuals!$D:$D,
   _xlfn.XLOOKUP(
      AK$6,
      Actuals!$H$3:$BD$3,
      Actuals!$H:$BD
   )
)</f>
        <v>#N/A</v>
      </c>
      <c r="AL39" s="354" t="e" cm="1">
        <f t="array" ref="AL39">_xlfn.XLOOKUP(
   $B$4&amp;" "&amp;$B39,
   Actuals!$D:$D,
   _xlfn.XLOOKUP(
      AL$6,
      Actuals!$H$3:$BD$3,
      Actuals!$H:$BD
   )
)</f>
        <v>#N/A</v>
      </c>
      <c r="AM39" s="354" t="e" cm="1">
        <f t="array" ref="AM39">_xlfn.XLOOKUP(
   $B$4&amp;" "&amp;$B39,
   Actuals!$D:$D,
   _xlfn.XLOOKUP(
      AM$6,
      Actuals!$H$3:$BD$3,
      Actuals!$H:$BD
   )
)</f>
        <v>#N/A</v>
      </c>
      <c r="AN39" s="354" t="e" cm="1">
        <f t="array" ref="AN39">_xlfn.XLOOKUP(
   $B$4&amp;" "&amp;$B39,
   Actuals!$D:$D,
   _xlfn.XLOOKUP(
      AN$6,
      Actuals!$H$3:$BD$3,
      Actuals!$H:$BD
   )
)</f>
        <v>#N/A</v>
      </c>
      <c r="AO39" s="354" t="e" cm="1">
        <f t="array" ref="AO39">_xlfn.XLOOKUP(
   $B$4&amp;" "&amp;$B39,
   Actuals!$D:$D,
   _xlfn.XLOOKUP(
      AO$6,
      Actuals!$H$3:$BD$3,
      Actuals!$H:$BD
   )
)</f>
        <v>#N/A</v>
      </c>
      <c r="AP39" s="354" t="e" cm="1">
        <f t="array" ref="AP39">_xlfn.XLOOKUP(
   $B$4&amp;" "&amp;$B39,
   Actuals!$D:$D,
   _xlfn.XLOOKUP(
      AP$6,
      Actuals!$H$3:$BD$3,
      Actuals!$H:$BD
   )
)</f>
        <v>#N/A</v>
      </c>
      <c r="AQ39" s="354" t="e" cm="1">
        <f t="array" ref="AQ39">_xlfn.XLOOKUP(
   $B$4&amp;" "&amp;$B39,
   Actuals!$D:$D,
   _xlfn.XLOOKUP(
      AQ$6,
      Actuals!$H$3:$BD$3,
      Actuals!$H:$BD
   )
)</f>
        <v>#N/A</v>
      </c>
      <c r="AR39" s="354" t="e" cm="1">
        <f t="array" ref="AR39">_xlfn.XLOOKUP(
   $B$4&amp;" "&amp;$B39,
   Actuals!$D:$D,
   _xlfn.XLOOKUP(
      AR$6,
      Actuals!$H$3:$BD$3,
      Actuals!$H:$BD
   )
)</f>
        <v>#N/A</v>
      </c>
      <c r="AS39" s="354" t="e" cm="1">
        <f t="array" ref="AS39">_xlfn.XLOOKUP(
   $B$4&amp;" "&amp;$B39,
   Actuals!$D:$D,
   _xlfn.XLOOKUP(
      AS$6,
      Actuals!$H$3:$BD$3,
      Actuals!$H:$BD
   )
)</f>
        <v>#N/A</v>
      </c>
      <c r="AT39" s="354" t="e" cm="1">
        <f t="array" ref="AT39">_xlfn.XLOOKUP(
   $B$4&amp;" "&amp;$B39,
   Actuals!$D:$D,
   _xlfn.XLOOKUP(
      AT$6,
      Actuals!$H$3:$BD$3,
      Actuals!$H:$BD
   )
)</f>
        <v>#N/A</v>
      </c>
      <c r="AU39" s="354" t="e" cm="1">
        <f t="array" ref="AU39">_xlfn.XLOOKUP(
   $B$4&amp;" "&amp;$B39,
   Actuals!$D:$D,
   _xlfn.XLOOKUP(
      AU$6,
      Actuals!$H$3:$BD$3,
      Actuals!$H:$BD
   )
)</f>
        <v>#N/A</v>
      </c>
      <c r="AV39" s="354" t="e" cm="1">
        <f t="array" ref="AV39">_xlfn.XLOOKUP(
   $B$4&amp;" "&amp;$B39,
   Actuals!$D:$D,
   _xlfn.XLOOKUP(
      AV$6,
      Actuals!$H$3:$BD$3,
      Actuals!$H:$BD
   )
)</f>
        <v>#N/A</v>
      </c>
      <c r="AW39" s="354" t="e" cm="1">
        <f t="array" ref="AW39">_xlfn.XLOOKUP(
   $B$4&amp;" "&amp;$B39,
   Actuals!$D:$D,
   _xlfn.XLOOKUP(
      AW$6,
      Actuals!$H$3:$BD$3,
      Actuals!$H:$BD
   )
)</f>
        <v>#N/A</v>
      </c>
      <c r="AX39" s="354" t="e" cm="1">
        <f t="array" ref="AX39">_xlfn.XLOOKUP(
   $B$4&amp;" "&amp;$B39,
   Actuals!$D:$D,
   _xlfn.XLOOKUP(
      AX$6,
      Actuals!$H$3:$BD$3,
      Actuals!$H:$BD
   )
)</f>
        <v>#N/A</v>
      </c>
      <c r="AY39" s="354" t="e" cm="1">
        <f t="array" ref="AY39">_xlfn.XLOOKUP(
   $B$4&amp;" "&amp;$B39,
   Actuals!$D:$D,
   _xlfn.XLOOKUP(
      AY$6,
      Actuals!$H$3:$BD$3,
      Actuals!$H:$BD
   )
)</f>
        <v>#N/A</v>
      </c>
      <c r="AZ39" s="354" t="e" cm="1">
        <f t="array" ref="AZ39">_xlfn.XLOOKUP(
   $B$4&amp;" "&amp;$B39,
   Actuals!$D:$D,
   _xlfn.XLOOKUP(
      AZ$6,
      Actuals!$H$3:$BD$3,
      Actuals!$H:$BD
   )
)</f>
        <v>#N/A</v>
      </c>
      <c r="BA39" s="354"/>
      <c r="BB39" s="354" t="e" cm="1">
        <f t="array" ref="BB39">_xlfn.XLOOKUP(
   $B$4&amp;" "&amp;$B39,
   Actuals!$D:$D,
   _xlfn.XLOOKUP(
      BB$7,
      Actuals!$H$3:$BM$3,
      Actuals!$H:$BM
   )
)</f>
        <v>#N/A</v>
      </c>
      <c r="BC39" s="354" t="str">
        <f t="shared" ref="BC39" si="57">IFERROR(BC34/BC29,"-")</f>
        <v>-</v>
      </c>
      <c r="BD39" s="354" t="e">
        <f t="shared" si="33"/>
        <v>#N/A</v>
      </c>
      <c r="BE39" s="354"/>
      <c r="BF39" s="354" t="e" cm="1">
        <f t="array" ref="BF39">_xlfn.XLOOKUP(
   $B$4&amp;" "&amp;$B39,
   Actuals!$D:$D,
   _xlfn.XLOOKUP(
      BF$7,
      Actuals!$H$3:$BM$3,
      Actuals!$H:$BM
   )
)</f>
        <v>#N/A</v>
      </c>
      <c r="BG39" s="354" t="str">
        <f t="shared" ref="BG39" si="58">IFERROR(BG34/BG29,"-")</f>
        <v>-</v>
      </c>
      <c r="BH39" s="354" t="e">
        <f t="shared" si="34"/>
        <v>#N/A</v>
      </c>
      <c r="BI39" s="354"/>
      <c r="BJ39" s="354" t="e" cm="1">
        <f t="array" ref="BJ39">_xlfn.XLOOKUP(
   $B$4&amp;" "&amp;$B39,
   Actuals!$D:$D,
   _xlfn.XLOOKUP(
      BJ$7,
      Actuals!$H$3:$BM$3,
      Actuals!$H:$BM
   )
)</f>
        <v>#N/A</v>
      </c>
      <c r="BK39" s="354" t="str">
        <f t="shared" ref="BK39" si="59">IFERROR(BK34/BK29,"-")</f>
        <v>-</v>
      </c>
      <c r="BL39" s="354" t="e">
        <f t="shared" si="35"/>
        <v>#N/A</v>
      </c>
      <c r="BM39" s="354"/>
      <c r="BN39" s="354" t="e" cm="1">
        <f t="array" ref="BN39">_xlfn.XLOOKUP(
   $B$4&amp;" "&amp;$B39,
   Actuals!$D:$D,
   _xlfn.XLOOKUP(
      BN$7,
      Actuals!$H$3:$BM$3,
      Actuals!$H:$BM
   )
)</f>
        <v>#N/A</v>
      </c>
      <c r="BO39" s="354" t="str">
        <f t="shared" ref="BO39" si="60">IFERROR(BO34/BO29,"-")</f>
        <v>-</v>
      </c>
      <c r="BP39" s="354"/>
      <c r="BQ39" s="354"/>
      <c r="BR39" s="354" t="e" cm="1">
        <f t="array" ref="BR39">_xlfn.XLOOKUP(
   $B$4&amp;" "&amp;$B39,
   Actuals!$D:$D,
   _xlfn.XLOOKUP(
      BR$6,
      Actuals!$H$3:$BM$3,
      Actuals!$H:$BM
   )
)</f>
        <v>#N/A</v>
      </c>
      <c r="BS39" s="354" t="str">
        <f t="shared" ref="BS39" ca="1" si="61">IFERROR(BS34/BS29,"-")</f>
        <v>-</v>
      </c>
      <c r="BT39" s="354" t="e">
        <f t="shared" ca="1" si="36"/>
        <v>#N/A</v>
      </c>
      <c r="BU39" s="354"/>
      <c r="BV39" s="354" t="e" cm="1">
        <f t="array" ref="BV39">_xlfn.XLOOKUP(
   $B$4&amp;" "&amp;$B39,
   Actuals!$D:$D,
   _xlfn.XLOOKUP(
      BV$6,
      Actuals!$H$3:$BM$3,
      Actuals!$H:$BM
   )
)</f>
        <v>#N/A</v>
      </c>
    </row>
    <row r="40" spans="2:74">
      <c r="C40" s="139"/>
      <c r="D40" s="171"/>
      <c r="E40" s="162"/>
      <c r="F40" s="162"/>
      <c r="G40" s="162"/>
      <c r="H40" s="162"/>
      <c r="I40" s="162"/>
      <c r="J40" s="162"/>
      <c r="K40" s="162"/>
      <c r="L40" s="162"/>
      <c r="M40" s="162"/>
      <c r="N40" s="162"/>
      <c r="O40" s="210"/>
      <c r="P40" s="210"/>
      <c r="Q40" s="210"/>
      <c r="R40" s="210"/>
      <c r="S40" s="210"/>
      <c r="T40" s="210"/>
      <c r="U40" s="210"/>
      <c r="V40" s="210"/>
      <c r="W40" s="210"/>
      <c r="X40" s="210"/>
      <c r="Y40" s="210"/>
      <c r="Z40" s="210"/>
      <c r="AA40" s="210"/>
      <c r="AB40" s="210"/>
      <c r="AC40" s="210"/>
      <c r="AD40" s="210"/>
      <c r="AE40" s="210"/>
      <c r="AF40" s="210"/>
      <c r="AG40" s="210"/>
      <c r="AH40" s="210"/>
      <c r="AI40" s="210"/>
      <c r="AJ40" s="210"/>
      <c r="AK40" s="210"/>
      <c r="AL40" s="210"/>
      <c r="AM40" s="210"/>
      <c r="AN40" s="210"/>
      <c r="AO40" s="210"/>
      <c r="AP40" s="210"/>
      <c r="AQ40" s="210"/>
      <c r="AR40" s="210"/>
      <c r="AS40" s="210"/>
      <c r="AT40" s="210"/>
      <c r="AU40" s="210"/>
      <c r="AV40" s="210"/>
      <c r="AW40" s="210"/>
      <c r="AX40" s="210"/>
      <c r="AY40" s="210"/>
      <c r="AZ40" s="210"/>
      <c r="BA40" s="210"/>
      <c r="BB40" s="210"/>
      <c r="BC40" s="210"/>
      <c r="BD40" s="210"/>
      <c r="BE40" s="210"/>
      <c r="BF40" s="210"/>
      <c r="BG40" s="210"/>
      <c r="BH40" s="210"/>
      <c r="BI40" s="210"/>
      <c r="BJ40" s="210"/>
      <c r="BK40" s="210"/>
      <c r="BL40" s="210"/>
      <c r="BM40" s="210"/>
      <c r="BN40" s="210"/>
      <c r="BO40" s="210"/>
      <c r="BP40" s="210"/>
      <c r="BQ40" s="210"/>
      <c r="BR40" s="210"/>
      <c r="BS40" s="210"/>
      <c r="BT40" s="210"/>
      <c r="BU40" s="210"/>
      <c r="BV40" s="210"/>
    </row>
    <row r="41" spans="2:74" ht="13">
      <c r="B41" s="126" t="s">
        <v>57</v>
      </c>
      <c r="C41" s="138"/>
      <c r="D41" s="174"/>
      <c r="E41" s="166"/>
      <c r="F41" s="166"/>
      <c r="G41" s="166"/>
      <c r="H41" s="166"/>
      <c r="I41" s="166"/>
      <c r="J41" s="166"/>
      <c r="K41" s="166"/>
      <c r="L41" s="166"/>
      <c r="M41" s="166"/>
      <c r="N41" s="166"/>
      <c r="O41" s="332"/>
      <c r="P41" s="332"/>
      <c r="Q41" s="332"/>
      <c r="R41" s="332"/>
      <c r="S41" s="332"/>
      <c r="T41" s="332"/>
      <c r="U41" s="332"/>
      <c r="V41" s="332"/>
      <c r="W41" s="332"/>
      <c r="X41" s="332"/>
      <c r="Y41" s="332"/>
      <c r="Z41" s="332"/>
      <c r="AA41" s="332"/>
      <c r="AB41" s="332"/>
      <c r="AC41" s="332"/>
      <c r="AD41" s="332"/>
      <c r="AE41" s="332"/>
      <c r="AF41" s="332"/>
      <c r="AG41" s="332"/>
      <c r="AH41" s="332"/>
      <c r="AI41" s="332"/>
      <c r="AJ41" s="332"/>
      <c r="AK41" s="332"/>
      <c r="AL41" s="332"/>
      <c r="AM41" s="332"/>
      <c r="AN41" s="332"/>
      <c r="AO41" s="332"/>
      <c r="AP41" s="332"/>
      <c r="AQ41" s="332"/>
      <c r="AR41" s="332"/>
      <c r="AS41" s="332"/>
      <c r="AT41" s="332"/>
      <c r="AU41" s="332"/>
      <c r="AV41" s="332"/>
      <c r="AW41" s="332"/>
      <c r="AX41" s="332"/>
      <c r="AY41" s="332"/>
      <c r="AZ41" s="332"/>
      <c r="BA41" s="332"/>
      <c r="BB41" s="332"/>
      <c r="BC41" s="332"/>
      <c r="BD41" s="332"/>
      <c r="BE41" s="332"/>
      <c r="BF41" s="332"/>
      <c r="BG41" s="332"/>
      <c r="BH41" s="332"/>
      <c r="BI41" s="332"/>
      <c r="BJ41" s="332"/>
      <c r="BK41" s="332"/>
      <c r="BL41" s="332"/>
      <c r="BM41" s="332"/>
      <c r="BN41" s="332"/>
      <c r="BO41" s="332"/>
      <c r="BP41" s="332"/>
      <c r="BQ41" s="332"/>
      <c r="BR41" s="332"/>
      <c r="BS41" s="332"/>
      <c r="BT41" s="332"/>
      <c r="BU41" s="332"/>
      <c r="BV41" s="332"/>
    </row>
    <row r="42" spans="2:74">
      <c r="B42" s="26" t="s">
        <v>97</v>
      </c>
      <c r="C42" s="139" t="s">
        <v>47</v>
      </c>
      <c r="D42" s="171" t="str">
        <f>VLOOKUP($B$4&amp;" "&amp;$B42,Actuals!$D$4:$AG$131,3,FALSE)</f>
        <v>#</v>
      </c>
      <c r="E42" s="168" cm="1">
        <f t="array" ref="E42">_xlfn.XLOOKUP(
   $B$4&amp;" "&amp;$B42,
   Actuals!$D:$D,
   _xlfn.XLOOKUP(
      E$6,
      Actuals!$H$3:$BD$3,
      Actuals!$H:$BD
   )
)</f>
        <v>2</v>
      </c>
      <c r="F42" s="168" cm="1">
        <f t="array" ref="F42">_xlfn.XLOOKUP(
   $B$4&amp;" "&amp;$B42,
   Actuals!$D:$D,
   _xlfn.XLOOKUP(
      F$6,
      Actuals!$H$3:$BD$3,
      Actuals!$H:$BD
   )
)</f>
        <v>2</v>
      </c>
      <c r="G42" s="168" cm="1">
        <f t="array" ref="G42">_xlfn.XLOOKUP(
   $B$4&amp;" "&amp;$B42,
   Actuals!$D:$D,
   _xlfn.XLOOKUP(
      G$6,
      Actuals!$H$3:$BD$3,
      Actuals!$H:$BD
   )
)</f>
        <v>2</v>
      </c>
      <c r="H42" s="168" cm="1">
        <f t="array" ref="H42">_xlfn.XLOOKUP(
   $B$4&amp;" "&amp;$B42,
   Actuals!$D:$D,
   _xlfn.XLOOKUP(
      H$6,
      Actuals!$H$3:$BD$3,
      Actuals!$H:$BD
   )
)</f>
        <v>2</v>
      </c>
      <c r="I42" s="168" cm="1">
        <f t="array" ref="I42">_xlfn.XLOOKUP(
   $B$4&amp;" "&amp;$B42,
   Actuals!$D:$D,
   _xlfn.XLOOKUP(
      I$6,
      Actuals!$H$3:$BD$3,
      Actuals!$H:$BD
   )
)</f>
        <v>2</v>
      </c>
      <c r="J42" s="168" cm="1">
        <f t="array" ref="J42">_xlfn.XLOOKUP(
   $B$4&amp;" "&amp;$B42,
   Actuals!$D:$D,
   _xlfn.XLOOKUP(
      J$6,
      Actuals!$H$3:$BD$3,
      Actuals!$H:$BD
   )
)</f>
        <v>2</v>
      </c>
      <c r="K42" s="168" cm="1">
        <f t="array" ref="K42">_xlfn.XLOOKUP(
   $B$4&amp;" "&amp;$B42,
   Actuals!$D:$D,
   _xlfn.XLOOKUP(
      K$6,
      Actuals!$H$3:$BD$3,
      Actuals!$H:$BD
   )
)</f>
        <v>2</v>
      </c>
      <c r="L42" s="168" cm="1">
        <f t="array" ref="L42">_xlfn.XLOOKUP(
   $B$4&amp;" "&amp;$B42,
   Actuals!$D:$D,
   _xlfn.XLOOKUP(
      L$6,
      Actuals!$H$3:$BD$3,
      Actuals!$H:$BD
   )
)</f>
        <v>2</v>
      </c>
      <c r="M42" s="168" cm="1">
        <f t="array" ref="M42">_xlfn.XLOOKUP(
   $B$4&amp;" "&amp;$B42,
   Actuals!$D:$D,
   _xlfn.XLOOKUP(
      M$6,
      Actuals!$H$3:$BD$3,
      Actuals!$H:$BD
   )
)</f>
        <v>2</v>
      </c>
      <c r="N42" s="168" cm="1">
        <f t="array" ref="N42">_xlfn.XLOOKUP(
   $B$4&amp;" "&amp;$B42,
   Actuals!$D:$D,
   _xlfn.XLOOKUP(
      N$6,
      Actuals!$H$3:$BD$3,
      Actuals!$H:$BD
   )
)</f>
        <v>2</v>
      </c>
      <c r="O42" s="292" cm="1">
        <f t="array" ref="O42">_xlfn.XLOOKUP(
   $B$4&amp;" "&amp;$B42,
   Actuals!$D:$D,
   _xlfn.XLOOKUP(
      O$6,
      Actuals!$H$3:$BD$3,
      Actuals!$H:$BD
   )
)</f>
        <v>0</v>
      </c>
      <c r="P42" s="292" cm="1">
        <f t="array" ref="P42">_xlfn.XLOOKUP(
   $B$4&amp;" "&amp;$B42,
   Actuals!$D:$D,
   _xlfn.XLOOKUP(
      P$6,
      Actuals!$H$3:$BD$3,
      Actuals!$H:$BD
   )
)</f>
        <v>0</v>
      </c>
      <c r="Q42" s="292" cm="1">
        <f t="array" ref="Q42">_xlfn.XLOOKUP(
   $B$4&amp;" "&amp;$B42,
   Actuals!$D:$D,
   _xlfn.XLOOKUP(
      Q$6,
      Actuals!$H$3:$BD$3,
      Actuals!$H:$BD
   )
)</f>
        <v>0</v>
      </c>
      <c r="R42" s="292" cm="1">
        <f t="array" ref="R42">_xlfn.XLOOKUP(
   $B$4&amp;" "&amp;$B42,
   Actuals!$D:$D,
   _xlfn.XLOOKUP(
      R$6,
      Actuals!$H$3:$BD$3,
      Actuals!$H:$BD
   )
)</f>
        <v>0</v>
      </c>
      <c r="S42" s="292" cm="1">
        <f t="array" ref="S42">_xlfn.XLOOKUP(
   $B$4&amp;" "&amp;$B42,
   Actuals!$D:$D,
   _xlfn.XLOOKUP(
      S$6,
      Actuals!$H$3:$BD$3,
      Actuals!$H:$BD
   )
)</f>
        <v>0</v>
      </c>
      <c r="T42" s="292" cm="1">
        <f t="array" ref="T42">_xlfn.XLOOKUP(
   $B$4&amp;" "&amp;$B42,
   Actuals!$D:$D,
   _xlfn.XLOOKUP(
      T$6,
      Actuals!$H$3:$BD$3,
      Actuals!$H:$BD
   )
)</f>
        <v>0</v>
      </c>
      <c r="U42" s="292" cm="1">
        <f t="array" ref="U42">_xlfn.XLOOKUP(
   $B$4&amp;" "&amp;$B42,
   Actuals!$D:$D,
   _xlfn.XLOOKUP(
      U$6,
      Actuals!$H$3:$BD$3,
      Actuals!$H:$BD
   )
)</f>
        <v>0</v>
      </c>
      <c r="V42" s="292" cm="1">
        <f t="array" ref="V42">_xlfn.XLOOKUP(
   $B$4&amp;" "&amp;$B42,
   Actuals!$D:$D,
   _xlfn.XLOOKUP(
      V$6,
      Actuals!$H$3:$BD$3,
      Actuals!$H:$BD
   )
)</f>
        <v>0</v>
      </c>
      <c r="W42" s="292" cm="1">
        <f t="array" ref="W42">_xlfn.XLOOKUP(
   $B$4&amp;" "&amp;$B42,
   Actuals!$D:$D,
   _xlfn.XLOOKUP(
      W$6,
      Actuals!$H$3:$BD$3,
      Actuals!$H:$BD
   )
)</f>
        <v>0</v>
      </c>
      <c r="X42" s="292" cm="1">
        <f t="array" ref="X42">_xlfn.XLOOKUP(
   $B$4&amp;" "&amp;$B42,
   Actuals!$D:$D,
   _xlfn.XLOOKUP(
      X$6,
      Actuals!$H$3:$BD$3,
      Actuals!$H:$BD
   )
)</f>
        <v>0</v>
      </c>
      <c r="Y42" s="292" cm="1">
        <f t="array" ref="Y42">_xlfn.XLOOKUP(
   $B$4&amp;" "&amp;$B42,
   Actuals!$D:$D,
   _xlfn.XLOOKUP(
      Y$6,
      Actuals!$H$3:$BD$3,
      Actuals!$H:$BD
   )
)</f>
        <v>0</v>
      </c>
      <c r="Z42" s="292" cm="1">
        <f t="array" ref="Z42">_xlfn.XLOOKUP(
   $B$4&amp;" "&amp;$B42,
   Actuals!$D:$D,
   _xlfn.XLOOKUP(
      Z$6,
      Actuals!$H$3:$BD$3,
      Actuals!$H:$BD
   )
)</f>
        <v>0</v>
      </c>
      <c r="AA42" s="292" cm="1">
        <f t="array" ref="AA42">_xlfn.XLOOKUP(
   $B$4&amp;" "&amp;$B42,
   Actuals!$D:$D,
   _xlfn.XLOOKUP(
      AA$6,
      Actuals!$H$3:$BD$3,
      Actuals!$H:$BD
   )
)</f>
        <v>0</v>
      </c>
      <c r="AB42" s="292" cm="1">
        <f t="array" ref="AB42">_xlfn.XLOOKUP(
   $B$4&amp;" "&amp;$B42,
   Actuals!$D:$D,
   _xlfn.XLOOKUP(
      AB$6,
      Actuals!$H$3:$BD$3,
      Actuals!$H:$BD
   )
)</f>
        <v>0</v>
      </c>
      <c r="AC42" s="292" cm="1">
        <f t="array" ref="AC42">_xlfn.XLOOKUP(
   $B$4&amp;" "&amp;$B42,
   Actuals!$D:$D,
   _xlfn.XLOOKUP(
      AC$6,
      Actuals!$H$3:$BD$3,
      Actuals!$H:$BD
   )
)</f>
        <v>0</v>
      </c>
      <c r="AD42" s="292" cm="1">
        <f t="array" ref="AD42">_xlfn.XLOOKUP(
   $B$4&amp;" "&amp;$B42,
   Actuals!$D:$D,
   _xlfn.XLOOKUP(
      AD$6,
      Actuals!$H$3:$BD$3,
      Actuals!$H:$BD
   )
)</f>
        <v>0</v>
      </c>
      <c r="AE42" s="292" cm="1">
        <f t="array" ref="AE42">_xlfn.XLOOKUP(
   $B$4&amp;" "&amp;$B42,
   Actuals!$D:$D,
   _xlfn.XLOOKUP(
      AE$6,
      Actuals!$H$3:$BD$3,
      Actuals!$H:$BD
   )
)</f>
        <v>0</v>
      </c>
      <c r="AF42" s="292" cm="1">
        <f t="array" ref="AF42">_xlfn.XLOOKUP(
   $B$4&amp;" "&amp;$B42,
   Actuals!$D:$D,
   _xlfn.XLOOKUP(
      AF$6,
      Actuals!$H$3:$BD$3,
      Actuals!$H:$BD
   )
)</f>
        <v>0</v>
      </c>
      <c r="AG42" s="292" cm="1">
        <f t="array" ref="AG42">_xlfn.XLOOKUP(
   $B$4&amp;" "&amp;$B42,
   Actuals!$D:$D,
   _xlfn.XLOOKUP(
      AG$6,
      Actuals!$H$3:$BD$3,
      Actuals!$H:$BD
   )
)</f>
        <v>0</v>
      </c>
      <c r="AH42" s="292" cm="1">
        <f t="array" ref="AH42">_xlfn.XLOOKUP(
   $B$4&amp;" "&amp;$B42,
   Actuals!$D:$D,
   _xlfn.XLOOKUP(
      AH$6,
      Actuals!$H$3:$BD$3,
      Actuals!$H:$BD
   )
)</f>
        <v>1</v>
      </c>
      <c r="AI42" s="292" cm="1">
        <f t="array" ref="AI42">_xlfn.XLOOKUP(
   $B$4&amp;" "&amp;$B42,
   Actuals!$D:$D,
   _xlfn.XLOOKUP(
      AI$6,
      Actuals!$H$3:$BD$3,
      Actuals!$H:$BD
   )
)</f>
        <v>1</v>
      </c>
      <c r="AJ42" s="292" cm="1">
        <f t="array" ref="AJ42">_xlfn.XLOOKUP(
   $B$4&amp;" "&amp;$B42,
   Actuals!$D:$D,
   _xlfn.XLOOKUP(
      AJ$6,
      Actuals!$H$3:$BD$3,
      Actuals!$H:$BD
   )
)</f>
        <v>1</v>
      </c>
      <c r="AK42" s="292" cm="1">
        <f t="array" ref="AK42">_xlfn.XLOOKUP(
   $B$4&amp;" "&amp;$B42,
   Actuals!$D:$D,
   _xlfn.XLOOKUP(
      AK$6,
      Actuals!$H$3:$BD$3,
      Actuals!$H:$BD
   )
)</f>
        <v>1</v>
      </c>
      <c r="AL42" s="292" cm="1">
        <f t="array" ref="AL42">_xlfn.XLOOKUP(
   $B$4&amp;" "&amp;$B42,
   Actuals!$D:$D,
   _xlfn.XLOOKUP(
      AL$6,
      Actuals!$H$3:$BD$3,
      Actuals!$H:$BD
   )
)</f>
        <v>1</v>
      </c>
      <c r="AM42" s="292" cm="1">
        <f t="array" ref="AM42">_xlfn.XLOOKUP(
   $B$4&amp;" "&amp;$B42,
   Actuals!$D:$D,
   _xlfn.XLOOKUP(
      AM$6,
      Actuals!$H$3:$BD$3,
      Actuals!$H:$BD
   )
)</f>
        <v>1</v>
      </c>
      <c r="AN42" s="292" cm="1">
        <f t="array" ref="AN42">_xlfn.XLOOKUP(
   $B$4&amp;" "&amp;$B42,
   Actuals!$D:$D,
   _xlfn.XLOOKUP(
      AN$6,
      Actuals!$H$3:$BD$3,
      Actuals!$H:$BD
   )
)</f>
        <v>1</v>
      </c>
      <c r="AO42" s="292" cm="1">
        <f t="array" ref="AO42">_xlfn.XLOOKUP(
   $B$4&amp;" "&amp;$B42,
   Actuals!$D:$D,
   _xlfn.XLOOKUP(
      AO$6,
      Actuals!$H$3:$BD$3,
      Actuals!$H:$BD
   )
)</f>
        <v>1</v>
      </c>
      <c r="AP42" s="292" cm="1">
        <f t="array" ref="AP42">_xlfn.XLOOKUP(
   $B$4&amp;" "&amp;$B42,
   Actuals!$D:$D,
   _xlfn.XLOOKUP(
      AP$6,
      Actuals!$H$3:$BD$3,
      Actuals!$H:$BD
   )
)</f>
        <v>0</v>
      </c>
      <c r="AQ42" s="292" cm="1">
        <f t="array" ref="AQ42">_xlfn.XLOOKUP(
   $B$4&amp;" "&amp;$B42,
   Actuals!$D:$D,
   _xlfn.XLOOKUP(
      AQ$6,
      Actuals!$H$3:$BD$3,
      Actuals!$H:$BD
   )
)</f>
        <v>0</v>
      </c>
      <c r="AR42" s="292" cm="1">
        <f t="array" ref="AR42">_xlfn.XLOOKUP(
   $B$4&amp;" "&amp;$B42,
   Actuals!$D:$D,
   _xlfn.XLOOKUP(
      AR$6,
      Actuals!$H$3:$BD$3,
      Actuals!$H:$BD
   )
)</f>
        <v>0</v>
      </c>
      <c r="AS42" s="292" cm="1">
        <f t="array" ref="AS42">_xlfn.XLOOKUP(
   $B$4&amp;" "&amp;$B42,
   Actuals!$D:$D,
   _xlfn.XLOOKUP(
      AS$6,
      Actuals!$H$3:$BD$3,
      Actuals!$H:$BD
   )
)</f>
        <v>0</v>
      </c>
      <c r="AT42" s="292" cm="1">
        <f t="array" ref="AT42">_xlfn.XLOOKUP(
   $B$4&amp;" "&amp;$B42,
   Actuals!$D:$D,
   _xlfn.XLOOKUP(
      AT$6,
      Actuals!$H$3:$BD$3,
      Actuals!$H:$BD
   )
)</f>
        <v>0</v>
      </c>
      <c r="AU42" s="292" cm="1">
        <f t="array" ref="AU42">_xlfn.XLOOKUP(
   $B$4&amp;" "&amp;$B42,
   Actuals!$D:$D,
   _xlfn.XLOOKUP(
      AU$6,
      Actuals!$H$3:$BD$3,
      Actuals!$H:$BD
   )
)</f>
        <v>0</v>
      </c>
      <c r="AV42" s="292" cm="1">
        <f t="array" ref="AV42">_xlfn.XLOOKUP(
   $B$4&amp;" "&amp;$B42,
   Actuals!$D:$D,
   _xlfn.XLOOKUP(
      AV$6,
      Actuals!$H$3:$BD$3,
      Actuals!$H:$BD
   )
)</f>
        <v>0</v>
      </c>
      <c r="AW42" s="292" cm="1">
        <f t="array" ref="AW42">_xlfn.XLOOKUP(
   $B$4&amp;" "&amp;$B42,
   Actuals!$D:$D,
   _xlfn.XLOOKUP(
      AW$6,
      Actuals!$H$3:$BD$3,
      Actuals!$H:$BD
   )
)</f>
        <v>0</v>
      </c>
      <c r="AX42" s="292" cm="1">
        <f t="array" ref="AX42">_xlfn.XLOOKUP(
   $B$4&amp;" "&amp;$B42,
   Actuals!$D:$D,
   _xlfn.XLOOKUP(
      AX$6,
      Actuals!$H$3:$BD$3,
      Actuals!$H:$BD
   )
)</f>
        <v>0</v>
      </c>
      <c r="AY42" s="292" cm="1">
        <f t="array" ref="AY42">_xlfn.XLOOKUP(
   $B$4&amp;" "&amp;$B42,
   Actuals!$D:$D,
   _xlfn.XLOOKUP(
      AY$6,
      Actuals!$H$3:$BD$3,
      Actuals!$H:$BD
   )
)</f>
        <v>0</v>
      </c>
      <c r="AZ42" s="292" cm="1">
        <f t="array" ref="AZ42">_xlfn.XLOOKUP(
   $B$4&amp;" "&amp;$B42,
   Actuals!$D:$D,
   _xlfn.XLOOKUP(
      AZ$6,
      Actuals!$H$3:$BD$3,
      Actuals!$H:$BD
   )
)</f>
        <v>0</v>
      </c>
      <c r="BA42" s="292"/>
      <c r="BB42" s="292" cm="1">
        <f t="array" ref="BB42">_xlfn.XLOOKUP(
   $B$4&amp;" "&amp;$B42,
   Actuals!$D:$D,
   _xlfn.XLOOKUP(
      BB$7,
      Actuals!$H$3:$BM$3,
      Actuals!$H:$BM
   )
)</f>
        <v>0</v>
      </c>
      <c r="BC42" s="292">
        <f>VLOOKUP($B$4&amp;" "&amp;$B42,Budget!$AG$4:$AL$132,$BB$5+1,FALSE)</f>
        <v>0</v>
      </c>
      <c r="BD42" s="292">
        <f>BB42-BC42</f>
        <v>0</v>
      </c>
      <c r="BE42" s="292"/>
      <c r="BF42" s="292" cm="1">
        <f t="array" ref="BF42">_xlfn.XLOOKUP(
   $B$4&amp;" "&amp;$B42,
   Actuals!$D:$D,
   _xlfn.XLOOKUP(
      BF$7,
      Actuals!$H$3:$BM$3,
      Actuals!$H:$BM
   )
)</f>
        <v>0</v>
      </c>
      <c r="BG42" s="292">
        <f>VLOOKUP($B$4&amp;" "&amp;$B42,Budget!$AG$4:$AL$132,BF$5+1,FALSE)</f>
        <v>3</v>
      </c>
      <c r="BH42" s="292">
        <f>BF42-BG42</f>
        <v>-3</v>
      </c>
      <c r="BI42" s="292"/>
      <c r="BJ42" s="292" cm="1">
        <f t="array" ref="BJ42">_xlfn.XLOOKUP(
   $B$4&amp;" "&amp;$B42,
   Actuals!$D:$D,
   _xlfn.XLOOKUP(
      BJ$7,
      Actuals!$H$3:$BM$3,
      Actuals!$H:$BM
   )
)</f>
        <v>0</v>
      </c>
      <c r="BK42" s="292">
        <f>VLOOKUP($B$4&amp;" "&amp;$B42,Budget!$AG$4:$AL$132,BJ$5+1,FALSE)</f>
        <v>3</v>
      </c>
      <c r="BL42" s="292">
        <f>BJ42-BK42</f>
        <v>-3</v>
      </c>
      <c r="BM42" s="292"/>
      <c r="BN42" s="292" cm="1">
        <f t="array" ref="BN42">_xlfn.XLOOKUP(
   $B$4&amp;" "&amp;$B42,
   Actuals!$D:$D,
   _xlfn.XLOOKUP(
      BN$7,
      Actuals!$H$3:$BM$3,
      Actuals!$H:$BM
   )
)</f>
        <v>0</v>
      </c>
      <c r="BO42" s="292">
        <f>VLOOKUP($B$4&amp;" "&amp;$B42,Budget!$AG$4:$AL$132,BN$5+1,FALSE)</f>
        <v>3</v>
      </c>
      <c r="BP42" s="292"/>
      <c r="BQ42" s="292"/>
      <c r="BR42" s="292" cm="1">
        <f t="array" aca="1" ref="BR42" ca="1">_xlfn.XLOOKUP(
   $B$4&amp;" "&amp;$B42,
   Actuals!$D:$D,
   _xlfn.XLOOKUP(
      BR$6,
      Actuals!$H$3:$BM$3,
      Actuals!$H:$BM
   )
)</f>
        <v>0</v>
      </c>
      <c r="BS42" s="292">
        <f ca="1">VLOOKUP($B$4&amp;" "&amp;$B42,Budget!$AG$4:$AL$132,6,FALSE)</f>
        <v>3</v>
      </c>
      <c r="BT42" s="292">
        <f ca="1">BR42-BS42</f>
        <v>-3</v>
      </c>
      <c r="BU42" s="292"/>
      <c r="BV42" s="292" cm="1">
        <f t="array" ref="BV42">_xlfn.XLOOKUP(
   $B$4&amp;" "&amp;$B42,
   Actuals!$D:$D,
   _xlfn.XLOOKUP(
      BV$6,
      Actuals!$H$3:$BM$3,
      Actuals!$H:$BM
   )
)</f>
        <v>1</v>
      </c>
    </row>
    <row r="43" spans="2:74">
      <c r="B43" s="26" t="s">
        <v>133</v>
      </c>
      <c r="C43" s="139" t="s">
        <v>99</v>
      </c>
      <c r="D43" s="171" t="str">
        <f>VLOOKUP($B$4&amp;" "&amp;$B43,Actuals!$D$4:$AG$131,3,FALSE)</f>
        <v>$</v>
      </c>
      <c r="E43" s="211" cm="1">
        <f t="array" ref="E43">_xlfn.XLOOKUP(
   $B$4&amp;" "&amp;$B43,
   Actuals!$D:$D,
   _xlfn.XLOOKUP(
      E$6,
      Actuals!$H$3:$BD$3,
      Actuals!$H:$BD
   )
)</f>
        <v>78031.94</v>
      </c>
      <c r="F43" s="211" cm="1">
        <f t="array" ref="F43">_xlfn.XLOOKUP(
   $B$4&amp;" "&amp;$B43,
   Actuals!$D:$D,
   _xlfn.XLOOKUP(
      F$6,
      Actuals!$H$3:$BD$3,
      Actuals!$H:$BD
   )
)</f>
        <v>32094.639999999999</v>
      </c>
      <c r="G43" s="266" cm="1">
        <f t="array" ref="G43">_xlfn.XLOOKUP(
   $B$4&amp;" "&amp;$B43,
   Actuals!$D:$D,
   _xlfn.XLOOKUP(
      G$6,
      Actuals!$H$3:$BD$3,
      Actuals!$H:$BD
   )
)</f>
        <v>30347.64</v>
      </c>
      <c r="H43" s="211" cm="1">
        <f t="array" ref="H43">_xlfn.XLOOKUP(
   $B$4&amp;" "&amp;$B43,
   Actuals!$D:$D,
   _xlfn.XLOOKUP(
      H$6,
      Actuals!$H$3:$BD$3,
      Actuals!$H:$BD
   )
)</f>
        <v>41967.63</v>
      </c>
      <c r="I43" s="211" cm="1">
        <f t="array" ref="I43">_xlfn.XLOOKUP(
   $B$4&amp;" "&amp;$B43,
   Actuals!$D:$D,
   _xlfn.XLOOKUP(
      I$6,
      Actuals!$H$3:$BD$3,
      Actuals!$H:$BD
   )
)</f>
        <v>39689.32</v>
      </c>
      <c r="J43" s="266" cm="1">
        <f t="array" ref="J43">_xlfn.XLOOKUP(
   $B$4&amp;" "&amp;$B43,
   Actuals!$D:$D,
   _xlfn.XLOOKUP(
      J$6,
      Actuals!$H$3:$BD$3,
      Actuals!$H:$BD
   )
)</f>
        <v>55421.7</v>
      </c>
      <c r="K43" s="211" cm="1">
        <f t="array" ref="K43">_xlfn.XLOOKUP(
   $B$4&amp;" "&amp;$B43,
   Actuals!$D:$D,
   _xlfn.XLOOKUP(
      K$6,
      Actuals!$H$3:$BD$3,
      Actuals!$H:$BD
   )
)</f>
        <v>38982.490000000005</v>
      </c>
      <c r="L43" s="211" cm="1">
        <f t="array" ref="L43">_xlfn.XLOOKUP(
   $B$4&amp;" "&amp;$B43,
   Actuals!$D:$D,
   _xlfn.XLOOKUP(
      L$6,
      Actuals!$H$3:$BD$3,
      Actuals!$H:$BD
   )
)</f>
        <v>56691.509999999995</v>
      </c>
      <c r="M43" s="266" cm="1">
        <f t="array" ref="M43">_xlfn.XLOOKUP(
   $B$4&amp;" "&amp;$B43,
   Actuals!$D:$D,
   _xlfn.XLOOKUP(
      M$6,
      Actuals!$H$3:$BD$3,
      Actuals!$H:$BD
   )
)</f>
        <v>94428.05</v>
      </c>
      <c r="N43" s="266" cm="1">
        <f t="array" ref="N43">_xlfn.XLOOKUP(
   $B$4&amp;" "&amp;$B43,
   Actuals!$D:$D,
   _xlfn.XLOOKUP(
      N$6,
      Actuals!$H$3:$BD$3,
      Actuals!$H:$BD
   )
)</f>
        <v>78576.52</v>
      </c>
      <c r="O43" s="211" cm="1">
        <f t="array" ref="O43">_xlfn.XLOOKUP(
   $B$4&amp;" "&amp;$B43,
   Actuals!$D:$D,
   _xlfn.XLOOKUP(
      O$6,
      Actuals!$H$3:$BD$3,
      Actuals!$H:$BD
   )
)</f>
        <v>0</v>
      </c>
      <c r="P43" s="211" cm="1">
        <f t="array" ref="P43">_xlfn.XLOOKUP(
   $B$4&amp;" "&amp;$B43,
   Actuals!$D:$D,
   _xlfn.XLOOKUP(
      P$6,
      Actuals!$H$3:$BD$3,
      Actuals!$H:$BD
   )
)</f>
        <v>0</v>
      </c>
      <c r="Q43" s="211" cm="1">
        <f t="array" ref="Q43">_xlfn.XLOOKUP(
   $B$4&amp;" "&amp;$B43,
   Actuals!$D:$D,
   _xlfn.XLOOKUP(
      Q$6,
      Actuals!$H$3:$BD$3,
      Actuals!$H:$BD
   )
)</f>
        <v>0</v>
      </c>
      <c r="R43" s="211" cm="1">
        <f t="array" ref="R43">_xlfn.XLOOKUP(
   $B$4&amp;" "&amp;$B43,
   Actuals!$D:$D,
   _xlfn.XLOOKUP(
      R$6,
      Actuals!$H$3:$BD$3,
      Actuals!$H:$BD
   )
)</f>
        <v>0</v>
      </c>
      <c r="S43" s="211" cm="1">
        <f t="array" ref="S43">_xlfn.XLOOKUP(
   $B$4&amp;" "&amp;$B43,
   Actuals!$D:$D,
   _xlfn.XLOOKUP(
      S$6,
      Actuals!$H$3:$BD$3,
      Actuals!$H:$BD
   )
)</f>
        <v>0</v>
      </c>
      <c r="T43" s="211" cm="1">
        <f t="array" ref="T43">_xlfn.XLOOKUP(
   $B$4&amp;" "&amp;$B43,
   Actuals!$D:$D,
   _xlfn.XLOOKUP(
      T$6,
      Actuals!$H$3:$BD$3,
      Actuals!$H:$BD
   )
)</f>
        <v>0</v>
      </c>
      <c r="U43" s="211" cm="1">
        <f t="array" ref="U43">_xlfn.XLOOKUP(
   $B$4&amp;" "&amp;$B43,
   Actuals!$D:$D,
   _xlfn.XLOOKUP(
      U$6,
      Actuals!$H$3:$BD$3,
      Actuals!$H:$BD
   )
)</f>
        <v>0</v>
      </c>
      <c r="V43" s="211" cm="1">
        <f t="array" ref="V43">_xlfn.XLOOKUP(
   $B$4&amp;" "&amp;$B43,
   Actuals!$D:$D,
   _xlfn.XLOOKUP(
      V$6,
      Actuals!$H$3:$BD$3,
      Actuals!$H:$BD
   )
)</f>
        <v>0</v>
      </c>
      <c r="W43" s="211" cm="1">
        <f t="array" ref="W43">_xlfn.XLOOKUP(
   $B$4&amp;" "&amp;$B43,
   Actuals!$D:$D,
   _xlfn.XLOOKUP(
      W$6,
      Actuals!$H$3:$BD$3,
      Actuals!$H:$BD
   )
)</f>
        <v>0</v>
      </c>
      <c r="X43" s="211" cm="1">
        <f t="array" ref="X43">_xlfn.XLOOKUP(
   $B$4&amp;" "&amp;$B43,
   Actuals!$D:$D,
   _xlfn.XLOOKUP(
      X$6,
      Actuals!$H$3:$BD$3,
      Actuals!$H:$BD
   )
)</f>
        <v>0</v>
      </c>
      <c r="Y43" s="211" cm="1">
        <f t="array" ref="Y43">_xlfn.XLOOKUP(
   $B$4&amp;" "&amp;$B43,
   Actuals!$D:$D,
   _xlfn.XLOOKUP(
      Y$6,
      Actuals!$H$3:$BD$3,
      Actuals!$H:$BD
   )
)</f>
        <v>0</v>
      </c>
      <c r="Z43" s="211" cm="1">
        <f t="array" ref="Z43">_xlfn.XLOOKUP(
   $B$4&amp;" "&amp;$B43,
   Actuals!$D:$D,
   _xlfn.XLOOKUP(
      Z$6,
      Actuals!$H$3:$BD$3,
      Actuals!$H:$BD
   )
)</f>
        <v>0</v>
      </c>
      <c r="AA43" s="211" cm="1">
        <f t="array" ref="AA43">_xlfn.XLOOKUP(
   $B$4&amp;" "&amp;$B43,
   Actuals!$D:$D,
   _xlfn.XLOOKUP(
      AA$6,
      Actuals!$H$3:$BD$3,
      Actuals!$H:$BD
   )
)</f>
        <v>0</v>
      </c>
      <c r="AB43" s="211" cm="1">
        <f t="array" ref="AB43">_xlfn.XLOOKUP(
   $B$4&amp;" "&amp;$B43,
   Actuals!$D:$D,
   _xlfn.XLOOKUP(
      AB$6,
      Actuals!$H$3:$BD$3,
      Actuals!$H:$BD
   )
)</f>
        <v>0</v>
      </c>
      <c r="AC43" s="211" cm="1">
        <f t="array" ref="AC43">_xlfn.XLOOKUP(
   $B$4&amp;" "&amp;$B43,
   Actuals!$D:$D,
   _xlfn.XLOOKUP(
      AC$6,
      Actuals!$H$3:$BD$3,
      Actuals!$H:$BD
   )
)</f>
        <v>71648.460000000006</v>
      </c>
      <c r="AD43" s="211" cm="1">
        <f t="array" ref="AD43">_xlfn.XLOOKUP(
   $B$4&amp;" "&amp;$B43,
   Actuals!$D:$D,
   _xlfn.XLOOKUP(
      AD$6,
      Actuals!$H$3:$BD$3,
      Actuals!$H:$BD
   )
)</f>
        <v>72364.944600000003</v>
      </c>
      <c r="AE43" s="211" cm="1">
        <f t="array" ref="AE43">_xlfn.XLOOKUP(
   $B$4&amp;" "&amp;$B43,
   Actuals!$D:$D,
   _xlfn.XLOOKUP(
      AE$6,
      Actuals!$H$3:$BD$3,
      Actuals!$H:$BD
   )
)</f>
        <v>73088.594045999998</v>
      </c>
      <c r="AF43" s="211" cm="1">
        <f t="array" ref="AF43">_xlfn.XLOOKUP(
   $B$4&amp;" "&amp;$B43,
   Actuals!$D:$D,
   _xlfn.XLOOKUP(
      AF$6,
      Actuals!$H$3:$BD$3,
      Actuals!$H:$BD
   )
)</f>
        <v>73819.479986459992</v>
      </c>
      <c r="AG43" s="211" cm="1">
        <f t="array" ref="AG43">_xlfn.XLOOKUP(
   $B$4&amp;" "&amp;$B43,
   Actuals!$D:$D,
   _xlfn.XLOOKUP(
      AG$6,
      Actuals!$H$3:$BD$3,
      Actuals!$H:$BD
   )
)</f>
        <v>74557.674786324598</v>
      </c>
      <c r="AH43" s="211" cm="1">
        <f t="array" ref="AH43">_xlfn.XLOOKUP(
   $B$4&amp;" "&amp;$B43,
   Actuals!$D:$D,
   _xlfn.XLOOKUP(
      AH$6,
      Actuals!$H$3:$BD$3,
      Actuals!$H:$BD
   )
)</f>
        <v>75303.251534187846</v>
      </c>
      <c r="AI43" s="211" cm="1">
        <f t="array" ref="AI43">_xlfn.XLOOKUP(
   $B$4&amp;" "&amp;$B43,
   Actuals!$D:$D,
   _xlfn.XLOOKUP(
      AI$6,
      Actuals!$H$3:$BD$3,
      Actuals!$H:$BD
   )
)</f>
        <v>76056.284049529728</v>
      </c>
      <c r="AJ43" s="211" cm="1">
        <f t="array" ref="AJ43">_xlfn.XLOOKUP(
   $B$4&amp;" "&amp;$B43,
   Actuals!$D:$D,
   _xlfn.XLOOKUP(
      AJ$6,
      Actuals!$H$3:$BD$3,
      Actuals!$H:$BD
   )
)</f>
        <v>76816.84689002503</v>
      </c>
      <c r="AK43" s="211" cm="1">
        <f t="array" ref="AK43">_xlfn.XLOOKUP(
   $B$4&amp;" "&amp;$B43,
   Actuals!$D:$D,
   _xlfn.XLOOKUP(
      AK$6,
      Actuals!$H$3:$BD$3,
      Actuals!$H:$BD
   )
)</f>
        <v>77585.015358925273</v>
      </c>
      <c r="AL43" s="211" cm="1">
        <f t="array" ref="AL43">_xlfn.XLOOKUP(
   $B$4&amp;" "&amp;$B43,
   Actuals!$D:$D,
   _xlfn.XLOOKUP(
      AL$6,
      Actuals!$H$3:$BD$3,
      Actuals!$H:$BD
   )
)</f>
        <v>78360.865512514531</v>
      </c>
      <c r="AM43" s="211" cm="1">
        <f t="array" ref="AM43">_xlfn.XLOOKUP(
   $B$4&amp;" "&amp;$B43,
   Actuals!$D:$D,
   _xlfn.XLOOKUP(
      AM$6,
      Actuals!$H$3:$BD$3,
      Actuals!$H:$BD
   )
)</f>
        <v>79144.474167639681</v>
      </c>
      <c r="AN43" s="211" cm="1">
        <f t="array" ref="AN43">_xlfn.XLOOKUP(
   $B$4&amp;" "&amp;$B43,
   Actuals!$D:$D,
   _xlfn.XLOOKUP(
      AN$6,
      Actuals!$H$3:$BD$3,
      Actuals!$H:$BD
   )
)</f>
        <v>79935.918909316082</v>
      </c>
      <c r="AO43" s="211" cm="1">
        <f t="array" ref="AO43">_xlfn.XLOOKUP(
   $B$4&amp;" "&amp;$B43,
   Actuals!$D:$D,
   _xlfn.XLOOKUP(
      AO$6,
      Actuals!$H$3:$BD$3,
      Actuals!$H:$BD
   )
)</f>
        <v>80735.278098409239</v>
      </c>
      <c r="AP43" s="211" cm="1">
        <f t="array" ref="AP43">_xlfn.XLOOKUP(
   $B$4&amp;" "&amp;$B43,
   Actuals!$D:$D,
   _xlfn.XLOOKUP(
      AP$6,
      Actuals!$H$3:$BD$3,
      Actuals!$H:$BD
   )
)</f>
        <v>81542.630879393328</v>
      </c>
      <c r="AQ43" s="211" cm="1">
        <f t="array" ref="AQ43">_xlfn.XLOOKUP(
   $B$4&amp;" "&amp;$B43,
   Actuals!$D:$D,
   _xlfn.XLOOKUP(
      AQ$6,
      Actuals!$H$3:$BD$3,
      Actuals!$H:$BD
   )
)</f>
        <v>82358.05718818726</v>
      </c>
      <c r="AR43" s="211" cm="1">
        <f t="array" ref="AR43">_xlfn.XLOOKUP(
   $B$4&amp;" "&amp;$B43,
   Actuals!$D:$D,
   _xlfn.XLOOKUP(
      AR$6,
      Actuals!$H$3:$BD$3,
      Actuals!$H:$BD
   )
)</f>
        <v>0</v>
      </c>
      <c r="AS43" s="211" cm="1">
        <f t="array" ref="AS43">_xlfn.XLOOKUP(
   $B$4&amp;" "&amp;$B43,
   Actuals!$D:$D,
   _xlfn.XLOOKUP(
      AS$6,
      Actuals!$H$3:$BD$3,
      Actuals!$H:$BD
   )
)</f>
        <v>0</v>
      </c>
      <c r="AT43" s="211" cm="1">
        <f t="array" ref="AT43">_xlfn.XLOOKUP(
   $B$4&amp;" "&amp;$B43,
   Actuals!$D:$D,
   _xlfn.XLOOKUP(
      AT$6,
      Actuals!$H$3:$BD$3,
      Actuals!$H:$BD
   )
)</f>
        <v>0</v>
      </c>
      <c r="AU43" s="211" cm="1">
        <f t="array" ref="AU43">_xlfn.XLOOKUP(
   $B$4&amp;" "&amp;$B43,
   Actuals!$D:$D,
   _xlfn.XLOOKUP(
      AU$6,
      Actuals!$H$3:$BD$3,
      Actuals!$H:$BD
   )
)</f>
        <v>0</v>
      </c>
      <c r="AV43" s="211" cm="1">
        <f t="array" ref="AV43">_xlfn.XLOOKUP(
   $B$4&amp;" "&amp;$B43,
   Actuals!$D:$D,
   _xlfn.XLOOKUP(
      AV$6,
      Actuals!$H$3:$BD$3,
      Actuals!$H:$BD
   )
)</f>
        <v>0</v>
      </c>
      <c r="AW43" s="211" cm="1">
        <f t="array" ref="AW43">_xlfn.XLOOKUP(
   $B$4&amp;" "&amp;$B43,
   Actuals!$D:$D,
   _xlfn.XLOOKUP(
      AW$6,
      Actuals!$H$3:$BD$3,
      Actuals!$H:$BD
   )
)</f>
        <v>0</v>
      </c>
      <c r="AX43" s="211" cm="1">
        <f t="array" ref="AX43">_xlfn.XLOOKUP(
   $B$4&amp;" "&amp;$B43,
   Actuals!$D:$D,
   _xlfn.XLOOKUP(
      AX$6,
      Actuals!$H$3:$BD$3,
      Actuals!$H:$BD
   )
)</f>
        <v>0</v>
      </c>
      <c r="AY43" s="211" cm="1">
        <f t="array" ref="AY43">_xlfn.XLOOKUP(
   $B$4&amp;" "&amp;$B43,
   Actuals!$D:$D,
   _xlfn.XLOOKUP(
      AY$6,
      Actuals!$H$3:$BD$3,
      Actuals!$H:$BD
   )
)</f>
        <v>0</v>
      </c>
      <c r="AZ43" s="211" cm="1">
        <f t="array" ref="AZ43">_xlfn.XLOOKUP(
   $B$4&amp;" "&amp;$B43,
   Actuals!$D:$D,
   _xlfn.XLOOKUP(
      AZ$6,
      Actuals!$H$3:$BD$3,
      Actuals!$H:$BD
   )
)</f>
        <v>0</v>
      </c>
      <c r="BA43" s="211"/>
      <c r="BB43" s="211" cm="1">
        <f t="array" ref="BB43">_xlfn.XLOOKUP(
   $B$4&amp;" "&amp;$B43,
   Actuals!$D:$D,
   _xlfn.XLOOKUP(
      BB$7,
      Actuals!$H$3:$BM$3,
      Actuals!$H:$BM
   )
)</f>
        <v>244635.96616598981</v>
      </c>
      <c r="BC43" s="211">
        <f>VLOOKUP($B$4&amp;" "&amp;$B43,Budget!$AG$4:$AL$132,$BB$5+1,FALSE)</f>
        <v>232860</v>
      </c>
      <c r="BD43" s="211">
        <f>BB43-BC43</f>
        <v>11775.966165989812</v>
      </c>
      <c r="BE43" s="211"/>
      <c r="BF43" s="211" cm="1">
        <f t="array" ref="BF43">_xlfn.XLOOKUP(
   $B$4&amp;" "&amp;$B43,
   Actuals!$D:$D,
   _xlfn.XLOOKUP(
      BF$7,
      Actuals!$H$3:$BM$3,
      Actuals!$H:$BM
   )
)</f>
        <v>0</v>
      </c>
      <c r="BG43" s="211">
        <f>VLOOKUP($B$4&amp;" "&amp;$B43,Budget!$AG$4:$AL$132,BF$5+1,FALSE)</f>
        <v>252873</v>
      </c>
      <c r="BH43" s="211">
        <f>BF43-BG43</f>
        <v>-252873</v>
      </c>
      <c r="BI43" s="211"/>
      <c r="BJ43" s="211" cm="1">
        <f t="array" ref="BJ43">_xlfn.XLOOKUP(
   $B$4&amp;" "&amp;$B43,
   Actuals!$D:$D,
   _xlfn.XLOOKUP(
      BJ$7,
      Actuals!$H$3:$BM$3,
      Actuals!$H:$BM
   )
)</f>
        <v>0</v>
      </c>
      <c r="BK43" s="211">
        <f>VLOOKUP($B$4&amp;" "&amp;$B43,Budget!$AG$4:$AL$132,BJ$5+1,FALSE)</f>
        <v>252013</v>
      </c>
      <c r="BL43" s="211">
        <f>BJ43-BK43</f>
        <v>-252013</v>
      </c>
      <c r="BM43" s="211"/>
      <c r="BN43" s="211" cm="1">
        <f t="array" ref="BN43">_xlfn.XLOOKUP(
   $B$4&amp;" "&amp;$B43,
   Actuals!$D:$D,
   _xlfn.XLOOKUP(
      BN$7,
      Actuals!$H$3:$BM$3,
      Actuals!$H:$BM
   )
)</f>
        <v>0</v>
      </c>
      <c r="BO43" s="211">
        <f>VLOOKUP($B$4&amp;" "&amp;$B43,Budget!$AG$4:$AL$132,BN$5+1,FALSE)</f>
        <v>256683</v>
      </c>
      <c r="BP43" s="211"/>
      <c r="BQ43" s="211"/>
      <c r="BR43" s="211" cm="1">
        <f t="array" aca="1" ref="BR43" ca="1">_xlfn.XLOOKUP(
   $B$4&amp;" "&amp;$B43,
   Actuals!$D:$D,
   _xlfn.XLOOKUP(
      BR$6,
      Actuals!$H$3:$BM$3,
      Actuals!$H:$BM
   )
)</f>
        <v>244635.96616598981</v>
      </c>
      <c r="BS43" s="211">
        <f ca="1">VLOOKUP($B$4&amp;" "&amp;$B43,Budget!$AG$4:$AL$132,6,FALSE)</f>
        <v>996099</v>
      </c>
      <c r="BT43" s="211">
        <f ca="1">BR43-BS43</f>
        <v>-751463.03383401013</v>
      </c>
      <c r="BU43" s="211"/>
      <c r="BV43" s="211" cm="1">
        <f t="array" ref="BV43">_xlfn.XLOOKUP(
   $B$4&amp;" "&amp;$B43,
   Actuals!$D:$D,
   _xlfn.XLOOKUP(
      BV$6,
      Actuals!$H$3:$BM$3,
      Actuals!$H:$BM
   )
)</f>
        <v>917768.62793933181</v>
      </c>
    </row>
    <row r="44" spans="2:74">
      <c r="B44" s="26" t="s">
        <v>134</v>
      </c>
      <c r="C44" s="139" t="s">
        <v>99</v>
      </c>
      <c r="D44" s="171" t="str">
        <f>VLOOKUP($B$4&amp;" "&amp;$B44,Actuals!$D$4:$AG$131,3,FALSE)</f>
        <v>$</v>
      </c>
      <c r="E44" s="267" cm="1">
        <f t="array" ref="E44">_xlfn.XLOOKUP(
   $B$4&amp;" "&amp;$B44,
   Actuals!$D:$D,
   _xlfn.XLOOKUP(
      E$6,
      Actuals!$H$3:$BD$3,
      Actuals!$H:$BD
   )
)</f>
        <v>1.5924885714285715</v>
      </c>
      <c r="F44" s="267" t="str" cm="1">
        <f t="array" ref="F44">_xlfn.XLOOKUP(
   $B$4&amp;" "&amp;$B44,
   Actuals!$D:$D,
   _xlfn.XLOOKUP(
      F$6,
      Actuals!$H$3:$BD$3,
      Actuals!$H:$BD
   )
)</f>
        <v>-</v>
      </c>
      <c r="G44" s="267" cm="1">
        <f t="array" ref="G44">_xlfn.XLOOKUP(
   $B$4&amp;" "&amp;$B44,
   Actuals!$D:$D,
   _xlfn.XLOOKUP(
      G$6,
      Actuals!$H$3:$BD$3,
      Actuals!$H:$BD
   )
)</f>
        <v>0.45294985074626865</v>
      </c>
      <c r="H44" s="267" cm="1">
        <f t="array" ref="H44">_xlfn.XLOOKUP(
   $B$4&amp;" "&amp;$B44,
   Actuals!$D:$D,
   _xlfn.XLOOKUP(
      H$6,
      Actuals!$H$3:$BD$3,
      Actuals!$H:$BD
   )
)</f>
        <v>6.7148207999999991</v>
      </c>
      <c r="I44" s="267" t="str" cm="1">
        <f t="array" ref="I44">_xlfn.XLOOKUP(
   $B$4&amp;" "&amp;$B44,
   Actuals!$D:$D,
   _xlfn.XLOOKUP(
      I$6,
      Actuals!$H$3:$BD$3,
      Actuals!$H:$BD
   )
)</f>
        <v>-</v>
      </c>
      <c r="J44" s="267" cm="1">
        <f t="array" ref="J44">_xlfn.XLOOKUP(
   $B$4&amp;" "&amp;$B44,
   Actuals!$D:$D,
   _xlfn.XLOOKUP(
      J$6,
      Actuals!$H$3:$BD$3,
      Actuals!$H:$BD
   )
)</f>
        <v>0.25770942317081674</v>
      </c>
      <c r="K44" s="267" t="str" cm="1">
        <f t="array" ref="K44">_xlfn.XLOOKUP(
   $B$4&amp;" "&amp;$B44,
   Actuals!$D:$D,
   _xlfn.XLOOKUP(
      K$6,
      Actuals!$H$3:$BD$3,
      Actuals!$H:$BD
   )
)</f>
        <v>-</v>
      </c>
      <c r="L44" s="267" cm="1">
        <f t="array" ref="L44">_xlfn.XLOOKUP(
   $B$4&amp;" "&amp;$B44,
   Actuals!$D:$D,
   _xlfn.XLOOKUP(
      L$6,
      Actuals!$H$3:$BD$3,
      Actuals!$H:$BD
   )
)</f>
        <v>0.15620077698793189</v>
      </c>
      <c r="M44" s="267" cm="1">
        <f t="array" ref="M44">_xlfn.XLOOKUP(
   $B$4&amp;" "&amp;$B44,
   Actuals!$D:$D,
   _xlfn.XLOOKUP(
      M$6,
      Actuals!$H$3:$BD$3,
      Actuals!$H:$BD
   )
)</f>
        <v>9.4428049999999999</v>
      </c>
      <c r="N44" s="267" t="str" cm="1">
        <f t="array" ref="N44">_xlfn.XLOOKUP(
   $B$4&amp;" "&amp;$B44,
   Actuals!$D:$D,
   _xlfn.XLOOKUP(
      N$6,
      Actuals!$H$3:$BD$3,
      Actuals!$H:$BD
   )
)</f>
        <v>-</v>
      </c>
      <c r="O44" s="267" t="str" cm="1">
        <f t="array" ref="O44">_xlfn.XLOOKUP(
   $B$4&amp;" "&amp;$B44,
   Actuals!$D:$D,
   _xlfn.XLOOKUP(
      O$6,
      Actuals!$H$3:$BD$3,
      Actuals!$H:$BD
   )
)</f>
        <v>-</v>
      </c>
      <c r="P44" s="267" t="str" cm="1">
        <f t="array" ref="P44">_xlfn.XLOOKUP(
   $B$4&amp;" "&amp;$B44,
   Actuals!$D:$D,
   _xlfn.XLOOKUP(
      P$6,
      Actuals!$H$3:$BD$3,
      Actuals!$H:$BD
   )
)</f>
        <v>-</v>
      </c>
      <c r="Q44" s="267" t="str" cm="1">
        <f t="array" ref="Q44">_xlfn.XLOOKUP(
   $B$4&amp;" "&amp;$B44,
   Actuals!$D:$D,
   _xlfn.XLOOKUP(
      Q$6,
      Actuals!$H$3:$BD$3,
      Actuals!$H:$BD
   )
)</f>
        <v>-</v>
      </c>
      <c r="R44" s="267" t="str" cm="1">
        <f t="array" ref="R44">_xlfn.XLOOKUP(
   $B$4&amp;" "&amp;$B44,
   Actuals!$D:$D,
   _xlfn.XLOOKUP(
      R$6,
      Actuals!$H$3:$BD$3,
      Actuals!$H:$BD
   )
)</f>
        <v>-</v>
      </c>
      <c r="S44" s="267" t="str" cm="1">
        <f t="array" ref="S44">_xlfn.XLOOKUP(
   $B$4&amp;" "&amp;$B44,
   Actuals!$D:$D,
   _xlfn.XLOOKUP(
      S$6,
      Actuals!$H$3:$BD$3,
      Actuals!$H:$BD
   )
)</f>
        <v>-</v>
      </c>
      <c r="T44" s="267" t="str" cm="1">
        <f t="array" ref="T44">_xlfn.XLOOKUP(
   $B$4&amp;" "&amp;$B44,
   Actuals!$D:$D,
   _xlfn.XLOOKUP(
      T$6,
      Actuals!$H$3:$BD$3,
      Actuals!$H:$BD
   )
)</f>
        <v>-</v>
      </c>
      <c r="U44" s="267" t="str" cm="1">
        <f t="array" ref="U44">_xlfn.XLOOKUP(
   $B$4&amp;" "&amp;$B44,
   Actuals!$D:$D,
   _xlfn.XLOOKUP(
      U$6,
      Actuals!$H$3:$BD$3,
      Actuals!$H:$BD
   )
)</f>
        <v>-</v>
      </c>
      <c r="V44" s="267" t="str" cm="1">
        <f t="array" ref="V44">_xlfn.XLOOKUP(
   $B$4&amp;" "&amp;$B44,
   Actuals!$D:$D,
   _xlfn.XLOOKUP(
      V$6,
      Actuals!$H$3:$BD$3,
      Actuals!$H:$BD
   )
)</f>
        <v>-</v>
      </c>
      <c r="W44" s="267" t="str" cm="1">
        <f t="array" ref="W44">_xlfn.XLOOKUP(
   $B$4&amp;" "&amp;$B44,
   Actuals!$D:$D,
   _xlfn.XLOOKUP(
      W$6,
      Actuals!$H$3:$BD$3,
      Actuals!$H:$BD
   )
)</f>
        <v>-</v>
      </c>
      <c r="X44" s="267" t="str" cm="1">
        <f t="array" ref="X44">_xlfn.XLOOKUP(
   $B$4&amp;" "&amp;$B44,
   Actuals!$D:$D,
   _xlfn.XLOOKUP(
      X$6,
      Actuals!$H$3:$BD$3,
      Actuals!$H:$BD
   )
)</f>
        <v>-</v>
      </c>
      <c r="Y44" s="267" t="str" cm="1">
        <f t="array" ref="Y44">_xlfn.XLOOKUP(
   $B$4&amp;" "&amp;$B44,
   Actuals!$D:$D,
   _xlfn.XLOOKUP(
      Y$6,
      Actuals!$H$3:$BD$3,
      Actuals!$H:$BD
   )
)</f>
        <v>-</v>
      </c>
      <c r="Z44" s="267" t="str" cm="1">
        <f t="array" ref="Z44">_xlfn.XLOOKUP(
   $B$4&amp;" "&amp;$B44,
   Actuals!$D:$D,
   _xlfn.XLOOKUP(
      Z$6,
      Actuals!$H$3:$BD$3,
      Actuals!$H:$BD
   )
)</f>
        <v>-</v>
      </c>
      <c r="AA44" s="267" t="str" cm="1">
        <f t="array" ref="AA44">_xlfn.XLOOKUP(
   $B$4&amp;" "&amp;$B44,
   Actuals!$D:$D,
   _xlfn.XLOOKUP(
      AA$6,
      Actuals!$H$3:$BD$3,
      Actuals!$H:$BD
   )
)</f>
        <v>-</v>
      </c>
      <c r="AB44" s="267" t="str" cm="1">
        <f t="array" ref="AB44">_xlfn.XLOOKUP(
   $B$4&amp;" "&amp;$B44,
   Actuals!$D:$D,
   _xlfn.XLOOKUP(
      AB$6,
      Actuals!$H$3:$BD$3,
      Actuals!$H:$BD
   )
)</f>
        <v>-</v>
      </c>
      <c r="AC44" s="267" t="str" cm="1">
        <f t="array" ref="AC44">_xlfn.XLOOKUP(
   $B$4&amp;" "&amp;$B44,
   Actuals!$D:$D,
   _xlfn.XLOOKUP(
      AC$6,
      Actuals!$H$3:$BD$3,
      Actuals!$H:$BD
   )
)</f>
        <v>-</v>
      </c>
      <c r="AD44" s="267" t="str" cm="1">
        <f t="array" ref="AD44">_xlfn.XLOOKUP(
   $B$4&amp;" "&amp;$B44,
   Actuals!$D:$D,
   _xlfn.XLOOKUP(
      AD$6,
      Actuals!$H$3:$BD$3,
      Actuals!$H:$BD
   )
)</f>
        <v>-</v>
      </c>
      <c r="AE44" s="267" t="str" cm="1">
        <f t="array" ref="AE44">_xlfn.XLOOKUP(
   $B$4&amp;" "&amp;$B44,
   Actuals!$D:$D,
   _xlfn.XLOOKUP(
      AE$6,
      Actuals!$H$3:$BD$3,
      Actuals!$H:$BD
   )
)</f>
        <v>-</v>
      </c>
      <c r="AF44" s="267" t="str" cm="1">
        <f t="array" ref="AF44">_xlfn.XLOOKUP(
   $B$4&amp;" "&amp;$B44,
   Actuals!$D:$D,
   _xlfn.XLOOKUP(
      AF$6,
      Actuals!$H$3:$BD$3,
      Actuals!$H:$BD
   )
)</f>
        <v>-</v>
      </c>
      <c r="AG44" s="267" t="str" cm="1">
        <f t="array" ref="AG44">_xlfn.XLOOKUP(
   $B$4&amp;" "&amp;$B44,
   Actuals!$D:$D,
   _xlfn.XLOOKUP(
      AG$6,
      Actuals!$H$3:$BD$3,
      Actuals!$H:$BD
   )
)</f>
        <v>-</v>
      </c>
      <c r="AH44" s="267" cm="1">
        <f t="array" ref="AH44">_xlfn.XLOOKUP(
   $B$4&amp;" "&amp;$B44,
   Actuals!$D:$D,
   _xlfn.XLOOKUP(
      AH$6,
      Actuals!$H$3:$BD$3,
      Actuals!$H:$BD
   )
)</f>
        <v>0.81408920577500377</v>
      </c>
      <c r="AI44" s="267" cm="1">
        <f t="array" ref="AI44">_xlfn.XLOOKUP(
   $B$4&amp;" "&amp;$B44,
   Actuals!$D:$D,
   _xlfn.XLOOKUP(
      AI$6,
      Actuals!$H$3:$BD$3,
      Actuals!$H:$BD
   )
)</f>
        <v>3.8028142024764864</v>
      </c>
      <c r="AJ44" s="267" cm="1">
        <f t="array" ref="AJ44">_xlfn.XLOOKUP(
   $B$4&amp;" "&amp;$B44,
   Actuals!$D:$D,
   _xlfn.XLOOKUP(
      AJ$6,
      Actuals!$H$3:$BD$3,
      Actuals!$H:$BD
   )
)</f>
        <v>0.96021058612531285</v>
      </c>
      <c r="AK44" s="267" cm="1">
        <f t="array" ref="AK44">_xlfn.XLOOKUP(
   $B$4&amp;" "&amp;$B44,
   Actuals!$D:$D,
   _xlfn.XLOOKUP(
      AK$6,
      Actuals!$H$3:$BD$3,
      Actuals!$H:$BD
   )
)</f>
        <v>5.1723343572616844</v>
      </c>
      <c r="AL44" s="267" cm="1">
        <f t="array" ref="AL44">_xlfn.XLOOKUP(
   $B$4&amp;" "&amp;$B44,
   Actuals!$D:$D,
   _xlfn.XLOOKUP(
      AL$6,
      Actuals!$H$3:$BD$3,
      Actuals!$H:$BD
   )
)</f>
        <v>15.672173102502907</v>
      </c>
      <c r="AM44" s="267" cm="1">
        <f t="array" ref="AM44">_xlfn.XLOOKUP(
   $B$4&amp;" "&amp;$B44,
   Actuals!$D:$D,
   _xlfn.XLOOKUP(
      AM$6,
      Actuals!$H$3:$BD$3,
      Actuals!$H:$BD
   )
)</f>
        <v>10.552596555685291</v>
      </c>
      <c r="AN44" s="267" cm="1">
        <f t="array" ref="AN44">_xlfn.XLOOKUP(
   $B$4&amp;" "&amp;$B44,
   Actuals!$D:$D,
   _xlfn.XLOOKUP(
      AN$6,
      Actuals!$H$3:$BD$3,
      Actuals!$H:$BD
   )
)</f>
        <v>0.47722936662278259</v>
      </c>
      <c r="AO44" s="267" t="str" cm="1">
        <f t="array" ref="AO44">_xlfn.XLOOKUP(
   $B$4&amp;" "&amp;$B44,
   Actuals!$D:$D,
   _xlfn.XLOOKUP(
      AO$6,
      Actuals!$H$3:$BD$3,
      Actuals!$H:$BD
   )
)</f>
        <v>-</v>
      </c>
      <c r="AP44" s="267" t="str" cm="1">
        <f t="array" ref="AP44">_xlfn.XLOOKUP(
   $B$4&amp;" "&amp;$B44,
   Actuals!$D:$D,
   _xlfn.XLOOKUP(
      AP$6,
      Actuals!$H$3:$BD$3,
      Actuals!$H:$BD
   )
)</f>
        <v>-</v>
      </c>
      <c r="AQ44" s="267" t="str" cm="1">
        <f t="array" ref="AQ44">_xlfn.XLOOKUP(
   $B$4&amp;" "&amp;$B44,
   Actuals!$D:$D,
   _xlfn.XLOOKUP(
      AQ$6,
      Actuals!$H$3:$BD$3,
      Actuals!$H:$BD
   )
)</f>
        <v>-</v>
      </c>
      <c r="AR44" s="267" t="str" cm="1">
        <f t="array" ref="AR44">_xlfn.XLOOKUP(
   $B$4&amp;" "&amp;$B44,
   Actuals!$D:$D,
   _xlfn.XLOOKUP(
      AR$6,
      Actuals!$H$3:$BD$3,
      Actuals!$H:$BD
   )
)</f>
        <v>-</v>
      </c>
      <c r="AS44" s="267" t="str" cm="1">
        <f t="array" ref="AS44">_xlfn.XLOOKUP(
   $B$4&amp;" "&amp;$B44,
   Actuals!$D:$D,
   _xlfn.XLOOKUP(
      AS$6,
      Actuals!$H$3:$BD$3,
      Actuals!$H:$BD
   )
)</f>
        <v>-</v>
      </c>
      <c r="AT44" s="267" t="str" cm="1">
        <f t="array" ref="AT44">_xlfn.XLOOKUP(
   $B$4&amp;" "&amp;$B44,
   Actuals!$D:$D,
   _xlfn.XLOOKUP(
      AT$6,
      Actuals!$H$3:$BD$3,
      Actuals!$H:$BD
   )
)</f>
        <v>-</v>
      </c>
      <c r="AU44" s="267" t="str" cm="1">
        <f t="array" ref="AU44">_xlfn.XLOOKUP(
   $B$4&amp;" "&amp;$B44,
   Actuals!$D:$D,
   _xlfn.XLOOKUP(
      AU$6,
      Actuals!$H$3:$BD$3,
      Actuals!$H:$BD
   )
)</f>
        <v>-</v>
      </c>
      <c r="AV44" s="267" t="str" cm="1">
        <f t="array" ref="AV44">_xlfn.XLOOKUP(
   $B$4&amp;" "&amp;$B44,
   Actuals!$D:$D,
   _xlfn.XLOOKUP(
      AV$6,
      Actuals!$H$3:$BD$3,
      Actuals!$H:$BD
   )
)</f>
        <v>-</v>
      </c>
      <c r="AW44" s="267" t="str" cm="1">
        <f t="array" ref="AW44">_xlfn.XLOOKUP(
   $B$4&amp;" "&amp;$B44,
   Actuals!$D:$D,
   _xlfn.XLOOKUP(
      AW$6,
      Actuals!$H$3:$BD$3,
      Actuals!$H:$BD
   )
)</f>
        <v>-</v>
      </c>
      <c r="AX44" s="267" t="str" cm="1">
        <f t="array" ref="AX44">_xlfn.XLOOKUP(
   $B$4&amp;" "&amp;$B44,
   Actuals!$D:$D,
   _xlfn.XLOOKUP(
      AX$6,
      Actuals!$H$3:$BD$3,
      Actuals!$H:$BD
   )
)</f>
        <v>-</v>
      </c>
      <c r="AY44" s="267" t="str" cm="1">
        <f t="array" ref="AY44">_xlfn.XLOOKUP(
   $B$4&amp;" "&amp;$B44,
   Actuals!$D:$D,
   _xlfn.XLOOKUP(
      AY$6,
      Actuals!$H$3:$BD$3,
      Actuals!$H:$BD
   )
)</f>
        <v>-</v>
      </c>
      <c r="AZ44" s="267" t="str" cm="1">
        <f t="array" ref="AZ44">_xlfn.XLOOKUP(
   $B$4&amp;" "&amp;$B44,
   Actuals!$D:$D,
   _xlfn.XLOOKUP(
      AZ$6,
      Actuals!$H$3:$BD$3,
      Actuals!$H:$BD
   )
)</f>
        <v>-</v>
      </c>
      <c r="BA44" s="267"/>
      <c r="BB44" s="267" t="str" cm="1">
        <f t="array" ref="BB44">_xlfn.XLOOKUP(
   $B$4&amp;" "&amp;$B44,
   Actuals!$D:$D,
   _xlfn.XLOOKUP(
      BB$7,
      Actuals!$H$3:$BM$3,
      Actuals!$H:$BM
   )
)</f>
        <v>-</v>
      </c>
      <c r="BC44" s="267">
        <f>IFERROR(VLOOKUP($B$4&amp;" "&amp;$B44,Budget!$AG$4:$AL$132,$BB$5+1,FALSE),"n.a.")</f>
        <v>0.72768750000000004</v>
      </c>
      <c r="BD44" s="267" t="str">
        <f>IFERROR(BB44-BC44,"-")</f>
        <v>-</v>
      </c>
      <c r="BE44" s="267"/>
      <c r="BF44" s="267" t="str" cm="1">
        <f t="array" ref="BF44">_xlfn.XLOOKUP(
   $B$4&amp;" "&amp;$B44,
   Actuals!$D:$D,
   _xlfn.XLOOKUP(
      BF$7,
      Actuals!$H$3:$BM$3,
      Actuals!$H:$BM
   )
)</f>
        <v>-</v>
      </c>
      <c r="BG44" s="267">
        <f>IFERROR(VLOOKUP($B$4&amp;" "&amp;$B44,Budget!$AG$4:$AL$132,$BF$5+1,FALSE),"n.a.")</f>
        <v>0.56194</v>
      </c>
      <c r="BH44" s="267" t="str">
        <f>IFERROR(BF44-BG44,"-")</f>
        <v>-</v>
      </c>
      <c r="BI44" s="267"/>
      <c r="BJ44" s="267" t="str" cm="1">
        <f t="array" ref="BJ44">_xlfn.XLOOKUP(
   $B$4&amp;" "&amp;$B44,
   Actuals!$D:$D,
   _xlfn.XLOOKUP(
      BJ$7,
      Actuals!$H$3:$BM$3,
      Actuals!$H:$BM
   )
)</f>
        <v>-</v>
      </c>
      <c r="BK44" s="267">
        <f>IFERROR(VLOOKUP($B$4&amp;" "&amp;$B44,Budget!$AG$4:$AL$132,$BJ$5+1,FALSE),"n.a.")</f>
        <v>0.56002888888888891</v>
      </c>
      <c r="BL44" s="267" t="str">
        <f>IFERROR(BJ44-BK44,"-")</f>
        <v>-</v>
      </c>
      <c r="BM44" s="267"/>
      <c r="BN44" s="267" t="str" cm="1">
        <f t="array" ref="BN44">_xlfn.XLOOKUP(
   $B$4&amp;" "&amp;$B44,
   Actuals!$D:$D,
   _xlfn.XLOOKUP(
      BN$7,
      Actuals!$H$3:$BM$3,
      Actuals!$H:$BM
   )
)</f>
        <v>-</v>
      </c>
      <c r="BO44" s="267">
        <f>IFERROR(VLOOKUP($B$4&amp;" "&amp;$B44,Budget!$AG$4:$AL$132,$BN$5+1,FALSE),"n.a.")</f>
        <v>0.44255689655172414</v>
      </c>
      <c r="BP44" s="267"/>
      <c r="BQ44" s="267"/>
      <c r="BR44" s="267" cm="1">
        <f t="array" aca="1" ref="BR44" ca="1">_xlfn.XLOOKUP(
   $B$4&amp;" "&amp;$B44,
   Actuals!$D:$D,
   _xlfn.XLOOKUP(
      BR$6,
      Actuals!$H$3:$BM$3,
      Actuals!$H:$BM
   )
)</f>
        <v>3.1209539480374553</v>
      </c>
      <c r="BS44" s="267">
        <f ca="1">VLOOKUP($B$4&amp;" "&amp;$B44,Budget!$AG$4:$AL$132,6,FALSE)</f>
        <v>0.55338833333333337</v>
      </c>
      <c r="BT44" s="267">
        <f ca="1">BR44-BS44</f>
        <v>2.5675656147041219</v>
      </c>
      <c r="BU44" s="267"/>
      <c r="BV44" s="267" t="str" cm="1">
        <f t="array" ref="BV44">_xlfn.XLOOKUP(
   $B$4&amp;" "&amp;$B44,
   Actuals!$D:$D,
   _xlfn.XLOOKUP(
      BV$6,
      Actuals!$H$3:$BM$3,
      Actuals!$H:$BM
   )
)</f>
        <v/>
      </c>
    </row>
    <row r="45" spans="2:74">
      <c r="O45" s="285"/>
      <c r="P45" s="285"/>
      <c r="Q45" s="285"/>
      <c r="R45" s="285"/>
      <c r="S45" s="285"/>
      <c r="T45" s="285"/>
      <c r="U45" s="285"/>
      <c r="V45" s="285"/>
      <c r="W45" s="285"/>
      <c r="X45" s="285"/>
      <c r="Y45" s="285"/>
      <c r="Z45" s="285"/>
      <c r="AA45" s="285"/>
      <c r="AB45" s="285"/>
      <c r="AC45" s="285"/>
      <c r="AD45" s="285"/>
      <c r="AE45" s="285"/>
      <c r="AF45" s="285"/>
      <c r="AG45" s="285"/>
      <c r="AH45" s="285"/>
      <c r="AI45" s="285"/>
      <c r="AJ45" s="285"/>
      <c r="AK45" s="285"/>
      <c r="AL45" s="285"/>
      <c r="AM45" s="285"/>
      <c r="AN45" s="285"/>
      <c r="AO45" s="285"/>
      <c r="AP45" s="285"/>
      <c r="AQ45" s="285"/>
      <c r="AR45" s="285"/>
      <c r="AS45" s="285"/>
      <c r="AT45" s="285"/>
      <c r="AU45" s="285"/>
      <c r="AV45" s="285"/>
      <c r="AW45" s="285"/>
      <c r="AX45" s="285"/>
      <c r="AY45" s="285"/>
      <c r="AZ45" s="285"/>
      <c r="BA45" s="285"/>
      <c r="BB45" s="285"/>
      <c r="BC45" s="285"/>
      <c r="BD45" s="285"/>
      <c r="BE45" s="285"/>
      <c r="BF45" s="285"/>
      <c r="BG45" s="285"/>
      <c r="BH45" s="285"/>
      <c r="BI45" s="285"/>
      <c r="BJ45" s="285"/>
      <c r="BK45" s="285"/>
      <c r="BL45" s="285"/>
      <c r="BM45" s="285"/>
      <c r="BN45" s="285"/>
      <c r="BO45" s="285"/>
      <c r="BP45" s="285"/>
      <c r="BQ45" s="285"/>
      <c r="BR45" s="285"/>
      <c r="BS45" s="285"/>
      <c r="BT45" s="285"/>
      <c r="BU45" s="285"/>
    </row>
    <row r="46" spans="2:74" ht="13">
      <c r="B46" s="126" t="s">
        <v>101</v>
      </c>
      <c r="C46" s="138"/>
      <c r="D46" s="174"/>
      <c r="E46" s="166"/>
      <c r="F46" s="166"/>
      <c r="G46" s="166"/>
      <c r="H46" s="166"/>
      <c r="I46" s="166"/>
      <c r="J46" s="166"/>
      <c r="K46" s="166"/>
      <c r="L46" s="166"/>
      <c r="M46" s="166"/>
      <c r="N46" s="166"/>
      <c r="O46" s="332"/>
      <c r="P46" s="332"/>
      <c r="Q46" s="332"/>
      <c r="R46" s="332"/>
      <c r="S46" s="332"/>
      <c r="T46" s="332"/>
      <c r="U46" s="332"/>
      <c r="V46" s="332"/>
      <c r="W46" s="332"/>
      <c r="X46" s="332"/>
      <c r="Y46" s="332"/>
      <c r="Z46" s="332"/>
      <c r="AA46" s="332"/>
      <c r="AB46" s="332"/>
      <c r="AC46" s="332"/>
      <c r="AD46" s="332"/>
      <c r="AE46" s="332"/>
      <c r="AF46" s="332"/>
      <c r="AG46" s="332"/>
      <c r="AH46" s="332"/>
      <c r="AI46" s="332"/>
      <c r="AJ46" s="332"/>
      <c r="AK46" s="332"/>
      <c r="AL46" s="332"/>
      <c r="AM46" s="332"/>
      <c r="AN46" s="332"/>
      <c r="AO46" s="332"/>
      <c r="AP46" s="332"/>
      <c r="AQ46" s="332"/>
      <c r="AR46" s="332"/>
      <c r="AS46" s="332"/>
      <c r="AT46" s="332"/>
      <c r="AU46" s="332"/>
      <c r="AV46" s="332"/>
      <c r="AW46" s="332"/>
      <c r="AX46" s="332"/>
      <c r="AY46" s="332"/>
      <c r="AZ46" s="332"/>
      <c r="BA46" s="332"/>
      <c r="BB46" s="332"/>
      <c r="BC46" s="332"/>
      <c r="BD46" s="332"/>
      <c r="BE46" s="332"/>
      <c r="BF46" s="332"/>
      <c r="BG46" s="332"/>
      <c r="BH46" s="332"/>
      <c r="BI46" s="332"/>
      <c r="BJ46" s="332"/>
      <c r="BK46" s="332"/>
      <c r="BL46" s="332"/>
      <c r="BM46" s="332"/>
      <c r="BN46" s="332"/>
      <c r="BO46" s="332"/>
      <c r="BP46" s="332"/>
      <c r="BQ46" s="332"/>
      <c r="BR46" s="332"/>
      <c r="BS46" s="332"/>
      <c r="BT46" s="332"/>
      <c r="BU46" s="332"/>
      <c r="BV46" s="332"/>
    </row>
    <row r="47" spans="2:74">
      <c r="B47" s="353" t="s">
        <v>135</v>
      </c>
      <c r="O47" s="285"/>
      <c r="P47" s="285"/>
      <c r="Q47" s="285"/>
      <c r="R47" s="285"/>
      <c r="S47" s="285"/>
      <c r="T47" s="285"/>
      <c r="U47" s="285"/>
      <c r="V47" s="285"/>
      <c r="W47" s="285"/>
      <c r="X47" s="285"/>
      <c r="Y47" s="285"/>
      <c r="Z47" s="285"/>
      <c r="AA47" s="285"/>
      <c r="AB47" s="285"/>
      <c r="AC47" s="285"/>
      <c r="AD47" s="285"/>
      <c r="AE47" s="285"/>
      <c r="AF47" s="285"/>
      <c r="AG47" s="285"/>
      <c r="AH47" s="285"/>
      <c r="AI47" s="285"/>
      <c r="AJ47" s="285"/>
      <c r="AK47" s="285"/>
      <c r="AL47" s="285"/>
      <c r="AM47" s="285"/>
      <c r="AN47" s="285"/>
      <c r="AO47" s="285"/>
      <c r="AP47" s="285"/>
      <c r="AQ47" s="285"/>
      <c r="AR47" s="285"/>
      <c r="AS47" s="285"/>
      <c r="AT47" s="285"/>
      <c r="AU47" s="285"/>
      <c r="AV47" s="285"/>
      <c r="AW47" s="285"/>
      <c r="AX47" s="285"/>
      <c r="AY47" s="285"/>
      <c r="AZ47" s="285"/>
      <c r="BA47" s="285"/>
      <c r="BB47" s="285"/>
      <c r="BC47" s="285"/>
      <c r="BD47" s="285"/>
      <c r="BE47" s="285"/>
      <c r="BF47" s="285"/>
      <c r="BG47" s="285"/>
      <c r="BH47" s="285"/>
      <c r="BI47" s="285"/>
      <c r="BJ47" s="285"/>
      <c r="BK47" s="285"/>
      <c r="BL47" s="285"/>
      <c r="BM47" s="285"/>
      <c r="BN47" s="285"/>
      <c r="BO47" s="285"/>
      <c r="BP47" s="285"/>
      <c r="BQ47" s="285"/>
      <c r="BR47" s="285"/>
      <c r="BS47" s="285"/>
      <c r="BT47" s="285"/>
      <c r="BU47" s="285"/>
    </row>
    <row r="48" spans="2:74">
      <c r="O48" s="285"/>
      <c r="P48" s="285"/>
      <c r="Q48" s="285"/>
      <c r="R48" s="285"/>
      <c r="S48" s="285"/>
      <c r="T48" s="285"/>
      <c r="U48" s="285"/>
      <c r="V48" s="285"/>
      <c r="W48" s="285"/>
      <c r="X48" s="285"/>
      <c r="Y48" s="285"/>
      <c r="Z48" s="285"/>
      <c r="AA48" s="285"/>
      <c r="AB48" s="285"/>
      <c r="AC48" s="285"/>
      <c r="AD48" s="285"/>
      <c r="AE48" s="285"/>
      <c r="AF48" s="285"/>
      <c r="AG48" s="285"/>
      <c r="AH48" s="285"/>
      <c r="AI48" s="285"/>
      <c r="AJ48" s="285"/>
      <c r="AK48" s="285"/>
      <c r="AL48" s="285"/>
      <c r="AM48" s="285"/>
      <c r="AN48" s="285"/>
      <c r="AO48" s="285"/>
      <c r="AP48" s="285"/>
      <c r="AQ48" s="285"/>
      <c r="AR48" s="285"/>
      <c r="AS48" s="285"/>
      <c r="AT48" s="285"/>
      <c r="AU48" s="285"/>
      <c r="AV48" s="285"/>
      <c r="AW48" s="285"/>
      <c r="AX48" s="285"/>
      <c r="AY48" s="285"/>
      <c r="AZ48" s="285"/>
      <c r="BA48" s="285"/>
      <c r="BB48" s="285"/>
      <c r="BC48" s="285"/>
      <c r="BD48" s="285"/>
      <c r="BE48" s="285"/>
      <c r="BF48" s="285"/>
      <c r="BG48" s="285"/>
      <c r="BH48" s="285"/>
      <c r="BI48" s="285"/>
      <c r="BJ48" s="285"/>
      <c r="BK48" s="285"/>
      <c r="BL48" s="285"/>
      <c r="BM48" s="285"/>
      <c r="BN48" s="285"/>
      <c r="BO48" s="285"/>
      <c r="BP48" s="285"/>
      <c r="BQ48" s="285"/>
      <c r="BR48" s="285"/>
      <c r="BS48" s="285"/>
      <c r="BT48" s="285"/>
      <c r="BU48" s="285"/>
    </row>
    <row r="49" spans="15:73">
      <c r="O49" s="285"/>
      <c r="P49" s="285"/>
      <c r="Q49" s="285"/>
      <c r="R49" s="285"/>
      <c r="S49" s="285"/>
      <c r="T49" s="285"/>
      <c r="U49" s="285"/>
      <c r="V49" s="285"/>
      <c r="W49" s="285"/>
      <c r="X49" s="285"/>
      <c r="Y49" s="285"/>
      <c r="Z49" s="285"/>
      <c r="AA49" s="285"/>
      <c r="AB49" s="285"/>
      <c r="AC49" s="285"/>
      <c r="AD49" s="285"/>
      <c r="AE49" s="285"/>
      <c r="AF49" s="285"/>
      <c r="AG49" s="285"/>
      <c r="AH49" s="285"/>
      <c r="AI49" s="285"/>
      <c r="AJ49" s="285"/>
      <c r="AK49" s="285"/>
      <c r="AL49" s="285"/>
      <c r="AM49" s="285"/>
      <c r="AN49" s="285"/>
      <c r="AO49" s="285"/>
      <c r="AP49" s="285"/>
      <c r="AQ49" s="285"/>
      <c r="AR49" s="285"/>
      <c r="AS49" s="285"/>
      <c r="AT49" s="285"/>
      <c r="AU49" s="285"/>
      <c r="AV49" s="285"/>
      <c r="AW49" s="285"/>
      <c r="AX49" s="285"/>
      <c r="AY49" s="285"/>
      <c r="AZ49" s="285"/>
      <c r="BA49" s="285"/>
      <c r="BB49" s="285"/>
      <c r="BC49" s="285"/>
      <c r="BD49" s="285"/>
      <c r="BE49" s="285"/>
      <c r="BF49" s="285"/>
      <c r="BG49" s="285"/>
      <c r="BH49" s="285"/>
      <c r="BI49" s="285"/>
      <c r="BJ49" s="285"/>
      <c r="BK49" s="285"/>
      <c r="BL49" s="285"/>
      <c r="BM49" s="285"/>
      <c r="BN49" s="285"/>
      <c r="BO49" s="285"/>
      <c r="BP49" s="285"/>
      <c r="BQ49" s="285"/>
      <c r="BR49" s="285"/>
      <c r="BS49" s="285"/>
      <c r="BT49" s="285"/>
      <c r="BU49" s="285"/>
    </row>
    <row r="50" spans="15:73">
      <c r="O50" s="285"/>
      <c r="P50" s="285"/>
      <c r="Q50" s="285"/>
      <c r="R50" s="285"/>
      <c r="S50" s="285"/>
      <c r="T50" s="285"/>
      <c r="U50" s="285"/>
      <c r="V50" s="285"/>
      <c r="W50" s="285"/>
      <c r="X50" s="285"/>
      <c r="Y50" s="285"/>
      <c r="Z50" s="285"/>
      <c r="AA50" s="285"/>
      <c r="AB50" s="285"/>
      <c r="AC50" s="285"/>
      <c r="AD50" s="285"/>
      <c r="AE50" s="285"/>
      <c r="AF50" s="285"/>
      <c r="AG50" s="285"/>
      <c r="AH50" s="285"/>
      <c r="AI50" s="285"/>
      <c r="AJ50" s="285"/>
      <c r="AK50" s="285"/>
      <c r="AL50" s="285"/>
      <c r="AM50" s="285"/>
      <c r="AN50" s="285"/>
      <c r="AO50" s="285"/>
      <c r="AP50" s="285"/>
      <c r="AQ50" s="285"/>
      <c r="AR50" s="285"/>
      <c r="AS50" s="285"/>
      <c r="AT50" s="285"/>
      <c r="AU50" s="285"/>
      <c r="AV50" s="285"/>
      <c r="AW50" s="285"/>
      <c r="AX50" s="285"/>
      <c r="AY50" s="285"/>
      <c r="AZ50" s="285"/>
      <c r="BA50" s="285"/>
      <c r="BB50" s="285"/>
      <c r="BC50" s="285"/>
      <c r="BD50" s="285"/>
      <c r="BE50" s="285"/>
      <c r="BF50" s="285"/>
      <c r="BG50" s="285"/>
      <c r="BH50" s="285"/>
      <c r="BI50" s="285"/>
      <c r="BJ50" s="285"/>
      <c r="BK50" s="285"/>
      <c r="BL50" s="285"/>
      <c r="BM50" s="285"/>
      <c r="BN50" s="285"/>
      <c r="BO50" s="285"/>
      <c r="BP50" s="285"/>
      <c r="BQ50" s="285"/>
      <c r="BR50" s="285"/>
      <c r="BS50" s="285"/>
      <c r="BT50" s="285"/>
      <c r="BU50" s="285"/>
    </row>
    <row r="51" spans="15:73">
      <c r="O51" s="285"/>
      <c r="P51" s="285"/>
      <c r="Q51" s="285"/>
      <c r="R51" s="285"/>
      <c r="S51" s="285"/>
      <c r="T51" s="285"/>
      <c r="U51" s="285"/>
      <c r="V51" s="285"/>
      <c r="W51" s="285"/>
      <c r="X51" s="285"/>
      <c r="Y51" s="285"/>
      <c r="Z51" s="285"/>
      <c r="AA51" s="285"/>
      <c r="AB51" s="285"/>
      <c r="AC51" s="285"/>
      <c r="AD51" s="285"/>
      <c r="AE51" s="285"/>
      <c r="AF51" s="285"/>
      <c r="AG51" s="285"/>
      <c r="AH51" s="285"/>
      <c r="AI51" s="285"/>
      <c r="AJ51" s="285"/>
      <c r="AK51" s="285"/>
      <c r="AL51" s="285"/>
      <c r="AM51" s="285"/>
      <c r="AN51" s="285"/>
      <c r="AO51" s="285"/>
      <c r="AP51" s="285"/>
      <c r="AQ51" s="285"/>
      <c r="AR51" s="285"/>
      <c r="AS51" s="285"/>
      <c r="AT51" s="285"/>
      <c r="AU51" s="285"/>
      <c r="AV51" s="285"/>
      <c r="AW51" s="285"/>
      <c r="AX51" s="285"/>
      <c r="AY51" s="285"/>
      <c r="AZ51" s="285"/>
      <c r="BA51" s="285"/>
      <c r="BB51" s="285"/>
      <c r="BC51" s="285"/>
      <c r="BD51" s="285"/>
      <c r="BE51" s="285"/>
      <c r="BF51" s="285"/>
      <c r="BG51" s="285"/>
      <c r="BH51" s="285"/>
      <c r="BI51" s="285"/>
      <c r="BJ51" s="285"/>
      <c r="BK51" s="285"/>
      <c r="BL51" s="285"/>
      <c r="BM51" s="285"/>
      <c r="BN51" s="285"/>
      <c r="BO51" s="285"/>
      <c r="BP51" s="285"/>
      <c r="BQ51" s="285"/>
      <c r="BR51" s="285"/>
      <c r="BS51" s="285"/>
      <c r="BT51" s="285"/>
      <c r="BU51" s="285"/>
    </row>
    <row r="52" spans="15:73">
      <c r="O52" s="285"/>
      <c r="P52" s="285"/>
      <c r="Q52" s="285"/>
      <c r="R52" s="285"/>
      <c r="S52" s="285"/>
      <c r="T52" s="285"/>
      <c r="U52" s="285"/>
      <c r="V52" s="285"/>
      <c r="W52" s="285"/>
      <c r="X52" s="285"/>
      <c r="Y52" s="285"/>
      <c r="Z52" s="285"/>
      <c r="AA52" s="285"/>
      <c r="AB52" s="285"/>
      <c r="AC52" s="285"/>
      <c r="AD52" s="285"/>
      <c r="AE52" s="285"/>
      <c r="AF52" s="285"/>
      <c r="AG52" s="285"/>
      <c r="AH52" s="285"/>
      <c r="AI52" s="285"/>
      <c r="AJ52" s="285"/>
      <c r="AK52" s="285"/>
      <c r="AL52" s="285"/>
      <c r="AM52" s="285"/>
      <c r="AN52" s="285"/>
      <c r="AO52" s="285"/>
      <c r="AP52" s="285"/>
      <c r="AQ52" s="285"/>
      <c r="AR52" s="285"/>
      <c r="AS52" s="285"/>
      <c r="AT52" s="285"/>
      <c r="AU52" s="285"/>
      <c r="AV52" s="285"/>
      <c r="AW52" s="285"/>
      <c r="AX52" s="285"/>
      <c r="AY52" s="285"/>
      <c r="AZ52" s="285"/>
      <c r="BA52" s="285"/>
      <c r="BB52" s="285"/>
      <c r="BC52" s="285"/>
      <c r="BD52" s="285"/>
      <c r="BE52" s="285"/>
      <c r="BF52" s="285"/>
      <c r="BG52" s="285"/>
      <c r="BH52" s="285"/>
      <c r="BI52" s="285"/>
      <c r="BJ52" s="285"/>
      <c r="BK52" s="285"/>
      <c r="BL52" s="285"/>
      <c r="BM52" s="285"/>
      <c r="BN52" s="285"/>
      <c r="BO52" s="285"/>
      <c r="BP52" s="285"/>
      <c r="BQ52" s="285"/>
      <c r="BR52" s="285"/>
      <c r="BS52" s="285"/>
      <c r="BT52" s="285"/>
      <c r="BU52" s="285"/>
    </row>
    <row r="53" spans="15:73">
      <c r="O53" s="285"/>
      <c r="P53" s="285"/>
      <c r="Q53" s="285"/>
      <c r="R53" s="285"/>
      <c r="S53" s="285"/>
      <c r="T53" s="285"/>
      <c r="U53" s="285"/>
      <c r="V53" s="285"/>
      <c r="W53" s="285"/>
      <c r="X53" s="285"/>
      <c r="Y53" s="285"/>
      <c r="Z53" s="285"/>
      <c r="AA53" s="285"/>
      <c r="AB53" s="285"/>
      <c r="AC53" s="285"/>
      <c r="AD53" s="285"/>
      <c r="AE53" s="285"/>
      <c r="AF53" s="285"/>
      <c r="AG53" s="285"/>
      <c r="AH53" s="285"/>
      <c r="AI53" s="285"/>
      <c r="AJ53" s="285"/>
      <c r="AK53" s="285"/>
      <c r="AL53" s="285"/>
      <c r="AM53" s="285"/>
      <c r="AN53" s="285"/>
      <c r="AO53" s="285"/>
      <c r="AP53" s="285"/>
      <c r="AQ53" s="285"/>
      <c r="AR53" s="285"/>
      <c r="AS53" s="285"/>
      <c r="AT53" s="285"/>
      <c r="AU53" s="285"/>
      <c r="AV53" s="285"/>
      <c r="AW53" s="285"/>
      <c r="AX53" s="285"/>
      <c r="AY53" s="285"/>
      <c r="AZ53" s="285"/>
      <c r="BA53" s="285"/>
      <c r="BB53" s="285"/>
      <c r="BC53" s="285"/>
      <c r="BD53" s="285"/>
      <c r="BE53" s="285"/>
      <c r="BF53" s="285"/>
      <c r="BG53" s="285"/>
      <c r="BH53" s="285"/>
      <c r="BI53" s="285"/>
      <c r="BJ53" s="285"/>
      <c r="BK53" s="285"/>
      <c r="BL53" s="285"/>
      <c r="BM53" s="285"/>
      <c r="BN53" s="285"/>
      <c r="BO53" s="285"/>
      <c r="BP53" s="285"/>
      <c r="BQ53" s="285"/>
      <c r="BR53" s="285"/>
      <c r="BS53" s="285"/>
      <c r="BT53" s="285"/>
      <c r="BU53" s="285"/>
    </row>
    <row r="54" spans="15:73">
      <c r="O54" s="285"/>
      <c r="P54" s="285"/>
      <c r="Q54" s="285"/>
      <c r="R54" s="285"/>
      <c r="S54" s="285"/>
      <c r="T54" s="285"/>
      <c r="U54" s="285"/>
      <c r="V54" s="285"/>
      <c r="W54" s="285"/>
      <c r="X54" s="285"/>
      <c r="Y54" s="285"/>
      <c r="Z54" s="285"/>
      <c r="AA54" s="285"/>
      <c r="AB54" s="285"/>
      <c r="AC54" s="285"/>
      <c r="AD54" s="285"/>
      <c r="AE54" s="285"/>
      <c r="AF54" s="285"/>
      <c r="AG54" s="285"/>
      <c r="AH54" s="285"/>
      <c r="AI54" s="285"/>
      <c r="AJ54" s="285"/>
      <c r="AK54" s="285"/>
      <c r="AL54" s="285"/>
      <c r="AM54" s="285"/>
      <c r="AN54" s="285"/>
      <c r="AO54" s="285"/>
      <c r="AP54" s="285"/>
      <c r="AQ54" s="285"/>
      <c r="AR54" s="285"/>
      <c r="AS54" s="285"/>
      <c r="AT54" s="285"/>
      <c r="AU54" s="285"/>
      <c r="AV54" s="285"/>
      <c r="AW54" s="285"/>
      <c r="AX54" s="285"/>
      <c r="AY54" s="285"/>
      <c r="AZ54" s="285"/>
      <c r="BA54" s="285"/>
      <c r="BB54" s="285"/>
      <c r="BC54" s="285"/>
      <c r="BD54" s="285"/>
      <c r="BE54" s="285"/>
      <c r="BF54" s="285"/>
      <c r="BG54" s="285"/>
      <c r="BH54" s="285"/>
      <c r="BI54" s="285"/>
      <c r="BJ54" s="285"/>
      <c r="BK54" s="285"/>
      <c r="BL54" s="285"/>
      <c r="BM54" s="285"/>
      <c r="BN54" s="285"/>
      <c r="BO54" s="285"/>
      <c r="BP54" s="285"/>
      <c r="BQ54" s="285"/>
      <c r="BR54" s="285"/>
      <c r="BS54" s="285"/>
      <c r="BT54" s="285"/>
      <c r="BU54" s="285"/>
    </row>
    <row r="55" spans="15:73">
      <c r="O55" s="285"/>
      <c r="P55" s="285"/>
      <c r="Q55" s="285"/>
      <c r="R55" s="285"/>
      <c r="S55" s="285"/>
      <c r="T55" s="285"/>
      <c r="U55" s="285"/>
      <c r="V55" s="285"/>
      <c r="W55" s="285"/>
      <c r="X55" s="285"/>
      <c r="Y55" s="285"/>
      <c r="Z55" s="285"/>
      <c r="AA55" s="285"/>
      <c r="AB55" s="285"/>
      <c r="AC55" s="285"/>
      <c r="AD55" s="285"/>
      <c r="AE55" s="285"/>
      <c r="AF55" s="285"/>
      <c r="AG55" s="285"/>
      <c r="AH55" s="285"/>
      <c r="AI55" s="285"/>
      <c r="AJ55" s="285"/>
      <c r="AK55" s="285"/>
      <c r="AL55" s="285"/>
      <c r="AM55" s="285"/>
      <c r="AN55" s="285"/>
      <c r="AO55" s="285"/>
      <c r="AP55" s="285"/>
      <c r="AQ55" s="285"/>
      <c r="AR55" s="285"/>
      <c r="AS55" s="285"/>
      <c r="AT55" s="285"/>
      <c r="AU55" s="285"/>
      <c r="AV55" s="285"/>
      <c r="AW55" s="285"/>
      <c r="AX55" s="285"/>
      <c r="AY55" s="285"/>
      <c r="AZ55" s="285"/>
      <c r="BA55" s="285"/>
      <c r="BB55" s="285"/>
      <c r="BC55" s="285"/>
      <c r="BD55" s="285"/>
      <c r="BE55" s="285"/>
      <c r="BF55" s="285"/>
      <c r="BG55" s="285"/>
      <c r="BH55" s="285"/>
      <c r="BI55" s="285"/>
      <c r="BJ55" s="285"/>
      <c r="BK55" s="285"/>
      <c r="BL55" s="285"/>
      <c r="BM55" s="285"/>
      <c r="BN55" s="285"/>
      <c r="BO55" s="285"/>
      <c r="BP55" s="285"/>
      <c r="BQ55" s="285"/>
      <c r="BR55" s="285"/>
      <c r="BS55" s="285"/>
      <c r="BT55" s="285"/>
      <c r="BU55" s="285"/>
    </row>
    <row r="56" spans="15:73">
      <c r="O56" s="285"/>
      <c r="P56" s="285"/>
      <c r="Q56" s="285"/>
      <c r="R56" s="285"/>
      <c r="S56" s="285"/>
      <c r="T56" s="285"/>
      <c r="U56" s="285"/>
      <c r="V56" s="285"/>
      <c r="W56" s="285"/>
      <c r="X56" s="285"/>
      <c r="Y56" s="285"/>
      <c r="Z56" s="285"/>
      <c r="AA56" s="285"/>
      <c r="AB56" s="285"/>
      <c r="AC56" s="285"/>
      <c r="AD56" s="285"/>
      <c r="AE56" s="285"/>
      <c r="AF56" s="285"/>
      <c r="AG56" s="285"/>
      <c r="AH56" s="285"/>
      <c r="AI56" s="285"/>
      <c r="AJ56" s="285"/>
      <c r="AK56" s="285"/>
      <c r="AL56" s="285"/>
      <c r="AM56" s="285"/>
      <c r="AN56" s="285"/>
      <c r="AO56" s="285"/>
      <c r="AP56" s="285"/>
      <c r="AQ56" s="285"/>
      <c r="AR56" s="285"/>
      <c r="AS56" s="285"/>
      <c r="AT56" s="285"/>
      <c r="AU56" s="285"/>
      <c r="AV56" s="285"/>
      <c r="AW56" s="285"/>
      <c r="AX56" s="285"/>
      <c r="AY56" s="285"/>
      <c r="AZ56" s="285"/>
      <c r="BA56" s="285"/>
      <c r="BB56" s="285"/>
      <c r="BC56" s="285"/>
      <c r="BD56" s="285"/>
      <c r="BE56" s="285"/>
      <c r="BF56" s="285"/>
      <c r="BG56" s="285"/>
      <c r="BH56" s="285"/>
      <c r="BI56" s="285"/>
      <c r="BJ56" s="285"/>
      <c r="BK56" s="285"/>
      <c r="BL56" s="285"/>
      <c r="BM56" s="285"/>
      <c r="BN56" s="285"/>
      <c r="BO56" s="285"/>
      <c r="BP56" s="285"/>
      <c r="BQ56" s="285"/>
      <c r="BR56" s="285"/>
      <c r="BS56" s="285"/>
      <c r="BT56" s="285"/>
      <c r="BU56" s="285"/>
    </row>
    <row r="57" spans="15:73">
      <c r="O57" s="285"/>
      <c r="P57" s="285"/>
      <c r="Q57" s="285"/>
      <c r="R57" s="285"/>
      <c r="S57" s="285"/>
      <c r="T57" s="285"/>
      <c r="U57" s="285"/>
      <c r="V57" s="285"/>
      <c r="W57" s="285"/>
      <c r="X57" s="285"/>
      <c r="Y57" s="285"/>
      <c r="Z57" s="285"/>
      <c r="AA57" s="285"/>
      <c r="AB57" s="285"/>
      <c r="AC57" s="285"/>
      <c r="AD57" s="285"/>
      <c r="AE57" s="285"/>
      <c r="AF57" s="285"/>
      <c r="AG57" s="285"/>
      <c r="AH57" s="285"/>
      <c r="AI57" s="285"/>
      <c r="AJ57" s="285"/>
      <c r="AK57" s="285"/>
      <c r="AL57" s="285"/>
      <c r="AM57" s="285"/>
      <c r="AN57" s="285"/>
      <c r="AO57" s="285"/>
      <c r="AP57" s="285"/>
      <c r="AQ57" s="285"/>
      <c r="AR57" s="285"/>
      <c r="AS57" s="285"/>
      <c r="AT57" s="285"/>
      <c r="AU57" s="285"/>
      <c r="AV57" s="285"/>
      <c r="AW57" s="285"/>
      <c r="AX57" s="285"/>
      <c r="AY57" s="285"/>
      <c r="AZ57" s="285"/>
      <c r="BA57" s="285"/>
      <c r="BB57" s="285"/>
      <c r="BC57" s="285"/>
      <c r="BD57" s="285"/>
      <c r="BE57" s="285"/>
      <c r="BF57" s="285"/>
      <c r="BG57" s="285"/>
      <c r="BH57" s="285"/>
      <c r="BI57" s="285"/>
      <c r="BJ57" s="285"/>
      <c r="BK57" s="285"/>
      <c r="BL57" s="285"/>
      <c r="BM57" s="285"/>
      <c r="BN57" s="285"/>
      <c r="BO57" s="285"/>
      <c r="BP57" s="285"/>
      <c r="BQ57" s="285"/>
      <c r="BR57" s="285"/>
      <c r="BS57" s="285"/>
      <c r="BT57" s="285"/>
      <c r="BU57" s="285"/>
    </row>
    <row r="58" spans="15:73">
      <c r="O58" s="285"/>
      <c r="P58" s="285"/>
      <c r="Q58" s="285"/>
      <c r="R58" s="285"/>
      <c r="S58" s="285"/>
      <c r="T58" s="285"/>
      <c r="U58" s="285"/>
      <c r="V58" s="285"/>
      <c r="W58" s="285"/>
      <c r="X58" s="285"/>
      <c r="Y58" s="285"/>
      <c r="Z58" s="285"/>
      <c r="AA58" s="285"/>
      <c r="AB58" s="285"/>
      <c r="AC58" s="285"/>
      <c r="AD58" s="285"/>
      <c r="AE58" s="285"/>
      <c r="AF58" s="285"/>
      <c r="AG58" s="285"/>
      <c r="AH58" s="285"/>
      <c r="AI58" s="285"/>
      <c r="AJ58" s="285"/>
      <c r="AK58" s="285"/>
      <c r="AL58" s="285"/>
      <c r="AM58" s="285"/>
      <c r="AN58" s="285"/>
      <c r="AO58" s="285"/>
      <c r="AP58" s="285"/>
      <c r="AQ58" s="285"/>
      <c r="AR58" s="285"/>
      <c r="AS58" s="285"/>
      <c r="AT58" s="285"/>
      <c r="AU58" s="285"/>
      <c r="AV58" s="285"/>
      <c r="AW58" s="285"/>
      <c r="AX58" s="285"/>
      <c r="AY58" s="285"/>
      <c r="AZ58" s="285"/>
      <c r="BA58" s="285"/>
      <c r="BB58" s="285"/>
      <c r="BC58" s="285"/>
      <c r="BD58" s="285"/>
      <c r="BE58" s="285"/>
      <c r="BF58" s="285"/>
      <c r="BG58" s="285"/>
      <c r="BH58" s="285"/>
      <c r="BI58" s="285"/>
      <c r="BJ58" s="285"/>
      <c r="BK58" s="285"/>
      <c r="BL58" s="285"/>
      <c r="BM58" s="285"/>
      <c r="BN58" s="285"/>
      <c r="BO58" s="285"/>
      <c r="BP58" s="285"/>
      <c r="BQ58" s="285"/>
      <c r="BR58" s="285"/>
      <c r="BS58" s="285"/>
      <c r="BT58" s="285"/>
      <c r="BU58" s="285"/>
    </row>
    <row r="59" spans="15:73">
      <c r="O59" s="285"/>
      <c r="P59" s="285"/>
      <c r="Q59" s="285"/>
      <c r="R59" s="285"/>
      <c r="S59" s="285"/>
      <c r="T59" s="285"/>
      <c r="U59" s="285"/>
      <c r="V59" s="285"/>
      <c r="W59" s="285"/>
      <c r="X59" s="285"/>
      <c r="Y59" s="285"/>
      <c r="Z59" s="285"/>
      <c r="AA59" s="285"/>
      <c r="AB59" s="285"/>
      <c r="AC59" s="285"/>
      <c r="AD59" s="285"/>
      <c r="AE59" s="285"/>
      <c r="AF59" s="285"/>
      <c r="AG59" s="285"/>
      <c r="AH59" s="285"/>
      <c r="AI59" s="285"/>
      <c r="AJ59" s="285"/>
      <c r="AK59" s="285"/>
      <c r="AL59" s="285"/>
      <c r="AM59" s="285"/>
      <c r="AN59" s="285"/>
      <c r="AO59" s="285"/>
      <c r="AP59" s="285"/>
      <c r="AQ59" s="285"/>
      <c r="AR59" s="285"/>
      <c r="AS59" s="285"/>
      <c r="AT59" s="285"/>
      <c r="AU59" s="285"/>
      <c r="AV59" s="285"/>
      <c r="AW59" s="285"/>
      <c r="AX59" s="285"/>
      <c r="AY59" s="285"/>
      <c r="AZ59" s="285"/>
      <c r="BA59" s="285"/>
      <c r="BB59" s="285"/>
      <c r="BC59" s="285"/>
      <c r="BD59" s="285"/>
      <c r="BE59" s="285"/>
      <c r="BF59" s="285"/>
      <c r="BG59" s="285"/>
      <c r="BH59" s="285"/>
      <c r="BI59" s="285"/>
      <c r="BJ59" s="285"/>
      <c r="BK59" s="285"/>
      <c r="BL59" s="285"/>
      <c r="BM59" s="285"/>
      <c r="BN59" s="285"/>
      <c r="BO59" s="285"/>
      <c r="BP59" s="285"/>
      <c r="BQ59" s="285"/>
      <c r="BR59" s="285"/>
      <c r="BS59" s="285"/>
      <c r="BT59" s="285"/>
      <c r="BU59" s="285"/>
    </row>
    <row r="60" spans="15:73">
      <c r="O60" s="285"/>
      <c r="P60" s="285"/>
      <c r="Q60" s="285"/>
      <c r="R60" s="285"/>
      <c r="S60" s="285"/>
      <c r="T60" s="285"/>
      <c r="U60" s="285"/>
      <c r="V60" s="285"/>
      <c r="W60" s="285"/>
      <c r="X60" s="285"/>
      <c r="Y60" s="285"/>
      <c r="Z60" s="285"/>
      <c r="AA60" s="285"/>
      <c r="AB60" s="285"/>
      <c r="AC60" s="285"/>
      <c r="AD60" s="285"/>
      <c r="AE60" s="285"/>
      <c r="AF60" s="285"/>
      <c r="AG60" s="285"/>
      <c r="AH60" s="285"/>
      <c r="AI60" s="285"/>
      <c r="AJ60" s="285"/>
      <c r="AK60" s="285"/>
      <c r="AL60" s="285"/>
      <c r="AM60" s="285"/>
      <c r="AN60" s="285"/>
      <c r="AO60" s="285"/>
      <c r="AP60" s="285"/>
      <c r="AQ60" s="285"/>
      <c r="AR60" s="285"/>
      <c r="AS60" s="285"/>
      <c r="AT60" s="285"/>
      <c r="AU60" s="285"/>
      <c r="AV60" s="285"/>
      <c r="AW60" s="285"/>
      <c r="AX60" s="285"/>
      <c r="AY60" s="285"/>
      <c r="AZ60" s="285"/>
      <c r="BA60" s="285"/>
      <c r="BB60" s="285"/>
      <c r="BC60" s="285"/>
      <c r="BD60" s="285"/>
      <c r="BE60" s="285"/>
      <c r="BF60" s="285"/>
      <c r="BG60" s="285"/>
      <c r="BH60" s="285"/>
      <c r="BI60" s="285"/>
      <c r="BJ60" s="285"/>
      <c r="BK60" s="285"/>
      <c r="BL60" s="285"/>
      <c r="BM60" s="285"/>
      <c r="BN60" s="285"/>
      <c r="BO60" s="285"/>
      <c r="BP60" s="285"/>
      <c r="BQ60" s="285"/>
      <c r="BR60" s="285"/>
      <c r="BS60" s="285"/>
      <c r="BT60" s="285"/>
      <c r="BU60" s="285"/>
    </row>
    <row r="61" spans="15:73">
      <c r="O61" s="285"/>
      <c r="P61" s="285"/>
      <c r="Q61" s="285"/>
      <c r="R61" s="285"/>
      <c r="S61" s="285"/>
      <c r="T61" s="285"/>
      <c r="U61" s="285"/>
      <c r="V61" s="285"/>
      <c r="W61" s="285"/>
      <c r="X61" s="285"/>
      <c r="Y61" s="285"/>
      <c r="Z61" s="285"/>
      <c r="AA61" s="285"/>
      <c r="AB61" s="285"/>
      <c r="AC61" s="285"/>
      <c r="AD61" s="285"/>
      <c r="AE61" s="285"/>
      <c r="AF61" s="285"/>
      <c r="AG61" s="285"/>
      <c r="AH61" s="285"/>
      <c r="AI61" s="285"/>
      <c r="AJ61" s="285"/>
      <c r="AK61" s="285"/>
      <c r="AL61" s="285"/>
      <c r="AM61" s="285"/>
      <c r="AN61" s="285"/>
      <c r="AO61" s="285"/>
      <c r="AP61" s="285"/>
      <c r="AQ61" s="285"/>
      <c r="AR61" s="285"/>
      <c r="AS61" s="285"/>
      <c r="AT61" s="285"/>
      <c r="AU61" s="285"/>
      <c r="AV61" s="285"/>
      <c r="AW61" s="285"/>
      <c r="AX61" s="285"/>
      <c r="AY61" s="285"/>
      <c r="AZ61" s="285"/>
      <c r="BA61" s="285"/>
      <c r="BB61" s="285"/>
      <c r="BC61" s="285"/>
      <c r="BD61" s="285"/>
      <c r="BE61" s="285"/>
      <c r="BF61" s="285"/>
      <c r="BG61" s="285"/>
      <c r="BH61" s="285"/>
      <c r="BI61" s="285"/>
      <c r="BJ61" s="285"/>
      <c r="BK61" s="285"/>
      <c r="BL61" s="285"/>
      <c r="BM61" s="285"/>
      <c r="BN61" s="285"/>
      <c r="BO61" s="285"/>
      <c r="BP61" s="285"/>
      <c r="BQ61" s="285"/>
      <c r="BR61" s="285"/>
      <c r="BS61" s="285"/>
      <c r="BT61" s="285"/>
      <c r="BU61" s="285"/>
    </row>
    <row r="62" spans="15:73">
      <c r="O62" s="285"/>
      <c r="P62" s="285"/>
      <c r="Q62" s="285"/>
      <c r="R62" s="285"/>
      <c r="S62" s="285"/>
      <c r="T62" s="285"/>
      <c r="U62" s="285"/>
      <c r="V62" s="285"/>
      <c r="W62" s="285"/>
      <c r="X62" s="285"/>
      <c r="Y62" s="285"/>
      <c r="Z62" s="285"/>
      <c r="AA62" s="285"/>
      <c r="AB62" s="285"/>
      <c r="AC62" s="285"/>
      <c r="AD62" s="285"/>
      <c r="AE62" s="285"/>
      <c r="AF62" s="285"/>
      <c r="AG62" s="285"/>
      <c r="AH62" s="285"/>
      <c r="AI62" s="285"/>
      <c r="AJ62" s="285"/>
      <c r="AK62" s="285"/>
      <c r="AL62" s="285"/>
      <c r="AM62" s="285"/>
      <c r="AN62" s="285"/>
      <c r="AO62" s="285"/>
      <c r="AP62" s="285"/>
      <c r="AQ62" s="285"/>
      <c r="AR62" s="285"/>
      <c r="AS62" s="285"/>
      <c r="AT62" s="285"/>
      <c r="AU62" s="285"/>
      <c r="AV62" s="285"/>
      <c r="AW62" s="285"/>
      <c r="AX62" s="285"/>
      <c r="AY62" s="285"/>
      <c r="AZ62" s="285"/>
      <c r="BA62" s="285"/>
      <c r="BB62" s="285"/>
      <c r="BC62" s="285"/>
      <c r="BD62" s="285"/>
      <c r="BE62" s="285"/>
      <c r="BF62" s="285"/>
      <c r="BG62" s="285"/>
      <c r="BH62" s="285"/>
      <c r="BI62" s="285"/>
      <c r="BJ62" s="285"/>
      <c r="BK62" s="285"/>
      <c r="BL62" s="285"/>
      <c r="BM62" s="285"/>
      <c r="BN62" s="285"/>
      <c r="BO62" s="285"/>
      <c r="BP62" s="285"/>
      <c r="BQ62" s="285"/>
      <c r="BR62" s="285"/>
      <c r="BS62" s="285"/>
      <c r="BT62" s="285"/>
      <c r="BU62" s="285"/>
    </row>
    <row r="63" spans="15:73">
      <c r="O63" s="285"/>
      <c r="P63" s="285"/>
      <c r="Q63" s="285"/>
      <c r="R63" s="285"/>
      <c r="S63" s="285"/>
      <c r="T63" s="285"/>
      <c r="U63" s="285"/>
      <c r="V63" s="285"/>
      <c r="W63" s="285"/>
      <c r="X63" s="285"/>
      <c r="Y63" s="285"/>
      <c r="Z63" s="285"/>
      <c r="AA63" s="285"/>
      <c r="AB63" s="285"/>
      <c r="AC63" s="285"/>
      <c r="AD63" s="285"/>
      <c r="AE63" s="285"/>
      <c r="AF63" s="285"/>
      <c r="AG63" s="285"/>
      <c r="AH63" s="285"/>
      <c r="AI63" s="285"/>
      <c r="AJ63" s="285"/>
      <c r="AK63" s="285"/>
      <c r="AL63" s="285"/>
      <c r="AM63" s="285"/>
      <c r="AN63" s="285"/>
      <c r="AO63" s="285"/>
      <c r="AP63" s="285"/>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c r="BQ63" s="285"/>
      <c r="BR63" s="285"/>
      <c r="BS63" s="285"/>
      <c r="BT63" s="285"/>
      <c r="BU63" s="285"/>
    </row>
    <row r="64" spans="15:73">
      <c r="O64" s="285"/>
      <c r="P64" s="285"/>
      <c r="Q64" s="285"/>
      <c r="R64" s="285"/>
      <c r="S64" s="285"/>
      <c r="T64" s="285"/>
      <c r="U64" s="285"/>
      <c r="V64" s="285"/>
      <c r="W64" s="285"/>
      <c r="X64" s="285"/>
      <c r="Y64" s="285"/>
      <c r="Z64" s="285"/>
      <c r="AA64" s="285"/>
      <c r="AB64" s="285"/>
      <c r="AC64" s="285"/>
      <c r="AD64" s="285"/>
      <c r="AE64" s="285"/>
      <c r="AF64" s="285"/>
      <c r="AG64" s="285"/>
      <c r="AH64" s="285"/>
      <c r="AI64" s="285"/>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c r="BQ64" s="285"/>
      <c r="BR64" s="285"/>
      <c r="BS64" s="285"/>
      <c r="BT64" s="285"/>
      <c r="BU64" s="285"/>
    </row>
    <row r="65" spans="15:73">
      <c r="O65" s="285"/>
      <c r="P65" s="285"/>
      <c r="Q65" s="285"/>
      <c r="R65" s="285"/>
      <c r="S65" s="285"/>
      <c r="T65" s="285"/>
      <c r="U65" s="285"/>
      <c r="V65" s="285"/>
      <c r="W65" s="285"/>
      <c r="X65" s="285"/>
      <c r="Y65" s="285"/>
      <c r="Z65" s="285"/>
      <c r="AA65" s="285"/>
      <c r="AB65" s="285"/>
      <c r="AC65" s="285"/>
      <c r="AD65" s="285"/>
      <c r="AE65" s="285"/>
      <c r="AF65" s="285"/>
      <c r="AG65" s="285"/>
      <c r="AH65" s="285"/>
      <c r="AI65" s="285"/>
      <c r="AJ65" s="285"/>
      <c r="AK65" s="285"/>
      <c r="AL65" s="285"/>
      <c r="AM65" s="285"/>
      <c r="AN65" s="285"/>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c r="BO65" s="285"/>
      <c r="BP65" s="285"/>
      <c r="BQ65" s="285"/>
      <c r="BR65" s="285"/>
      <c r="BS65" s="285"/>
      <c r="BT65" s="285"/>
      <c r="BU65" s="285"/>
    </row>
    <row r="66" spans="15:73">
      <c r="O66" s="285"/>
      <c r="P66" s="285"/>
      <c r="Q66" s="285"/>
      <c r="R66" s="285"/>
      <c r="S66" s="285"/>
      <c r="T66" s="285"/>
      <c r="U66" s="285"/>
      <c r="V66" s="285"/>
      <c r="W66" s="285"/>
      <c r="X66" s="285"/>
      <c r="Y66" s="285"/>
      <c r="Z66" s="285"/>
      <c r="AA66" s="285"/>
      <c r="AB66" s="285"/>
      <c r="AC66" s="285"/>
      <c r="AD66" s="285"/>
      <c r="AE66" s="285"/>
      <c r="AF66" s="285"/>
      <c r="AG66" s="285"/>
      <c r="AH66" s="285"/>
      <c r="AI66" s="285"/>
      <c r="AJ66" s="285"/>
      <c r="AK66" s="285"/>
      <c r="AL66" s="285"/>
      <c r="AM66" s="28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c r="BN66" s="285"/>
      <c r="BO66" s="285"/>
      <c r="BP66" s="285"/>
      <c r="BQ66" s="285"/>
      <c r="BR66" s="285"/>
      <c r="BS66" s="285"/>
      <c r="BT66" s="285"/>
      <c r="BU66" s="285"/>
    </row>
  </sheetData>
  <mergeCells count="10">
    <mergeCell ref="BB7:BC7"/>
    <mergeCell ref="BF7:BG7"/>
    <mergeCell ref="BJ7:BK7"/>
    <mergeCell ref="BN7:BO7"/>
    <mergeCell ref="E5:J5"/>
    <mergeCell ref="BR5:BT5"/>
    <mergeCell ref="BB5:BD5"/>
    <mergeCell ref="BF5:BH5"/>
    <mergeCell ref="BJ5:BL5"/>
    <mergeCell ref="BN5:BP5"/>
  </mergeCells>
  <pageMargins left="0.25" right="0.25" top="0.25" bottom="0.25" header="0.3" footer="0.3"/>
  <pageSetup scale="59" orientation="landscape" r:id="rId1"/>
  <headerFooter>
    <oddHeader>&amp;L&amp;"Aptos"&amp;10&amp;K000000 Internal Use Only&amp;1#_x000D_</oddHeader>
  </headerFooter>
  <ignoredErrors>
    <ignoredError sqref="BG15 BK15" formula="1"/>
  </ignoredError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D80F3-B27B-4EC6-BF53-0457FEE22F0F}">
  <sheetPr codeName="Sheet7"/>
  <dimension ref="B1:Y44"/>
  <sheetViews>
    <sheetView workbookViewId="0"/>
  </sheetViews>
  <sheetFormatPr defaultColWidth="9.1796875" defaultRowHeight="12.5"/>
  <cols>
    <col min="1" max="1" width="1.453125" style="26" customWidth="1"/>
    <col min="2" max="2" width="33.26953125" style="26" customWidth="1"/>
    <col min="3" max="3" width="6.81640625" style="135" customWidth="1"/>
    <col min="4" max="9" width="6.453125" style="26" customWidth="1"/>
    <col min="10" max="10" width="0.81640625" style="26" customWidth="1"/>
    <col min="11" max="13" width="7.453125" style="26" customWidth="1"/>
    <col min="14" max="14" width="0.81640625" style="26" customWidth="1"/>
    <col min="15" max="17" width="7.453125" style="26" customWidth="1"/>
    <col min="18" max="18" width="2.453125" style="26" customWidth="1"/>
    <col min="19" max="23" width="7.453125" style="26" customWidth="1"/>
    <col min="24" max="16384" width="9.1796875" style="26"/>
  </cols>
  <sheetData>
    <row r="1" spans="2:25" ht="6.75" customHeight="1"/>
    <row r="2" spans="2:25">
      <c r="B2" s="26" t="s">
        <v>28</v>
      </c>
    </row>
    <row r="3" spans="2:25">
      <c r="B3" s="30" t="s">
        <v>29</v>
      </c>
      <c r="C3" s="136"/>
      <c r="D3" s="30"/>
      <c r="E3" s="30"/>
      <c r="F3" s="30"/>
      <c r="G3" s="30"/>
      <c r="H3" s="30"/>
      <c r="I3" s="30"/>
      <c r="J3" s="30"/>
      <c r="K3" s="30"/>
      <c r="L3" s="30"/>
      <c r="M3" s="30"/>
      <c r="N3" s="30"/>
      <c r="O3" s="30"/>
      <c r="P3" s="30"/>
      <c r="Q3" s="30"/>
      <c r="R3" s="30"/>
      <c r="S3" s="30"/>
      <c r="T3" s="30"/>
      <c r="U3" s="30"/>
      <c r="V3" s="30"/>
      <c r="W3" s="30"/>
    </row>
    <row r="4" spans="2:25" ht="20">
      <c r="B4" s="130" t="s">
        <v>65</v>
      </c>
      <c r="C4" s="137"/>
      <c r="D4" s="130"/>
      <c r="E4" s="130"/>
      <c r="F4" s="130"/>
      <c r="G4" s="130"/>
      <c r="H4" s="130"/>
      <c r="I4" s="130"/>
      <c r="J4" s="130"/>
      <c r="K4" s="130"/>
      <c r="L4" s="130"/>
      <c r="M4" s="130"/>
      <c r="N4" s="130"/>
      <c r="O4" s="130"/>
      <c r="P4" s="130"/>
      <c r="Q4" s="130"/>
      <c r="R4" s="130"/>
      <c r="S4" s="130"/>
      <c r="T4" s="130"/>
      <c r="U4" s="130"/>
      <c r="V4" s="130"/>
      <c r="W4" s="130"/>
    </row>
    <row r="5" spans="2:25" ht="15.75" customHeight="1" thickBot="1">
      <c r="D5" s="388" t="s">
        <v>33</v>
      </c>
      <c r="E5" s="388"/>
      <c r="F5" s="388"/>
      <c r="G5" s="388"/>
      <c r="H5" s="388"/>
      <c r="I5" s="388"/>
      <c r="J5" s="146"/>
      <c r="K5" s="388" t="s">
        <v>136</v>
      </c>
      <c r="L5" s="388"/>
      <c r="M5" s="388"/>
      <c r="N5" s="146"/>
      <c r="O5" s="388" t="s">
        <v>34</v>
      </c>
      <c r="P5" s="388"/>
      <c r="Q5" s="388"/>
      <c r="T5" s="391" t="s">
        <v>137</v>
      </c>
      <c r="U5" s="391"/>
      <c r="W5" s="116" t="s">
        <v>138</v>
      </c>
    </row>
    <row r="6" spans="2:25" ht="13" thickBot="1">
      <c r="D6" s="117" t="s">
        <v>139</v>
      </c>
      <c r="E6" s="117" t="s">
        <v>140</v>
      </c>
      <c r="F6" s="117" t="s">
        <v>141</v>
      </c>
      <c r="G6" s="117" t="s">
        <v>142</v>
      </c>
      <c r="H6" s="117" t="s">
        <v>143</v>
      </c>
      <c r="I6" s="117" t="s">
        <v>144</v>
      </c>
      <c r="K6" s="118" t="s">
        <v>145</v>
      </c>
      <c r="L6" s="117" t="s">
        <v>37</v>
      </c>
      <c r="M6" s="117" t="s">
        <v>38</v>
      </c>
      <c r="O6" s="118" t="s">
        <v>39</v>
      </c>
      <c r="P6" s="117" t="s">
        <v>37</v>
      </c>
      <c r="Q6" s="117" t="s">
        <v>38</v>
      </c>
      <c r="S6" s="117" t="s">
        <v>146</v>
      </c>
      <c r="T6" s="117" t="s">
        <v>147</v>
      </c>
      <c r="U6" s="118" t="s">
        <v>148</v>
      </c>
      <c r="V6" s="118" t="s">
        <v>149</v>
      </c>
      <c r="W6" s="119" t="s">
        <v>138</v>
      </c>
      <c r="Y6" s="26" t="s">
        <v>150</v>
      </c>
    </row>
    <row r="7" spans="2:25">
      <c r="D7" s="120"/>
      <c r="E7" s="120"/>
      <c r="F7" s="120"/>
      <c r="G7" s="120"/>
      <c r="H7" s="120"/>
      <c r="I7" s="120"/>
      <c r="K7" s="121"/>
      <c r="L7" s="121"/>
      <c r="M7" s="120"/>
      <c r="O7" s="121"/>
      <c r="P7" s="121"/>
      <c r="Q7" s="120"/>
      <c r="S7" s="120"/>
      <c r="T7" s="120"/>
      <c r="U7" s="121"/>
      <c r="V7" s="121"/>
      <c r="W7" s="120"/>
    </row>
    <row r="8" spans="2:25" ht="15">
      <c r="B8" s="126" t="s">
        <v>151</v>
      </c>
      <c r="C8" s="138"/>
      <c r="D8" s="127"/>
      <c r="E8" s="127"/>
      <c r="F8" s="127"/>
      <c r="G8" s="127"/>
      <c r="H8" s="127"/>
      <c r="I8" s="127"/>
      <c r="J8" s="127"/>
      <c r="K8" s="127"/>
      <c r="L8" s="127"/>
      <c r="M8" s="127"/>
      <c r="N8" s="127"/>
      <c r="O8" s="127"/>
      <c r="P8" s="127"/>
      <c r="Q8" s="127"/>
      <c r="R8" s="127"/>
      <c r="S8" s="127"/>
      <c r="T8" s="127"/>
      <c r="U8" s="127"/>
      <c r="V8" s="127"/>
      <c r="W8" s="127"/>
    </row>
    <row r="9" spans="2:25">
      <c r="B9" s="26" t="s">
        <v>152</v>
      </c>
      <c r="C9" s="139" t="s">
        <v>49</v>
      </c>
      <c r="E9" s="122"/>
      <c r="H9" s="122"/>
      <c r="V9" s="122"/>
    </row>
    <row r="10" spans="2:25">
      <c r="B10" s="26" t="s">
        <v>153</v>
      </c>
      <c r="C10" s="139" t="s">
        <v>49</v>
      </c>
      <c r="E10" s="122"/>
      <c r="H10" s="122"/>
      <c r="V10" s="122"/>
    </row>
    <row r="11" spans="2:25">
      <c r="B11" s="29" t="s">
        <v>154</v>
      </c>
      <c r="C11" s="142" t="s">
        <v>49</v>
      </c>
      <c r="D11" s="29"/>
      <c r="E11" s="129"/>
      <c r="F11" s="29"/>
      <c r="G11" s="29"/>
      <c r="H11" s="129"/>
      <c r="I11" s="29"/>
      <c r="J11" s="29"/>
      <c r="K11" s="29"/>
      <c r="L11" s="29"/>
      <c r="M11" s="29"/>
      <c r="N11" s="29"/>
      <c r="O11" s="29"/>
      <c r="P11" s="29"/>
      <c r="Q11" s="29"/>
      <c r="R11" s="29"/>
      <c r="S11" s="29"/>
      <c r="T11" s="29"/>
      <c r="U11" s="29"/>
      <c r="V11" s="129"/>
      <c r="W11" s="29"/>
    </row>
    <row r="12" spans="2:25">
      <c r="D12" s="120"/>
      <c r="E12" s="122"/>
      <c r="G12" s="120"/>
      <c r="H12" s="122"/>
      <c r="K12" s="121"/>
      <c r="L12" s="121"/>
      <c r="M12" s="120"/>
      <c r="O12" s="121"/>
      <c r="P12" s="121"/>
      <c r="Q12" s="120"/>
      <c r="S12" s="120"/>
      <c r="T12" s="120"/>
      <c r="U12" s="121"/>
      <c r="V12" s="121"/>
      <c r="W12" s="120"/>
    </row>
    <row r="13" spans="2:25" ht="13">
      <c r="B13" s="126" t="s">
        <v>155</v>
      </c>
      <c r="C13" s="138"/>
      <c r="D13" s="127"/>
      <c r="E13" s="127"/>
      <c r="F13" s="127"/>
      <c r="G13" s="127"/>
      <c r="H13" s="127"/>
      <c r="I13" s="127"/>
      <c r="J13" s="127"/>
      <c r="K13" s="127"/>
      <c r="L13" s="127"/>
      <c r="M13" s="127"/>
      <c r="N13" s="127"/>
      <c r="O13" s="127"/>
      <c r="P13" s="127"/>
      <c r="Q13" s="127"/>
      <c r="R13" s="127"/>
      <c r="S13" s="127"/>
      <c r="T13" s="127"/>
      <c r="U13" s="127"/>
      <c r="V13" s="127"/>
      <c r="W13" s="127"/>
    </row>
    <row r="14" spans="2:25">
      <c r="B14" s="26" t="s">
        <v>72</v>
      </c>
      <c r="C14" s="139" t="s">
        <v>49</v>
      </c>
      <c r="E14" s="122"/>
      <c r="H14" s="122"/>
      <c r="V14" s="122"/>
    </row>
    <row r="15" spans="2:25">
      <c r="B15" s="26" t="s">
        <v>156</v>
      </c>
      <c r="C15" s="139" t="s">
        <v>49</v>
      </c>
      <c r="E15" s="122"/>
      <c r="H15" s="122"/>
      <c r="V15" s="122"/>
    </row>
    <row r="16" spans="2:25">
      <c r="B16" s="26" t="s">
        <v>157</v>
      </c>
      <c r="C16" s="139" t="s">
        <v>49</v>
      </c>
      <c r="E16" s="122"/>
      <c r="H16" s="122"/>
      <c r="V16" s="122"/>
    </row>
    <row r="17" spans="2:23">
      <c r="B17" s="124" t="s">
        <v>73</v>
      </c>
      <c r="C17" s="144" t="s">
        <v>49</v>
      </c>
      <c r="D17" s="124"/>
      <c r="E17" s="125"/>
      <c r="F17" s="124"/>
      <c r="G17" s="124"/>
      <c r="H17" s="125"/>
      <c r="I17" s="124"/>
      <c r="J17" s="124"/>
      <c r="K17" s="124"/>
      <c r="L17" s="124"/>
      <c r="M17" s="124"/>
      <c r="N17" s="124"/>
      <c r="O17" s="124"/>
      <c r="P17" s="124"/>
      <c r="Q17" s="124"/>
      <c r="R17" s="124"/>
      <c r="S17" s="124"/>
      <c r="T17" s="124"/>
      <c r="U17" s="124"/>
      <c r="V17" s="125"/>
      <c r="W17" s="124"/>
    </row>
    <row r="18" spans="2:23">
      <c r="B18" s="26" t="s">
        <v>75</v>
      </c>
      <c r="C18" s="139" t="s">
        <v>49</v>
      </c>
      <c r="E18" s="122"/>
      <c r="H18" s="122"/>
      <c r="V18" s="122"/>
    </row>
    <row r="19" spans="2:23">
      <c r="B19" s="124" t="s">
        <v>158</v>
      </c>
      <c r="C19" s="144" t="s">
        <v>49</v>
      </c>
      <c r="D19" s="124"/>
      <c r="E19" s="125"/>
      <c r="F19" s="124"/>
      <c r="G19" s="124"/>
      <c r="H19" s="125"/>
      <c r="I19" s="124"/>
      <c r="J19" s="124"/>
      <c r="K19" s="124"/>
      <c r="L19" s="124"/>
      <c r="M19" s="124"/>
      <c r="N19" s="124"/>
      <c r="O19" s="124"/>
      <c r="P19" s="124"/>
      <c r="Q19" s="124"/>
      <c r="R19" s="124"/>
      <c r="S19" s="124"/>
      <c r="T19" s="124"/>
      <c r="U19" s="124"/>
      <c r="V19" s="125"/>
      <c r="W19" s="124"/>
    </row>
    <row r="20" spans="2:23">
      <c r="B20" s="26" t="s">
        <v>76</v>
      </c>
      <c r="C20" s="139" t="s">
        <v>49</v>
      </c>
      <c r="E20" s="122"/>
      <c r="H20" s="122"/>
      <c r="V20" s="122"/>
    </row>
    <row r="21" spans="2:23">
      <c r="B21" s="26" t="s">
        <v>159</v>
      </c>
      <c r="C21" s="139" t="s">
        <v>49</v>
      </c>
      <c r="E21" s="122"/>
      <c r="H21" s="122"/>
      <c r="V21" s="122"/>
    </row>
    <row r="22" spans="2:23">
      <c r="C22" s="139"/>
      <c r="E22" s="122"/>
      <c r="H22" s="122"/>
      <c r="V22" s="122"/>
    </row>
    <row r="23" spans="2:23" ht="13">
      <c r="B23" s="126" t="s">
        <v>160</v>
      </c>
      <c r="C23" s="145"/>
      <c r="D23" s="128"/>
      <c r="E23" s="128"/>
      <c r="F23" s="128"/>
      <c r="G23" s="128"/>
      <c r="H23" s="128"/>
      <c r="I23" s="128"/>
      <c r="J23" s="128"/>
      <c r="K23" s="128"/>
      <c r="L23" s="128"/>
      <c r="M23" s="128"/>
      <c r="N23" s="128"/>
      <c r="O23" s="128"/>
      <c r="P23" s="128"/>
      <c r="Q23" s="128"/>
      <c r="R23" s="128"/>
      <c r="S23" s="128"/>
      <c r="T23" s="128"/>
      <c r="U23" s="128"/>
      <c r="V23" s="128"/>
      <c r="W23" s="128"/>
    </row>
    <row r="24" spans="2:23">
      <c r="B24" s="26" t="s">
        <v>161</v>
      </c>
      <c r="C24" s="139" t="s">
        <v>47</v>
      </c>
      <c r="E24" s="122"/>
      <c r="H24" s="122"/>
      <c r="V24" s="122"/>
    </row>
    <row r="25" spans="2:23">
      <c r="B25" s="26" t="s">
        <v>162</v>
      </c>
      <c r="C25" s="139" t="s">
        <v>47</v>
      </c>
      <c r="E25" s="122"/>
      <c r="H25" s="122"/>
      <c r="V25" s="122"/>
    </row>
    <row r="26" spans="2:23">
      <c r="B26" s="26" t="s">
        <v>163</v>
      </c>
      <c r="C26" s="139" t="s">
        <v>47</v>
      </c>
      <c r="E26" s="122"/>
      <c r="H26" s="122"/>
      <c r="V26" s="122"/>
    </row>
    <row r="27" spans="2:23">
      <c r="B27" s="29" t="s">
        <v>164</v>
      </c>
      <c r="C27" s="142" t="s">
        <v>47</v>
      </c>
      <c r="D27" s="29"/>
      <c r="E27" s="129"/>
      <c r="F27" s="29"/>
      <c r="G27" s="29"/>
      <c r="H27" s="129"/>
      <c r="I27" s="29"/>
      <c r="J27" s="29"/>
      <c r="K27" s="29"/>
      <c r="L27" s="29"/>
      <c r="M27" s="29"/>
      <c r="N27" s="29"/>
      <c r="O27" s="29"/>
      <c r="P27" s="29"/>
      <c r="Q27" s="29"/>
      <c r="R27" s="29"/>
      <c r="S27" s="29"/>
      <c r="T27" s="29"/>
      <c r="U27" s="29"/>
      <c r="V27" s="129"/>
      <c r="W27" s="29"/>
    </row>
    <row r="28" spans="2:23">
      <c r="C28" s="139"/>
      <c r="E28" s="122"/>
      <c r="H28" s="122"/>
      <c r="V28" s="122"/>
    </row>
    <row r="29" spans="2:23" ht="13">
      <c r="B29" s="126" t="s">
        <v>165</v>
      </c>
      <c r="C29" s="145"/>
      <c r="D29" s="128"/>
      <c r="E29" s="128"/>
      <c r="F29" s="128"/>
      <c r="G29" s="128"/>
      <c r="H29" s="128"/>
      <c r="I29" s="128"/>
      <c r="J29" s="128"/>
      <c r="K29" s="128"/>
      <c r="L29" s="128"/>
      <c r="M29" s="128"/>
      <c r="N29" s="128"/>
      <c r="O29" s="128"/>
      <c r="P29" s="128"/>
      <c r="Q29" s="128"/>
      <c r="R29" s="128"/>
      <c r="S29" s="128"/>
      <c r="T29" s="128"/>
      <c r="U29" s="128"/>
      <c r="V29" s="128"/>
      <c r="W29" s="128"/>
    </row>
    <row r="30" spans="2:23">
      <c r="B30" s="26" t="s">
        <v>161</v>
      </c>
      <c r="C30" s="139" t="s">
        <v>47</v>
      </c>
      <c r="E30" s="122"/>
      <c r="H30" s="122"/>
      <c r="V30" s="122"/>
    </row>
    <row r="31" spans="2:23">
      <c r="B31" s="26" t="s">
        <v>162</v>
      </c>
      <c r="C31" s="139" t="s">
        <v>47</v>
      </c>
      <c r="E31" s="122"/>
      <c r="H31" s="122"/>
      <c r="V31" s="122"/>
    </row>
    <row r="32" spans="2:23">
      <c r="B32" s="26" t="s">
        <v>163</v>
      </c>
      <c r="C32" s="139" t="s">
        <v>47</v>
      </c>
      <c r="E32" s="122"/>
      <c r="H32" s="122"/>
      <c r="V32" s="122"/>
    </row>
    <row r="33" spans="2:23">
      <c r="B33" s="29" t="s">
        <v>164</v>
      </c>
      <c r="C33" s="142" t="s">
        <v>47</v>
      </c>
      <c r="D33" s="29"/>
      <c r="E33" s="129"/>
      <c r="F33" s="29"/>
      <c r="G33" s="29"/>
      <c r="H33" s="129"/>
      <c r="I33" s="29"/>
      <c r="J33" s="29"/>
      <c r="K33" s="29"/>
      <c r="L33" s="29"/>
      <c r="M33" s="29"/>
      <c r="N33" s="29"/>
      <c r="O33" s="29"/>
      <c r="P33" s="29"/>
      <c r="Q33" s="29"/>
      <c r="R33" s="29"/>
      <c r="S33" s="29"/>
      <c r="T33" s="29"/>
      <c r="U33" s="29"/>
      <c r="V33" s="129"/>
      <c r="W33" s="29"/>
    </row>
    <row r="34" spans="2:23">
      <c r="C34" s="139"/>
      <c r="E34" s="122"/>
      <c r="H34" s="122"/>
      <c r="V34" s="122"/>
    </row>
    <row r="35" spans="2:23" ht="13">
      <c r="B35" s="126" t="s">
        <v>166</v>
      </c>
      <c r="C35" s="145"/>
      <c r="D35" s="128"/>
      <c r="E35" s="128"/>
      <c r="F35" s="128"/>
      <c r="G35" s="128"/>
      <c r="H35" s="128"/>
      <c r="I35" s="128"/>
      <c r="J35" s="128"/>
      <c r="K35" s="128"/>
      <c r="L35" s="128"/>
      <c r="M35" s="128"/>
      <c r="N35" s="128"/>
      <c r="O35" s="128"/>
      <c r="P35" s="128"/>
      <c r="Q35" s="128"/>
      <c r="R35" s="128"/>
      <c r="S35" s="128"/>
      <c r="T35" s="128"/>
      <c r="U35" s="128"/>
      <c r="V35" s="128"/>
      <c r="W35" s="128"/>
    </row>
    <row r="36" spans="2:23">
      <c r="B36" s="26" t="s">
        <v>161</v>
      </c>
      <c r="C36" s="139" t="s">
        <v>47</v>
      </c>
      <c r="E36" s="122"/>
      <c r="H36" s="122"/>
      <c r="V36" s="122"/>
    </row>
    <row r="37" spans="2:23">
      <c r="B37" s="26" t="s">
        <v>162</v>
      </c>
      <c r="C37" s="139" t="s">
        <v>47</v>
      </c>
      <c r="E37" s="122"/>
      <c r="H37" s="122"/>
      <c r="V37" s="122"/>
    </row>
    <row r="38" spans="2:23">
      <c r="B38" s="26" t="s">
        <v>163</v>
      </c>
      <c r="C38" s="139" t="s">
        <v>47</v>
      </c>
      <c r="E38" s="122"/>
      <c r="H38" s="122"/>
      <c r="V38" s="122"/>
    </row>
    <row r="39" spans="2:23">
      <c r="B39" s="29" t="s">
        <v>164</v>
      </c>
      <c r="C39" s="142" t="s">
        <v>47</v>
      </c>
      <c r="D39" s="29"/>
      <c r="E39" s="129"/>
      <c r="F39" s="29"/>
      <c r="G39" s="29"/>
      <c r="H39" s="129"/>
      <c r="I39" s="29"/>
      <c r="J39" s="29"/>
      <c r="K39" s="29"/>
      <c r="L39" s="29"/>
      <c r="M39" s="29"/>
      <c r="N39" s="29"/>
      <c r="O39" s="29"/>
      <c r="P39" s="29"/>
      <c r="Q39" s="29"/>
      <c r="R39" s="29"/>
      <c r="S39" s="29"/>
      <c r="T39" s="29"/>
      <c r="U39" s="29"/>
      <c r="V39" s="129"/>
      <c r="W39" s="29"/>
    </row>
    <row r="40" spans="2:23">
      <c r="C40" s="139"/>
      <c r="E40" s="122"/>
      <c r="H40" s="122"/>
      <c r="V40" s="122"/>
    </row>
    <row r="41" spans="2:23" ht="13">
      <c r="B41" s="126" t="s">
        <v>57</v>
      </c>
      <c r="C41" s="145"/>
      <c r="D41" s="128"/>
      <c r="E41" s="128"/>
      <c r="F41" s="128"/>
      <c r="G41" s="128"/>
      <c r="H41" s="128"/>
      <c r="I41" s="128"/>
      <c r="J41" s="128"/>
      <c r="K41" s="128"/>
      <c r="L41" s="128"/>
      <c r="M41" s="128"/>
      <c r="N41" s="128"/>
      <c r="O41" s="128"/>
      <c r="P41" s="128"/>
      <c r="Q41" s="128"/>
      <c r="R41" s="128"/>
      <c r="S41" s="128"/>
      <c r="T41" s="128"/>
      <c r="U41" s="128"/>
      <c r="V41" s="128"/>
      <c r="W41" s="128"/>
    </row>
    <row r="42" spans="2:23">
      <c r="B42" s="26" t="s">
        <v>97</v>
      </c>
      <c r="C42" s="139" t="s">
        <v>47</v>
      </c>
      <c r="E42" s="122"/>
      <c r="H42" s="122"/>
      <c r="V42" s="122"/>
    </row>
    <row r="43" spans="2:23">
      <c r="B43" s="26" t="s">
        <v>98</v>
      </c>
      <c r="C43" s="139" t="s">
        <v>99</v>
      </c>
      <c r="E43" s="122"/>
      <c r="H43" s="122"/>
      <c r="V43" s="122"/>
    </row>
    <row r="44" spans="2:23">
      <c r="B44" s="26" t="s">
        <v>100</v>
      </c>
      <c r="C44" s="139" t="s">
        <v>99</v>
      </c>
      <c r="E44" s="122"/>
      <c r="H44" s="122"/>
      <c r="V44" s="122"/>
    </row>
  </sheetData>
  <mergeCells count="4">
    <mergeCell ref="D5:I5"/>
    <mergeCell ref="O5:Q5"/>
    <mergeCell ref="T5:U5"/>
    <mergeCell ref="K5:M5"/>
  </mergeCells>
  <pageMargins left="0.25" right="0.25" top="0.25" bottom="0.25" header="0.3" footer="0.3"/>
  <pageSetup scale="97" orientation="landscape" r:id="rId1"/>
  <headerFooter>
    <oddHeader>&amp;L&amp;"Aptos"&amp;10&amp;K000000 Internal Use Only&amp;1#_x000D_</oddHead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771E7-C84C-4456-82AB-F601FF28512F}">
  <sheetPr codeName="Sheet8">
    <tabColor rgb="FF7030A0"/>
    <pageSetUpPr fitToPage="1"/>
  </sheetPr>
  <dimension ref="A1:BY53"/>
  <sheetViews>
    <sheetView showGridLines="0" workbookViewId="0">
      <pane xSplit="4" ySplit="6" topLeftCell="AO7" activePane="bottomRight" state="frozen"/>
      <selection pane="topRight" activeCell="E1" sqref="E1"/>
      <selection pane="bottomLeft" activeCell="A7" sqref="A7"/>
      <selection pane="bottomRight" activeCell="AO6" sqref="AO6"/>
    </sheetView>
  </sheetViews>
  <sheetFormatPr defaultColWidth="9.1796875" defaultRowHeight="12.5" outlineLevelCol="2"/>
  <cols>
    <col min="1" max="1" width="1.453125" style="123" customWidth="1"/>
    <col min="2" max="2" width="32.81640625" style="26" customWidth="1"/>
    <col min="3" max="4" width="6.81640625" style="135" customWidth="1"/>
    <col min="5" max="5" width="12.453125" style="26" hidden="1" customWidth="1" outlineLevel="2"/>
    <col min="6" max="6" width="10.26953125" style="26" hidden="1" customWidth="1" outlineLevel="2"/>
    <col min="7" max="8" width="9.453125" style="26" hidden="1" customWidth="1" outlineLevel="2"/>
    <col min="9" max="10" width="11.453125" style="26" hidden="1" customWidth="1" outlineLevel="2"/>
    <col min="11" max="11" width="9.453125" style="26" hidden="1" customWidth="1" outlineLevel="2"/>
    <col min="12" max="40" width="11.453125" style="26" hidden="1" customWidth="1" outlineLevel="2"/>
    <col min="41" max="41" width="11.453125" style="26" customWidth="1" outlineLevel="1" collapsed="1"/>
    <col min="42" max="52" width="11.453125" style="26" customWidth="1"/>
    <col min="53" max="53" width="0.81640625" style="26" customWidth="1"/>
    <col min="54" max="54" width="10.26953125" style="26" bestFit="1" customWidth="1"/>
    <col min="55" max="55" width="10.26953125" style="26" customWidth="1"/>
    <col min="56" max="56" width="10.26953125" style="26" hidden="1" customWidth="1"/>
    <col min="57" max="57" width="0.81640625" style="26" customWidth="1"/>
    <col min="58" max="59" width="10.26953125" style="26" customWidth="1"/>
    <col min="60" max="60" width="9.81640625" style="26" hidden="1" customWidth="1"/>
    <col min="61" max="61" width="0.81640625" style="26" customWidth="1"/>
    <col min="62" max="62" width="10.453125" style="26" bestFit="1" customWidth="1"/>
    <col min="63" max="63" width="10.26953125" style="26" customWidth="1"/>
    <col min="64" max="64" width="9.81640625" style="26" hidden="1" customWidth="1"/>
    <col min="65" max="65" width="0.81640625" style="26" customWidth="1"/>
    <col min="66" max="66" width="7.453125" style="26" customWidth="1"/>
    <col min="67" max="67" width="10.26953125" style="26" customWidth="1"/>
    <col min="68" max="68" width="7.453125" style="26" hidden="1" customWidth="1"/>
    <col min="69" max="69" width="0.81640625" style="26" customWidth="1"/>
    <col min="70" max="70" width="10.26953125" style="26" bestFit="1" customWidth="1"/>
    <col min="71" max="71" width="11.1796875" style="26" customWidth="1"/>
    <col min="72" max="72" width="10.26953125" style="26" customWidth="1"/>
    <col min="73" max="73" width="0.81640625" style="26" customWidth="1"/>
    <col min="74" max="74" width="10.81640625" style="285" bestFit="1" customWidth="1"/>
    <col min="75" max="16384" width="9.1796875" style="123"/>
  </cols>
  <sheetData>
    <row r="1" spans="2:77" ht="6.75" customHeight="1">
      <c r="J1" s="26" t="s">
        <v>31</v>
      </c>
      <c r="M1" s="26" t="s">
        <v>31</v>
      </c>
      <c r="N1" s="26" t="s">
        <v>31</v>
      </c>
      <c r="O1" s="26" t="s">
        <v>31</v>
      </c>
      <c r="P1" s="26" t="s">
        <v>31</v>
      </c>
      <c r="Q1" s="26" t="s">
        <v>31</v>
      </c>
      <c r="R1" s="26" t="s">
        <v>31</v>
      </c>
      <c r="S1" s="26" t="s">
        <v>31</v>
      </c>
      <c r="T1" s="26" t="s">
        <v>31</v>
      </c>
      <c r="U1" s="26" t="s">
        <v>31</v>
      </c>
      <c r="V1" s="26" t="s">
        <v>31</v>
      </c>
      <c r="BW1" s="26"/>
      <c r="BX1" s="26"/>
      <c r="BY1" s="26"/>
    </row>
    <row r="2" spans="2:77">
      <c r="B2" s="26" t="str">
        <f>'2023 Control'!$C$3</f>
        <v>Concertiv</v>
      </c>
      <c r="BW2" s="26"/>
      <c r="BX2" s="26"/>
      <c r="BY2" s="26"/>
    </row>
    <row r="3" spans="2:77">
      <c r="B3" s="30" t="str">
        <f>('2024 Control'!$C$4)&amp;" Reporting Package"</f>
        <v>December 2025 Reporting Package</v>
      </c>
      <c r="C3" s="136"/>
      <c r="D3" s="136"/>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152"/>
      <c r="BW3" s="26"/>
      <c r="BX3" s="26"/>
      <c r="BY3" s="26"/>
    </row>
    <row r="4" spans="2:77" ht="20">
      <c r="B4" s="130" t="s">
        <v>24</v>
      </c>
      <c r="C4" s="137"/>
      <c r="D4" s="137"/>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0"/>
      <c r="AX4" s="130"/>
      <c r="AY4" s="130"/>
      <c r="AZ4" s="130"/>
      <c r="BA4" s="130"/>
      <c r="BB4" s="130"/>
      <c r="BC4" s="130"/>
      <c r="BD4" s="130"/>
      <c r="BE4" s="130"/>
      <c r="BF4" s="130"/>
      <c r="BG4" s="130"/>
      <c r="BH4" s="130"/>
      <c r="BI4" s="130"/>
      <c r="BJ4" s="130"/>
      <c r="BK4" s="130"/>
      <c r="BL4" s="130"/>
      <c r="BM4" s="130"/>
      <c r="BN4" s="130"/>
      <c r="BO4" s="130"/>
      <c r="BP4" s="130"/>
      <c r="BQ4" s="130"/>
      <c r="BR4" s="130"/>
      <c r="BS4" s="130"/>
      <c r="BT4" s="130"/>
      <c r="BU4" s="130"/>
      <c r="BV4" s="318"/>
      <c r="BW4" s="26"/>
      <c r="BX4" s="26"/>
      <c r="BY4" s="26"/>
    </row>
    <row r="5" spans="2:77" ht="15.75" customHeight="1" thickBot="1">
      <c r="E5" s="388" t="s">
        <v>33</v>
      </c>
      <c r="F5" s="388"/>
      <c r="G5" s="388"/>
      <c r="H5" s="388"/>
      <c r="I5" s="388"/>
      <c r="J5" s="388"/>
      <c r="K5" s="312"/>
      <c r="L5" s="312"/>
      <c r="M5" s="312"/>
      <c r="N5" s="312"/>
      <c r="O5" s="312"/>
      <c r="P5" s="312"/>
      <c r="Q5" s="312"/>
      <c r="R5" s="312"/>
      <c r="S5" s="312"/>
      <c r="T5" s="312"/>
      <c r="U5" s="312"/>
      <c r="V5" s="312"/>
      <c r="W5" s="312"/>
      <c r="X5" s="312"/>
      <c r="Y5" s="312"/>
      <c r="Z5" s="312"/>
      <c r="AA5" s="312"/>
      <c r="AB5" s="312"/>
      <c r="AC5" s="312"/>
      <c r="AD5" s="312"/>
      <c r="AE5" s="312"/>
      <c r="AF5" s="312"/>
      <c r="AG5" s="312"/>
      <c r="AH5" s="312"/>
      <c r="AI5" s="312"/>
      <c r="AJ5" s="312"/>
      <c r="AK5" s="312"/>
      <c r="AL5" s="312"/>
      <c r="AM5" s="312"/>
      <c r="AN5" s="312"/>
      <c r="AO5" s="312"/>
      <c r="AP5" s="312"/>
      <c r="AQ5" s="312"/>
      <c r="AR5" s="312"/>
      <c r="AS5" s="312"/>
      <c r="AT5" s="312"/>
      <c r="AU5" s="312"/>
      <c r="AV5" s="312"/>
      <c r="AW5" s="312"/>
      <c r="AX5" s="312"/>
      <c r="AY5" s="312"/>
      <c r="AZ5" s="312"/>
      <c r="BA5" s="146"/>
      <c r="BB5" s="389">
        <v>1</v>
      </c>
      <c r="BC5" s="389"/>
      <c r="BD5" s="389"/>
      <c r="BE5" s="146"/>
      <c r="BF5" s="389">
        <v>2</v>
      </c>
      <c r="BG5" s="389"/>
      <c r="BH5" s="389"/>
      <c r="BI5" s="146"/>
      <c r="BJ5" s="389">
        <v>3</v>
      </c>
      <c r="BK5" s="389"/>
      <c r="BL5" s="389"/>
      <c r="BM5" s="146"/>
      <c r="BN5" s="389">
        <v>4</v>
      </c>
      <c r="BO5" s="389"/>
      <c r="BP5" s="389"/>
      <c r="BQ5" s="146"/>
      <c r="BR5" s="388" t="s">
        <v>34</v>
      </c>
      <c r="BS5" s="388"/>
      <c r="BT5" s="388"/>
      <c r="BU5" s="146"/>
      <c r="BV5" s="319"/>
      <c r="BW5" s="26"/>
      <c r="BX5" s="26"/>
      <c r="BY5" s="26"/>
    </row>
    <row r="6" spans="2:77" ht="13.5" thickBot="1">
      <c r="D6" s="167" t="s">
        <v>35</v>
      </c>
      <c r="E6" s="203">
        <v>44957</v>
      </c>
      <c r="F6" s="203">
        <v>44985</v>
      </c>
      <c r="G6" s="203">
        <v>45016</v>
      </c>
      <c r="H6" s="203">
        <f>EOMONTH(G6,1)</f>
        <v>45046</v>
      </c>
      <c r="I6" s="203">
        <f t="shared" ref="I6:J6" si="0">EOMONTH(H6,1)</f>
        <v>45077</v>
      </c>
      <c r="J6" s="203">
        <f t="shared" si="0"/>
        <v>45107</v>
      </c>
      <c r="K6" s="203">
        <f>EOMONTH(J6,1)</f>
        <v>45138</v>
      </c>
      <c r="L6" s="203">
        <f t="shared" ref="L6" si="1">EOMONTH(K6,1)</f>
        <v>45169</v>
      </c>
      <c r="M6" s="203">
        <f t="shared" ref="M6:V6" si="2">EOMONTH(L6,1)</f>
        <v>45199</v>
      </c>
      <c r="N6" s="203">
        <f t="shared" si="2"/>
        <v>45230</v>
      </c>
      <c r="O6" s="203">
        <f t="shared" si="2"/>
        <v>45260</v>
      </c>
      <c r="P6" s="203">
        <f t="shared" si="2"/>
        <v>45291</v>
      </c>
      <c r="Q6" s="203">
        <f t="shared" si="2"/>
        <v>45322</v>
      </c>
      <c r="R6" s="203">
        <f t="shared" si="2"/>
        <v>45351</v>
      </c>
      <c r="S6" s="203">
        <f t="shared" si="2"/>
        <v>45382</v>
      </c>
      <c r="T6" s="203">
        <f t="shared" si="2"/>
        <v>45412</v>
      </c>
      <c r="U6" s="203">
        <f t="shared" si="2"/>
        <v>45443</v>
      </c>
      <c r="V6" s="203">
        <f t="shared" si="2"/>
        <v>45473</v>
      </c>
      <c r="W6" s="203">
        <f t="shared" ref="W6" si="3">EOMONTH(V6,1)</f>
        <v>45504</v>
      </c>
      <c r="X6" s="203">
        <f t="shared" ref="X6" si="4">EOMONTH(W6,1)</f>
        <v>45535</v>
      </c>
      <c r="Y6" s="203">
        <f t="shared" ref="Y6" si="5">EOMONTH(X6,1)</f>
        <v>45565</v>
      </c>
      <c r="Z6" s="203">
        <f t="shared" ref="Z6" si="6">EOMONTH(Y6,1)</f>
        <v>45596</v>
      </c>
      <c r="AA6" s="203">
        <f t="shared" ref="AA6" si="7">EOMONTH(Z6,1)</f>
        <v>45626</v>
      </c>
      <c r="AB6" s="203">
        <f t="shared" ref="AB6" si="8">EOMONTH(AA6,1)</f>
        <v>45657</v>
      </c>
      <c r="AC6" s="203">
        <f t="shared" ref="AC6" si="9">EOMONTH(AB6,1)</f>
        <v>45688</v>
      </c>
      <c r="AD6" s="203">
        <f t="shared" ref="AD6" si="10">EOMONTH(AC6,1)</f>
        <v>45716</v>
      </c>
      <c r="AE6" s="203">
        <f t="shared" ref="AE6" si="11">EOMONTH(AD6,1)</f>
        <v>45747</v>
      </c>
      <c r="AF6" s="203">
        <f t="shared" ref="AF6" si="12">EOMONTH(AE6,1)</f>
        <v>45777</v>
      </c>
      <c r="AG6" s="203">
        <f t="shared" ref="AG6" si="13">EOMONTH(AF6,1)</f>
        <v>45808</v>
      </c>
      <c r="AH6" s="203">
        <f t="shared" ref="AH6" si="14">EOMONTH(AG6,1)</f>
        <v>45838</v>
      </c>
      <c r="AI6" s="203">
        <f t="shared" ref="AI6" si="15">EOMONTH(AH6,1)</f>
        <v>45869</v>
      </c>
      <c r="AJ6" s="203">
        <f t="shared" ref="AJ6" si="16">EOMONTH(AI6,1)</f>
        <v>45900</v>
      </c>
      <c r="AK6" s="203">
        <f t="shared" ref="AK6" si="17">EOMONTH(AJ6,1)</f>
        <v>45930</v>
      </c>
      <c r="AL6" s="203">
        <f t="shared" ref="AL6" si="18">EOMONTH(AK6,1)</f>
        <v>45961</v>
      </c>
      <c r="AM6" s="203">
        <f t="shared" ref="AM6" si="19">EOMONTH(AL6,1)</f>
        <v>45991</v>
      </c>
      <c r="AN6" s="203">
        <f t="shared" ref="AN6" si="20">EOMONTH(AM6,1)</f>
        <v>46022</v>
      </c>
      <c r="AO6" s="203">
        <f t="shared" ref="AO6:AP6" si="21">EOMONTH(AN6,1)</f>
        <v>46053</v>
      </c>
      <c r="AP6" s="203">
        <f t="shared" si="21"/>
        <v>46081</v>
      </c>
      <c r="AQ6" s="203">
        <f t="shared" ref="AQ6" si="22">EOMONTH(AP6,1)</f>
        <v>46112</v>
      </c>
      <c r="AR6" s="203">
        <f t="shared" ref="AR6" si="23">EOMONTH(AQ6,1)</f>
        <v>46142</v>
      </c>
      <c r="AS6" s="203">
        <f t="shared" ref="AS6" si="24">EOMONTH(AR6,1)</f>
        <v>46173</v>
      </c>
      <c r="AT6" s="203">
        <f t="shared" ref="AT6" si="25">EOMONTH(AS6,1)</f>
        <v>46203</v>
      </c>
      <c r="AU6" s="203">
        <f t="shared" ref="AU6" si="26">EOMONTH(AT6,1)</f>
        <v>46234</v>
      </c>
      <c r="AV6" s="203">
        <f t="shared" ref="AV6" si="27">EOMONTH(AU6,1)</f>
        <v>46265</v>
      </c>
      <c r="AW6" s="203">
        <f t="shared" ref="AW6" si="28">EOMONTH(AV6,1)</f>
        <v>46295</v>
      </c>
      <c r="AX6" s="203">
        <f t="shared" ref="AX6" si="29">EOMONTH(AW6,1)</f>
        <v>46326</v>
      </c>
      <c r="AY6" s="203">
        <f t="shared" ref="AY6" si="30">EOMONTH(AX6,1)</f>
        <v>46356</v>
      </c>
      <c r="AZ6" s="203">
        <f t="shared" ref="AZ6" si="31">EOMONTH(AY6,1)</f>
        <v>46387</v>
      </c>
      <c r="BB6" s="118" t="s">
        <v>36</v>
      </c>
      <c r="BC6" s="117" t="s">
        <v>37</v>
      </c>
      <c r="BD6" s="117" t="s">
        <v>38</v>
      </c>
      <c r="BF6" s="118" t="s">
        <v>36</v>
      </c>
      <c r="BG6" s="117" t="s">
        <v>37</v>
      </c>
      <c r="BH6" s="117" t="s">
        <v>38</v>
      </c>
      <c r="BJ6" s="118" t="s">
        <v>36</v>
      </c>
      <c r="BK6" s="117" t="s">
        <v>37</v>
      </c>
      <c r="BL6" s="117" t="s">
        <v>38</v>
      </c>
      <c r="BN6" s="118" t="s">
        <v>36</v>
      </c>
      <c r="BO6" s="117" t="s">
        <v>37</v>
      </c>
      <c r="BP6" s="117" t="s">
        <v>38</v>
      </c>
      <c r="BR6" s="118" t="s">
        <v>39</v>
      </c>
      <c r="BS6" s="117" t="s">
        <v>37</v>
      </c>
      <c r="BT6" s="117" t="s">
        <v>38</v>
      </c>
      <c r="BV6" s="118" t="s">
        <v>40</v>
      </c>
      <c r="BW6" s="26"/>
      <c r="BX6" s="26"/>
      <c r="BY6" s="26"/>
    </row>
    <row r="7" spans="2:77">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B7" s="390" t="s">
        <v>41</v>
      </c>
      <c r="BC7" s="390"/>
      <c r="BD7" s="120"/>
      <c r="BF7" s="390" t="s">
        <v>42</v>
      </c>
      <c r="BG7" s="390"/>
      <c r="BH7" s="120"/>
      <c r="BJ7" s="390" t="s">
        <v>43</v>
      </c>
      <c r="BK7" s="390"/>
      <c r="BL7" s="120"/>
      <c r="BN7" s="390" t="s">
        <v>44</v>
      </c>
      <c r="BO7" s="390"/>
      <c r="BP7" s="120"/>
      <c r="BR7" s="121"/>
      <c r="BS7" s="121"/>
      <c r="BT7" s="120"/>
      <c r="BV7" s="320"/>
      <c r="BW7" s="26"/>
      <c r="BX7" s="26"/>
      <c r="BY7" s="26"/>
    </row>
    <row r="8" spans="2:77" ht="13">
      <c r="B8" s="126" t="s">
        <v>167</v>
      </c>
      <c r="C8" s="143"/>
      <c r="D8" s="143"/>
      <c r="E8" s="128"/>
      <c r="F8" s="128"/>
      <c r="G8" s="128"/>
      <c r="H8" s="128"/>
      <c r="I8" s="128"/>
      <c r="J8" s="128"/>
      <c r="K8" s="128"/>
      <c r="L8" s="128"/>
      <c r="M8" s="128"/>
      <c r="N8" s="128"/>
      <c r="O8" s="128"/>
      <c r="P8" s="128"/>
      <c r="Q8" s="128"/>
      <c r="R8" s="128"/>
      <c r="S8" s="128"/>
      <c r="T8" s="128"/>
      <c r="U8" s="128"/>
      <c r="V8" s="128"/>
      <c r="W8" s="128"/>
      <c r="X8" s="128"/>
      <c r="Y8" s="128"/>
      <c r="Z8" s="128"/>
      <c r="AA8" s="128"/>
      <c r="AB8" s="128"/>
      <c r="AC8" s="128"/>
      <c r="AD8" s="128"/>
      <c r="AE8" s="128"/>
      <c r="AF8" s="128"/>
      <c r="AG8" s="128"/>
      <c r="AH8" s="128"/>
      <c r="AI8" s="128"/>
      <c r="AJ8" s="128"/>
      <c r="AK8" s="128"/>
      <c r="AL8" s="128"/>
      <c r="AM8" s="128"/>
      <c r="AN8" s="128"/>
      <c r="AO8" s="128"/>
      <c r="AP8" s="128"/>
      <c r="AQ8" s="128"/>
      <c r="AR8" s="128"/>
      <c r="AS8" s="128"/>
      <c r="AT8" s="128"/>
      <c r="AU8" s="128"/>
      <c r="AV8" s="128"/>
      <c r="AW8" s="128"/>
      <c r="AX8" s="128"/>
      <c r="AY8" s="128"/>
      <c r="AZ8" s="128"/>
      <c r="BA8" s="128"/>
      <c r="BB8" s="128"/>
      <c r="BC8" s="128"/>
      <c r="BD8" s="128"/>
      <c r="BE8" s="128"/>
      <c r="BF8" s="128"/>
      <c r="BG8" s="128"/>
      <c r="BH8" s="128"/>
      <c r="BI8" s="128"/>
      <c r="BJ8" s="128"/>
      <c r="BK8" s="128"/>
      <c r="BL8" s="128"/>
      <c r="BM8" s="128"/>
      <c r="BN8" s="128"/>
      <c r="BO8" s="128"/>
      <c r="BP8" s="128"/>
      <c r="BQ8" s="128"/>
      <c r="BR8" s="128"/>
      <c r="BS8" s="128"/>
      <c r="BT8" s="128"/>
      <c r="BU8" s="128"/>
      <c r="BV8" s="323"/>
      <c r="BW8" s="26"/>
      <c r="BX8" s="26"/>
      <c r="BY8" s="26"/>
    </row>
    <row r="9" spans="2:77">
      <c r="B9" s="26" t="s">
        <v>168</v>
      </c>
      <c r="C9" s="139" t="s">
        <v>49</v>
      </c>
      <c r="D9" s="171" t="str">
        <f>VLOOKUP($B$4&amp;" "&amp;$B9,Actuals!$D$4:$AG$131,3,FALSE)</f>
        <v>$</v>
      </c>
      <c r="E9" s="220" cm="1">
        <f t="array" ref="E9">_xlfn.XLOOKUP(
   $B$4&amp;" "&amp;$B9,
   Actuals!$D:$D,
   _xlfn.XLOOKUP(
      E$6,
      Actuals!$H$3:$BD$3,
      Actuals!$H:$BD
   )
)</f>
        <v>27907</v>
      </c>
      <c r="F9" s="220" cm="1">
        <f t="array" ref="F9">_xlfn.XLOOKUP(
   $B$4&amp;" "&amp;$B9,
   Actuals!$D:$D,
   _xlfn.XLOOKUP(
      F$6,
      Actuals!$H$3:$BD$3,
      Actuals!$H:$BD
   )
)</f>
        <v>0</v>
      </c>
      <c r="G9" s="220" cm="1">
        <f t="array" ref="G9">_xlfn.XLOOKUP(
   $B$4&amp;" "&amp;$B9,
   Actuals!$D:$D,
   _xlfn.XLOOKUP(
      G$6,
      Actuals!$H$3:$BD$3,
      Actuals!$H:$BD
   )
)</f>
        <v>15000</v>
      </c>
      <c r="H9" s="220" cm="1">
        <f t="array" ref="H9">_xlfn.XLOOKUP(
   $B$4&amp;" "&amp;$B9,
   Actuals!$D:$D,
   _xlfn.XLOOKUP(
      H$6,
      Actuals!$H$3:$BD$3,
      Actuals!$H:$BD
   )
)</f>
        <v>80000</v>
      </c>
      <c r="I9" s="220" cm="1">
        <f t="array" ref="I9">_xlfn.XLOOKUP(
   $B$4&amp;" "&amp;$B9,
   Actuals!$D:$D,
   _xlfn.XLOOKUP(
      I$6,
      Actuals!$H$3:$BD$3,
      Actuals!$H:$BD
   )
)</f>
        <v>0</v>
      </c>
      <c r="J9" s="220" cm="1">
        <f t="array" ref="J9">_xlfn.XLOOKUP(
   $B$4&amp;" "&amp;$B9,
   Actuals!$D:$D,
   _xlfn.XLOOKUP(
      J$6,
      Actuals!$H$3:$BD$3,
      Actuals!$H:$BD
   )
)</f>
        <v>0</v>
      </c>
      <c r="K9" s="220" cm="1">
        <f t="array" ref="K9">_xlfn.XLOOKUP(
   $B$4&amp;" "&amp;$B9,
   Actuals!$D:$D,
   _xlfn.XLOOKUP(
      K$6,
      Actuals!$H$3:$BD$3,
      Actuals!$H:$BD
   )
)</f>
        <v>0</v>
      </c>
      <c r="L9" s="220" cm="1">
        <f t="array" ref="L9">_xlfn.XLOOKUP(
   $B$4&amp;" "&amp;$B9,
   Actuals!$D:$D,
   _xlfn.XLOOKUP(
      L$6,
      Actuals!$H$3:$BD$3,
      Actuals!$H:$BD
   )
)</f>
        <v>-15000</v>
      </c>
      <c r="M9" s="220" cm="1">
        <f t="array" ref="M9">_xlfn.XLOOKUP(
   $B$4&amp;" "&amp;$B9,
   Actuals!$D:$D,
   _xlfn.XLOOKUP(
      M$6,
      Actuals!$H$3:$BD$3,
      Actuals!$H:$BD
   )
)</f>
        <v>0</v>
      </c>
      <c r="N9" s="220" cm="1">
        <f t="array" ref="N9">_xlfn.XLOOKUP(
   $B$4&amp;" "&amp;$B9,
   Actuals!$D:$D,
   _xlfn.XLOOKUP(
      N$6,
      Actuals!$H$3:$BD$3,
      Actuals!$H:$BD
   )
)</f>
        <v>0</v>
      </c>
      <c r="O9" s="220" cm="1">
        <f t="array" ref="O9">_xlfn.XLOOKUP(
   $B$4&amp;" "&amp;$B9,
   Actuals!$D:$D,
   _xlfn.XLOOKUP(
      O$6,
      Actuals!$H$3:$BD$3,
      Actuals!$H:$BD
   )
)</f>
        <v>0</v>
      </c>
      <c r="P9" s="220" cm="1">
        <f t="array" ref="P9">_xlfn.XLOOKUP(
   $B$4&amp;" "&amp;$B9,
   Actuals!$D:$D,
   _xlfn.XLOOKUP(
      P$6,
      Actuals!$H$3:$BD$3,
      Actuals!$H:$BD
   )
)</f>
        <v>0</v>
      </c>
      <c r="Q9" s="220" cm="1">
        <f t="array" ref="Q9">_xlfn.XLOOKUP(
   $B$4&amp;" "&amp;$B9,
   Actuals!$D:$D,
   _xlfn.XLOOKUP(
      Q$6,
      Actuals!$H$3:$BD$3,
      Actuals!$H:$BD
   )
)</f>
        <v>0</v>
      </c>
      <c r="R9" s="220" cm="1">
        <f t="array" ref="R9">_xlfn.XLOOKUP(
   $B$4&amp;" "&amp;$B9,
   Actuals!$D:$D,
   _xlfn.XLOOKUP(
      R$6,
      Actuals!$H$3:$BD$3,
      Actuals!$H:$BD
   )
)</f>
        <v>0</v>
      </c>
      <c r="S9" s="220" cm="1">
        <f t="array" ref="S9">_xlfn.XLOOKUP(
   $B$4&amp;" "&amp;$B9,
   Actuals!$D:$D,
   _xlfn.XLOOKUP(
      S$6,
      Actuals!$H$3:$BD$3,
      Actuals!$H:$BD
   )
)</f>
        <v>0</v>
      </c>
      <c r="T9" s="220" cm="1">
        <f t="array" ref="T9">_xlfn.XLOOKUP(
   $B$4&amp;" "&amp;$B9,
   Actuals!$D:$D,
   _xlfn.XLOOKUP(
      T$6,
      Actuals!$H$3:$BD$3,
      Actuals!$H:$BD
   )
)</f>
        <v>0</v>
      </c>
      <c r="U9" s="220" cm="1">
        <f t="array" ref="U9">_xlfn.XLOOKUP(
   $B$4&amp;" "&amp;$B9,
   Actuals!$D:$D,
   _xlfn.XLOOKUP(
      U$6,
      Actuals!$H$3:$BD$3,
      Actuals!$H:$BD
   )
)</f>
        <v>0</v>
      </c>
      <c r="V9" s="220" cm="1">
        <f t="array" ref="V9">_xlfn.XLOOKUP(
   $B$4&amp;" "&amp;$B9,
   Actuals!$D:$D,
   _xlfn.XLOOKUP(
      V$6,
      Actuals!$H$3:$BD$3,
      Actuals!$H:$BD
   )
)</f>
        <v>0</v>
      </c>
      <c r="W9" s="220" cm="1">
        <f t="array" ref="W9">_xlfn.XLOOKUP(
   $B$4&amp;" "&amp;$B9,
   Actuals!$D:$D,
   _xlfn.XLOOKUP(
      W$6,
      Actuals!$H$3:$BD$3,
      Actuals!$H:$BD
   )
)</f>
        <v>0</v>
      </c>
      <c r="X9" s="220" cm="1">
        <f t="array" ref="X9">_xlfn.XLOOKUP(
   $B$4&amp;" "&amp;$B9,
   Actuals!$D:$D,
   _xlfn.XLOOKUP(
      X$6,
      Actuals!$H$3:$BD$3,
      Actuals!$H:$BD
   )
)</f>
        <v>0</v>
      </c>
      <c r="Y9" s="220" cm="1">
        <f t="array" ref="Y9">_xlfn.XLOOKUP(
   $B$4&amp;" "&amp;$B9,
   Actuals!$D:$D,
   _xlfn.XLOOKUP(
      Y$6,
      Actuals!$H$3:$BD$3,
      Actuals!$H:$BD
   )
)</f>
        <v>0</v>
      </c>
      <c r="Z9" s="220" cm="1">
        <f t="array" ref="Z9">_xlfn.XLOOKUP(
   $B$4&amp;" "&amp;$B9,
   Actuals!$D:$D,
   _xlfn.XLOOKUP(
      Z$6,
      Actuals!$H$3:$BD$3,
      Actuals!$H:$BD
   )
)</f>
        <v>0</v>
      </c>
      <c r="AA9" s="220" cm="1">
        <f t="array" ref="AA9">_xlfn.XLOOKUP(
   $B$4&amp;" "&amp;$B9,
   Actuals!$D:$D,
   _xlfn.XLOOKUP(
      AA$6,
      Actuals!$H$3:$BD$3,
      Actuals!$H:$BD
   )
)</f>
        <v>0</v>
      </c>
      <c r="AB9" s="220" cm="1">
        <f t="array" ref="AB9">_xlfn.XLOOKUP(
   $B$4&amp;" "&amp;$B9,
   Actuals!$D:$D,
   _xlfn.XLOOKUP(
      AB$6,
      Actuals!$H$3:$BD$3,
      Actuals!$H:$BD
   )
)</f>
        <v>0</v>
      </c>
      <c r="AC9" s="220" cm="1">
        <f t="array" ref="AC9">_xlfn.XLOOKUP(
   $B$4&amp;" "&amp;$B9,
   Actuals!$D:$D,
   _xlfn.XLOOKUP(
      AC$6,
      Actuals!$H$3:$BD$3,
      Actuals!$H:$BD
   )
)</f>
        <v>0</v>
      </c>
      <c r="AD9" s="220" cm="1">
        <f t="array" ref="AD9">_xlfn.XLOOKUP(
   $B$4&amp;" "&amp;$B9,
   Actuals!$D:$D,
   _xlfn.XLOOKUP(
      AD$6,
      Actuals!$H$3:$BD$3,
      Actuals!$H:$BD
   )
)</f>
        <v>0</v>
      </c>
      <c r="AE9" s="220" cm="1">
        <f t="array" ref="AE9">_xlfn.XLOOKUP(
   $B$4&amp;" "&amp;$B9,
   Actuals!$D:$D,
   _xlfn.XLOOKUP(
      AE$6,
      Actuals!$H$3:$BD$3,
      Actuals!$H:$BD
   )
)</f>
        <v>0</v>
      </c>
      <c r="AF9" s="220" cm="1">
        <f t="array" ref="AF9">_xlfn.XLOOKUP(
   $B$4&amp;" "&amp;$B9,
   Actuals!$D:$D,
   _xlfn.XLOOKUP(
      AF$6,
      Actuals!$H$3:$BD$3,
      Actuals!$H:$BD
   )
)</f>
        <v>0</v>
      </c>
      <c r="AG9" s="220" cm="1">
        <f t="array" ref="AG9">_xlfn.XLOOKUP(
   $B$4&amp;" "&amp;$B9,
   Actuals!$D:$D,
   _xlfn.XLOOKUP(
      AG$6,
      Actuals!$H$3:$BD$3,
      Actuals!$H:$BD
   )
)</f>
        <v>0</v>
      </c>
      <c r="AH9" s="220" cm="1">
        <f t="array" ref="AH9">_xlfn.XLOOKUP(
   $B$4&amp;" "&amp;$B9,
   Actuals!$D:$D,
   _xlfn.XLOOKUP(
      AH$6,
      Actuals!$H$3:$BD$3,
      Actuals!$H:$BD
   )
)</f>
        <v>0</v>
      </c>
      <c r="AI9" s="220" cm="1">
        <f t="array" ref="AI9">_xlfn.XLOOKUP(
   $B$4&amp;" "&amp;$B9,
   Actuals!$D:$D,
   _xlfn.XLOOKUP(
      AI$6,
      Actuals!$H$3:$BD$3,
      Actuals!$H:$BD
   )
)</f>
        <v>0</v>
      </c>
      <c r="AJ9" s="220" cm="1">
        <f t="array" ref="AJ9">_xlfn.XLOOKUP(
   $B$4&amp;" "&amp;$B9,
   Actuals!$D:$D,
   _xlfn.XLOOKUP(
      AJ$6,
      Actuals!$H$3:$BD$3,
      Actuals!$H:$BD
   )
)</f>
        <v>0</v>
      </c>
      <c r="AK9" s="220" cm="1">
        <f t="array" ref="AK9">_xlfn.XLOOKUP(
   $B$4&amp;" "&amp;$B9,
   Actuals!$D:$D,
   _xlfn.XLOOKUP(
      AK$6,
      Actuals!$H$3:$BD$3,
      Actuals!$H:$BD
   )
)</f>
        <v>0</v>
      </c>
      <c r="AL9" s="220" cm="1">
        <f t="array" ref="AL9">_xlfn.XLOOKUP(
   $B$4&amp;" "&amp;$B9,
   Actuals!$D:$D,
   _xlfn.XLOOKUP(
      AL$6,
      Actuals!$H$3:$BD$3,
      Actuals!$H:$BD
   )
)</f>
        <v>0</v>
      </c>
      <c r="AM9" s="220" cm="1">
        <f t="array" ref="AM9">_xlfn.XLOOKUP(
   $B$4&amp;" "&amp;$B9,
   Actuals!$D:$D,
   _xlfn.XLOOKUP(
      AM$6,
      Actuals!$H$3:$BD$3,
      Actuals!$H:$BD
   )
)</f>
        <v>0</v>
      </c>
      <c r="AN9" s="220" cm="1">
        <f t="array" ref="AN9">_xlfn.XLOOKUP(
   $B$4&amp;" "&amp;$B9,
   Actuals!$D:$D,
   _xlfn.XLOOKUP(
      AN$6,
      Actuals!$H$3:$BD$3,
      Actuals!$H:$BD
   )
)</f>
        <v>0</v>
      </c>
      <c r="AO9" s="220" cm="1">
        <f t="array" ref="AO9">_xlfn.XLOOKUP(
   $B$4&amp;" "&amp;$B9,
   Actuals!$D:$D,
   _xlfn.XLOOKUP(
      AO$6,
      Actuals!$H$3:$BD$3,
      Actuals!$H:$BD
   )
)</f>
        <v>0</v>
      </c>
      <c r="AP9" s="220" cm="1">
        <f t="array" ref="AP9">_xlfn.XLOOKUP(
   $B$4&amp;" "&amp;$B9,
   Actuals!$D:$D,
   _xlfn.XLOOKUP(
      AP$6,
      Actuals!$H$3:$BD$3,
      Actuals!$H:$BD
   )
)</f>
        <v>0</v>
      </c>
      <c r="AQ9" s="220" cm="1">
        <f t="array" ref="AQ9">_xlfn.XLOOKUP(
   $B$4&amp;" "&amp;$B9,
   Actuals!$D:$D,
   _xlfn.XLOOKUP(
      AQ$6,
      Actuals!$H$3:$BD$3,
      Actuals!$H:$BD
   )
)</f>
        <v>0</v>
      </c>
      <c r="AR9" s="220" cm="1">
        <f t="array" ref="AR9">_xlfn.XLOOKUP(
   $B$4&amp;" "&amp;$B9,
   Actuals!$D:$D,
   _xlfn.XLOOKUP(
      AR$6,
      Actuals!$H$3:$BD$3,
      Actuals!$H:$BD
   )
)</f>
        <v>0</v>
      </c>
      <c r="AS9" s="220" cm="1">
        <f t="array" ref="AS9">_xlfn.XLOOKUP(
   $B$4&amp;" "&amp;$B9,
   Actuals!$D:$D,
   _xlfn.XLOOKUP(
      AS$6,
      Actuals!$H$3:$BD$3,
      Actuals!$H:$BD
   )
)</f>
        <v>0</v>
      </c>
      <c r="AT9" s="220" cm="1">
        <f t="array" ref="AT9">_xlfn.XLOOKUP(
   $B$4&amp;" "&amp;$B9,
   Actuals!$D:$D,
   _xlfn.XLOOKUP(
      AT$6,
      Actuals!$H$3:$BD$3,
      Actuals!$H:$BD
   )
)</f>
        <v>0</v>
      </c>
      <c r="AU9" s="220" cm="1">
        <f t="array" ref="AU9">_xlfn.XLOOKUP(
   $B$4&amp;" "&amp;$B9,
   Actuals!$D:$D,
   _xlfn.XLOOKUP(
      AU$6,
      Actuals!$H$3:$BD$3,
      Actuals!$H:$BD
   )
)</f>
        <v>0</v>
      </c>
      <c r="AV9" s="220" cm="1">
        <f t="array" ref="AV9">_xlfn.XLOOKUP(
   $B$4&amp;" "&amp;$B9,
   Actuals!$D:$D,
   _xlfn.XLOOKUP(
      AV$6,
      Actuals!$H$3:$BD$3,
      Actuals!$H:$BD
   )
)</f>
        <v>0</v>
      </c>
      <c r="AW9" s="220" cm="1">
        <f t="array" ref="AW9">_xlfn.XLOOKUP(
   $B$4&amp;" "&amp;$B9,
   Actuals!$D:$D,
   _xlfn.XLOOKUP(
      AW$6,
      Actuals!$H$3:$BD$3,
      Actuals!$H:$BD
   )
)</f>
        <v>0</v>
      </c>
      <c r="AX9" s="220" cm="1">
        <f t="array" ref="AX9">_xlfn.XLOOKUP(
   $B$4&amp;" "&amp;$B9,
   Actuals!$D:$D,
   _xlfn.XLOOKUP(
      AX$6,
      Actuals!$H$3:$BD$3,
      Actuals!$H:$BD
   )
)</f>
        <v>0</v>
      </c>
      <c r="AY9" s="220" cm="1">
        <f t="array" ref="AY9">_xlfn.XLOOKUP(
   $B$4&amp;" "&amp;$B9,
   Actuals!$D:$D,
   _xlfn.XLOOKUP(
      AY$6,
      Actuals!$H$3:$BD$3,
      Actuals!$H:$BD
   )
)</f>
        <v>0</v>
      </c>
      <c r="AZ9" s="220" cm="1">
        <f t="array" ref="AZ9">_xlfn.XLOOKUP(
   $B$4&amp;" "&amp;$B9,
   Actuals!$D:$D,
   _xlfn.XLOOKUP(
      AZ$6,
      Actuals!$H$3:$BD$3,
      Actuals!$H:$BD
   )
)</f>
        <v>0</v>
      </c>
      <c r="BA9" s="220"/>
      <c r="BB9" s="292" cm="1">
        <f t="array" ref="BB9">_xlfn.XLOOKUP(
   $B$4&amp;" "&amp;$B9,
   Actuals!$D:$D,
   _xlfn.XLOOKUP(
      BB$7,
      Actuals!$H$3:$BM$3,
      Actuals!$H:$BM
   )
)</f>
        <v>0</v>
      </c>
      <c r="BC9" s="220">
        <f>VLOOKUP($B$4&amp;" "&amp;$B9,Budget!$AG$4:$AL$132,$BB$5+1,FALSE)</f>
        <v>0</v>
      </c>
      <c r="BD9" s="220">
        <f t="shared" ref="BD9:BD14" si="32">BB9-BC9</f>
        <v>0</v>
      </c>
      <c r="BE9" s="220"/>
      <c r="BF9" s="220" cm="1">
        <f t="array" ref="BF9">_xlfn.XLOOKUP(
   $B$4&amp;" "&amp;$B9,
   Actuals!$D:$D,
   _xlfn.XLOOKUP(
      BF$7,
      Actuals!$H$3:$BM$3,
      Actuals!$H:$BM
   )
)</f>
        <v>0</v>
      </c>
      <c r="BG9" s="220">
        <f>VLOOKUP($B$4&amp;" "&amp;$B9,Budget!$AG$4:$AL$132,BF$5+1,FALSE)</f>
        <v>0</v>
      </c>
      <c r="BH9" s="220">
        <f t="shared" ref="BH9:BH14" si="33">BF9-BG9</f>
        <v>0</v>
      </c>
      <c r="BI9" s="220"/>
      <c r="BJ9" s="220" cm="1">
        <f t="array" ref="BJ9">_xlfn.XLOOKUP(
   $B$4&amp;" "&amp;$B9,
   Actuals!$D:$D,
   _xlfn.XLOOKUP(
      BJ$7,
      Actuals!$H$3:$BM$3,
      Actuals!$H:$BM
   )
)</f>
        <v>0</v>
      </c>
      <c r="BK9" s="220">
        <f>VLOOKUP($B$4&amp;" "&amp;$B9,Budget!$AG$4:$AL$132,BJ$5+1,FALSE)</f>
        <v>0</v>
      </c>
      <c r="BL9" s="220">
        <f t="shared" ref="BL9:BL14" si="34">BJ9-BK9</f>
        <v>0</v>
      </c>
      <c r="BM9" s="220"/>
      <c r="BN9" s="220" cm="1">
        <f t="array" ref="BN9">_xlfn.XLOOKUP(
   $B$4&amp;" "&amp;$B9,
   Actuals!$D:$D,
   _xlfn.XLOOKUP(
      BN$7,
      Actuals!$H$3:$BM$3,
      Actuals!$H:$BM
   )
)</f>
        <v>0</v>
      </c>
      <c r="BO9" s="220">
        <f>VLOOKUP($B$4&amp;" "&amp;$B9,Budget!$AG$4:$AL$132,BN$5+1,FALSE)</f>
        <v>0</v>
      </c>
      <c r="BP9" s="220"/>
      <c r="BQ9" s="220"/>
      <c r="BR9" s="220" cm="1">
        <f t="array" aca="1" ref="BR9" ca="1">_xlfn.XLOOKUP(
   $B$4&amp;" "&amp;$B9,
   Actuals!$D:$D,
   _xlfn.XLOOKUP(
      BR$6,
      Actuals!$H$3:$BM$3,
      Actuals!$H:$BM
   )
)</f>
        <v>0</v>
      </c>
      <c r="BS9" s="220">
        <f ca="1">VLOOKUP($B$4&amp;" "&amp;$B9,Budget!$AG$4:$AL$132,6,FALSE)</f>
        <v>0</v>
      </c>
      <c r="BT9" s="220">
        <f t="shared" ref="BT9:BT14" ca="1" si="35">BR9-BS9</f>
        <v>0</v>
      </c>
      <c r="BU9" s="220"/>
      <c r="BV9" s="220" cm="1">
        <f t="array" ref="BV9">_xlfn.XLOOKUP(
   $B$4&amp;" "&amp;$B9,
   Actuals!$D:$D,
   _xlfn.XLOOKUP(
      BV$6,
      Actuals!$H$3:$BM$3,
      Actuals!$H:$BM
   )
)</f>
        <v>0</v>
      </c>
      <c r="BW9" s="26"/>
      <c r="BX9" s="26"/>
      <c r="BY9" s="26"/>
    </row>
    <row r="10" spans="2:77">
      <c r="B10" s="26" t="s">
        <v>169</v>
      </c>
      <c r="C10" s="139" t="s">
        <v>49</v>
      </c>
      <c r="D10" s="171" t="str">
        <f>VLOOKUP($B$4&amp;" "&amp;$B10,Actuals!$D$4:$AG$131,3,FALSE)</f>
        <v>$</v>
      </c>
      <c r="E10" s="220" cm="1">
        <f t="array" ref="E10">_xlfn.XLOOKUP(
   $B$4&amp;" "&amp;$B10,
   Actuals!$D:$D,
   _xlfn.XLOOKUP(
      E$6,
      Actuals!$H$3:$BD$3,
      Actuals!$H:$BD
   )
)</f>
        <v>25880</v>
      </c>
      <c r="F10" s="220" cm="1">
        <f t="array" ref="F10">_xlfn.XLOOKUP(
   $B$4&amp;" "&amp;$B10,
   Actuals!$D:$D,
   _xlfn.XLOOKUP(
      F$6,
      Actuals!$H$3:$BD$3,
      Actuals!$H:$BD
   )
)</f>
        <v>123093</v>
      </c>
      <c r="G10" s="220" cm="1">
        <f t="array" ref="G10">_xlfn.XLOOKUP(
   $B$4&amp;" "&amp;$B10,
   Actuals!$D:$D,
   _xlfn.XLOOKUP(
      G$6,
      Actuals!$H$3:$BD$3,
      Actuals!$H:$BD
   )
)</f>
        <v>126667</v>
      </c>
      <c r="H10" s="220" cm="1">
        <f t="array" ref="H10">_xlfn.XLOOKUP(
   $B$4&amp;" "&amp;$B10,
   Actuals!$D:$D,
   _xlfn.XLOOKUP(
      H$6,
      Actuals!$H$3:$BD$3,
      Actuals!$H:$BD
   )
)</f>
        <v>163490</v>
      </c>
      <c r="I10" s="220" cm="1">
        <f t="array" ref="I10">_xlfn.XLOOKUP(
   $B$4&amp;" "&amp;$B10,
   Actuals!$D:$D,
   _xlfn.XLOOKUP(
      I$6,
      Actuals!$H$3:$BD$3,
      Actuals!$H:$BD
   )
)</f>
        <v>39445</v>
      </c>
      <c r="J10" s="220" cm="1">
        <f t="array" ref="J10">_xlfn.XLOOKUP(
   $B$4&amp;" "&amp;$B10,
   Actuals!$D:$D,
   _xlfn.XLOOKUP(
      J$6,
      Actuals!$H$3:$BD$3,
      Actuals!$H:$BD
   )
)</f>
        <v>30218</v>
      </c>
      <c r="K10" s="220" cm="1">
        <f t="array" ref="K10">_xlfn.XLOOKUP(
   $B$4&amp;" "&amp;$B10,
   Actuals!$D:$D,
   _xlfn.XLOOKUP(
      K$6,
      Actuals!$H$3:$BD$3,
      Actuals!$H:$BD
   )
)</f>
        <v>6250</v>
      </c>
      <c r="L10" s="220" cm="1">
        <f t="array" ref="L10">_xlfn.XLOOKUP(
   $B$4&amp;" "&amp;$B10,
   Actuals!$D:$D,
   _xlfn.XLOOKUP(
      L$6,
      Actuals!$H$3:$BD$3,
      Actuals!$H:$BD
   )
)</f>
        <v>23447</v>
      </c>
      <c r="M10" s="220" cm="1">
        <f t="array" ref="M10">_xlfn.XLOOKUP(
   $B$4&amp;" "&amp;$B10,
   Actuals!$D:$D,
   _xlfn.XLOOKUP(
      M$6,
      Actuals!$H$3:$BD$3,
      Actuals!$H:$BD
   )
)</f>
        <v>86585</v>
      </c>
      <c r="N10" s="220" cm="1">
        <f t="array" ref="N10">_xlfn.XLOOKUP(
   $B$4&amp;" "&amp;$B10,
   Actuals!$D:$D,
   _xlfn.XLOOKUP(
      N$6,
      Actuals!$H$3:$BD$3,
      Actuals!$H:$BD
   )
)</f>
        <v>119987</v>
      </c>
      <c r="O10" s="220" cm="1">
        <f t="array" ref="O10">_xlfn.XLOOKUP(
   $B$4&amp;" "&amp;$B10,
   Actuals!$D:$D,
   _xlfn.XLOOKUP(
      O$6,
      Actuals!$H$3:$BD$3,
      Actuals!$H:$BD
   )
)</f>
        <v>0</v>
      </c>
      <c r="P10" s="220" cm="1">
        <f t="array" ref="P10">_xlfn.XLOOKUP(
   $B$4&amp;" "&amp;$B10,
   Actuals!$D:$D,
   _xlfn.XLOOKUP(
      P$6,
      Actuals!$H$3:$BD$3,
      Actuals!$H:$BD
   )
)</f>
        <v>0</v>
      </c>
      <c r="Q10" s="220" cm="1">
        <f t="array" ref="Q10">_xlfn.XLOOKUP(
   $B$4&amp;" "&amp;$B10,
   Actuals!$D:$D,
   _xlfn.XLOOKUP(
      Q$6,
      Actuals!$H$3:$BD$3,
      Actuals!$H:$BD
   )
)</f>
        <v>0</v>
      </c>
      <c r="R10" s="220" cm="1">
        <f t="array" ref="R10">_xlfn.XLOOKUP(
   $B$4&amp;" "&amp;$B10,
   Actuals!$D:$D,
   _xlfn.XLOOKUP(
      R$6,
      Actuals!$H$3:$BD$3,
      Actuals!$H:$BD
   )
)</f>
        <v>0</v>
      </c>
      <c r="S10" s="220" cm="1">
        <f t="array" ref="S10">_xlfn.XLOOKUP(
   $B$4&amp;" "&amp;$B10,
   Actuals!$D:$D,
   _xlfn.XLOOKUP(
      S$6,
      Actuals!$H$3:$BD$3,
      Actuals!$H:$BD
   )
)</f>
        <v>0</v>
      </c>
      <c r="T10" s="220" cm="1">
        <f t="array" ref="T10">_xlfn.XLOOKUP(
   $B$4&amp;" "&amp;$B10,
   Actuals!$D:$D,
   _xlfn.XLOOKUP(
      T$6,
      Actuals!$H$3:$BD$3,
      Actuals!$H:$BD
   )
)</f>
        <v>0</v>
      </c>
      <c r="U10" s="220" cm="1">
        <f t="array" ref="U10">_xlfn.XLOOKUP(
   $B$4&amp;" "&amp;$B10,
   Actuals!$D:$D,
   _xlfn.XLOOKUP(
      U$6,
      Actuals!$H$3:$BD$3,
      Actuals!$H:$BD
   )
)</f>
        <v>0</v>
      </c>
      <c r="V10" s="220" cm="1">
        <f t="array" ref="V10">_xlfn.XLOOKUP(
   $B$4&amp;" "&amp;$B10,
   Actuals!$D:$D,
   _xlfn.XLOOKUP(
      V$6,
      Actuals!$H$3:$BD$3,
      Actuals!$H:$BD
   )
)</f>
        <v>0</v>
      </c>
      <c r="W10" s="220" cm="1">
        <f t="array" ref="W10">_xlfn.XLOOKUP(
   $B$4&amp;" "&amp;$B10,
   Actuals!$D:$D,
   _xlfn.XLOOKUP(
      W$6,
      Actuals!$H$3:$BD$3,
      Actuals!$H:$BD
   )
)</f>
        <v>0</v>
      </c>
      <c r="X10" s="220" cm="1">
        <f t="array" ref="X10">_xlfn.XLOOKUP(
   $B$4&amp;" "&amp;$B10,
   Actuals!$D:$D,
   _xlfn.XLOOKUP(
      X$6,
      Actuals!$H$3:$BD$3,
      Actuals!$H:$BD
   )
)</f>
        <v>0</v>
      </c>
      <c r="Y10" s="220" cm="1">
        <f t="array" ref="Y10">_xlfn.XLOOKUP(
   $B$4&amp;" "&amp;$B10,
   Actuals!$D:$D,
   _xlfn.XLOOKUP(
      Y$6,
      Actuals!$H$3:$BD$3,
      Actuals!$H:$BD
   )
)</f>
        <v>0</v>
      </c>
      <c r="Z10" s="220" cm="1">
        <f t="array" ref="Z10">_xlfn.XLOOKUP(
   $B$4&amp;" "&amp;$B10,
   Actuals!$D:$D,
   _xlfn.XLOOKUP(
      Z$6,
      Actuals!$H$3:$BD$3,
      Actuals!$H:$BD
   )
)</f>
        <v>0</v>
      </c>
      <c r="AA10" s="220" cm="1">
        <f t="array" ref="AA10">_xlfn.XLOOKUP(
   $B$4&amp;" "&amp;$B10,
   Actuals!$D:$D,
   _xlfn.XLOOKUP(
      AA$6,
      Actuals!$H$3:$BD$3,
      Actuals!$H:$BD
   )
)</f>
        <v>0</v>
      </c>
      <c r="AB10" s="220" cm="1">
        <f t="array" ref="AB10">_xlfn.XLOOKUP(
   $B$4&amp;" "&amp;$B10,
   Actuals!$D:$D,
   _xlfn.XLOOKUP(
      AB$6,
      Actuals!$H$3:$BD$3,
      Actuals!$H:$BD
   )
)</f>
        <v>0</v>
      </c>
      <c r="AC10" s="220" cm="1">
        <f t="array" ref="AC10">_xlfn.XLOOKUP(
   $B$4&amp;" "&amp;$B10,
   Actuals!$D:$D,
   _xlfn.XLOOKUP(
      AC$6,
      Actuals!$H$3:$BD$3,
      Actuals!$H:$BD
   )
)</f>
        <v>0</v>
      </c>
      <c r="AD10" s="220" cm="1">
        <f t="array" ref="AD10">_xlfn.XLOOKUP(
   $B$4&amp;" "&amp;$B10,
   Actuals!$D:$D,
   _xlfn.XLOOKUP(
      AD$6,
      Actuals!$H$3:$BD$3,
      Actuals!$H:$BD
   )
)</f>
        <v>0</v>
      </c>
      <c r="AE10" s="220" cm="1">
        <f t="array" ref="AE10">_xlfn.XLOOKUP(
   $B$4&amp;" "&amp;$B10,
   Actuals!$D:$D,
   _xlfn.XLOOKUP(
      AE$6,
      Actuals!$H$3:$BD$3,
      Actuals!$H:$BD
   )
)</f>
        <v>0</v>
      </c>
      <c r="AF10" s="220" cm="1">
        <f t="array" ref="AF10">_xlfn.XLOOKUP(
   $B$4&amp;" "&amp;$B10,
   Actuals!$D:$D,
   _xlfn.XLOOKUP(
      AF$6,
      Actuals!$H$3:$BD$3,
      Actuals!$H:$BD
   )
)</f>
        <v>30000</v>
      </c>
      <c r="AG10" s="220" cm="1">
        <f t="array" ref="AG10">_xlfn.XLOOKUP(
   $B$4&amp;" "&amp;$B10,
   Actuals!$D:$D,
   _xlfn.XLOOKUP(
      AG$6,
      Actuals!$H$3:$BD$3,
      Actuals!$H:$BD
   )
)</f>
        <v>0</v>
      </c>
      <c r="AH10" s="220" cm="1">
        <f t="array" ref="AH10">_xlfn.XLOOKUP(
   $B$4&amp;" "&amp;$B10,
   Actuals!$D:$D,
   _xlfn.XLOOKUP(
      AH$6,
      Actuals!$H$3:$BD$3,
      Actuals!$H:$BD
   )
)</f>
        <v>0</v>
      </c>
      <c r="AI10" s="220" cm="1">
        <f t="array" ref="AI10">_xlfn.XLOOKUP(
   $B$4&amp;" "&amp;$B10,
   Actuals!$D:$D,
   _xlfn.XLOOKUP(
      AI$6,
      Actuals!$H$3:$BD$3,
      Actuals!$H:$BD
   )
)</f>
        <v>0</v>
      </c>
      <c r="AJ10" s="220" cm="1">
        <f t="array" ref="AJ10">_xlfn.XLOOKUP(
   $B$4&amp;" "&amp;$B10,
   Actuals!$D:$D,
   _xlfn.XLOOKUP(
      AJ$6,
      Actuals!$H$3:$BD$3,
      Actuals!$H:$BD
   )
)</f>
        <v>0</v>
      </c>
      <c r="AK10" s="220" cm="1">
        <f t="array" ref="AK10">_xlfn.XLOOKUP(
   $B$4&amp;" "&amp;$B10,
   Actuals!$D:$D,
   _xlfn.XLOOKUP(
      AK$6,
      Actuals!$H$3:$BD$3,
      Actuals!$H:$BD
   )
)</f>
        <v>0</v>
      </c>
      <c r="AL10" s="220" cm="1">
        <f t="array" ref="AL10">_xlfn.XLOOKUP(
   $B$4&amp;" "&amp;$B10,
   Actuals!$D:$D,
   _xlfn.XLOOKUP(
      AL$6,
      Actuals!$H$3:$BD$3,
      Actuals!$H:$BD
   )
)</f>
        <v>0</v>
      </c>
      <c r="AM10" s="220" cm="1">
        <f t="array" ref="AM10">_xlfn.XLOOKUP(
   $B$4&amp;" "&amp;$B10,
   Actuals!$D:$D,
   _xlfn.XLOOKUP(
      AM$6,
      Actuals!$H$3:$BD$3,
      Actuals!$H:$BD
   )
)</f>
        <v>0</v>
      </c>
      <c r="AN10" s="220" cm="1">
        <f t="array" ref="AN10">_xlfn.XLOOKUP(
   $B$4&amp;" "&amp;$B10,
   Actuals!$D:$D,
   _xlfn.XLOOKUP(
      AN$6,
      Actuals!$H$3:$BD$3,
      Actuals!$H:$BD
   )
)</f>
        <v>0</v>
      </c>
      <c r="AO10" s="220" cm="1">
        <f t="array" ref="AO10">_xlfn.XLOOKUP(
   $B$4&amp;" "&amp;$B10,
   Actuals!$D:$D,
   _xlfn.XLOOKUP(
      AO$6,
      Actuals!$H$3:$BD$3,
      Actuals!$H:$BD
   )
)</f>
        <v>0</v>
      </c>
      <c r="AP10" s="220" cm="1">
        <f t="array" ref="AP10">_xlfn.XLOOKUP(
   $B$4&amp;" "&amp;$B10,
   Actuals!$D:$D,
   _xlfn.XLOOKUP(
      AP$6,
      Actuals!$H$3:$BD$3,
      Actuals!$H:$BD
   )
)</f>
        <v>0</v>
      </c>
      <c r="AQ10" s="220" cm="1">
        <f t="array" ref="AQ10">_xlfn.XLOOKUP(
   $B$4&amp;" "&amp;$B10,
   Actuals!$D:$D,
   _xlfn.XLOOKUP(
      AQ$6,
      Actuals!$H$3:$BD$3,
      Actuals!$H:$BD
   )
)</f>
        <v>0</v>
      </c>
      <c r="AR10" s="220" cm="1">
        <f t="array" ref="AR10">_xlfn.XLOOKUP(
   $B$4&amp;" "&amp;$B10,
   Actuals!$D:$D,
   _xlfn.XLOOKUP(
      AR$6,
      Actuals!$H$3:$BD$3,
      Actuals!$H:$BD
   )
)</f>
        <v>0</v>
      </c>
      <c r="AS10" s="220" cm="1">
        <f t="array" ref="AS10">_xlfn.XLOOKUP(
   $B$4&amp;" "&amp;$B10,
   Actuals!$D:$D,
   _xlfn.XLOOKUP(
      AS$6,
      Actuals!$H$3:$BD$3,
      Actuals!$H:$BD
   )
)</f>
        <v>0</v>
      </c>
      <c r="AT10" s="220" cm="1">
        <f t="array" ref="AT10">_xlfn.XLOOKUP(
   $B$4&amp;" "&amp;$B10,
   Actuals!$D:$D,
   _xlfn.XLOOKUP(
      AT$6,
      Actuals!$H$3:$BD$3,
      Actuals!$H:$BD
   )
)</f>
        <v>0</v>
      </c>
      <c r="AU10" s="220" cm="1">
        <f t="array" ref="AU10">_xlfn.XLOOKUP(
   $B$4&amp;" "&amp;$B10,
   Actuals!$D:$D,
   _xlfn.XLOOKUP(
      AU$6,
      Actuals!$H$3:$BD$3,
      Actuals!$H:$BD
   )
)</f>
        <v>0</v>
      </c>
      <c r="AV10" s="220" cm="1">
        <f t="array" ref="AV10">_xlfn.XLOOKUP(
   $B$4&amp;" "&amp;$B10,
   Actuals!$D:$D,
   _xlfn.XLOOKUP(
      AV$6,
      Actuals!$H$3:$BD$3,
      Actuals!$H:$BD
   )
)</f>
        <v>0</v>
      </c>
      <c r="AW10" s="220" cm="1">
        <f t="array" ref="AW10">_xlfn.XLOOKUP(
   $B$4&amp;" "&amp;$B10,
   Actuals!$D:$D,
   _xlfn.XLOOKUP(
      AW$6,
      Actuals!$H$3:$BD$3,
      Actuals!$H:$BD
   )
)</f>
        <v>0</v>
      </c>
      <c r="AX10" s="220" cm="1">
        <f t="array" ref="AX10">_xlfn.XLOOKUP(
   $B$4&amp;" "&amp;$B10,
   Actuals!$D:$D,
   _xlfn.XLOOKUP(
      AX$6,
      Actuals!$H$3:$BD$3,
      Actuals!$H:$BD
   )
)</f>
        <v>0</v>
      </c>
      <c r="AY10" s="220" cm="1">
        <f t="array" ref="AY10">_xlfn.XLOOKUP(
   $B$4&amp;" "&amp;$B10,
   Actuals!$D:$D,
   _xlfn.XLOOKUP(
      AY$6,
      Actuals!$H$3:$BD$3,
      Actuals!$H:$BD
   )
)</f>
        <v>0</v>
      </c>
      <c r="AZ10" s="220" cm="1">
        <f t="array" ref="AZ10">_xlfn.XLOOKUP(
   $B$4&amp;" "&amp;$B10,
   Actuals!$D:$D,
   _xlfn.XLOOKUP(
      AZ$6,
      Actuals!$H$3:$BD$3,
      Actuals!$H:$BD
   )
)</f>
        <v>0</v>
      </c>
      <c r="BA10" s="220"/>
      <c r="BB10" s="220" cm="1">
        <f t="array" ref="BB10">_xlfn.XLOOKUP(
   $B$4&amp;" "&amp;$B10,
   Actuals!$D:$D,
   _xlfn.XLOOKUP(
      BB$7,
      Actuals!$H$3:$BM$3,
      Actuals!$H:$BM
   )
)</f>
        <v>0</v>
      </c>
      <c r="BC10" s="220">
        <f>VLOOKUP($B$4&amp;" "&amp;$B10,Budget!$AG$4:$AL$132,$BB$5+1,FALSE)</f>
        <v>0</v>
      </c>
      <c r="BD10" s="220">
        <f t="shared" si="32"/>
        <v>0</v>
      </c>
      <c r="BE10" s="220"/>
      <c r="BF10" s="220" cm="1">
        <f t="array" ref="BF10">_xlfn.XLOOKUP(
   $B$4&amp;" "&amp;$B10,
   Actuals!$D:$D,
   _xlfn.XLOOKUP(
      BF$7,
      Actuals!$H$3:$BM$3,
      Actuals!$H:$BM
   )
)</f>
        <v>0</v>
      </c>
      <c r="BG10" s="220">
        <f>VLOOKUP($B$4&amp;" "&amp;$B10,Budget!$AG$4:$AL$132,BF$5+1,FALSE)</f>
        <v>0</v>
      </c>
      <c r="BH10" s="220">
        <f t="shared" si="33"/>
        <v>0</v>
      </c>
      <c r="BI10" s="220"/>
      <c r="BJ10" s="220" cm="1">
        <f t="array" ref="BJ10">_xlfn.XLOOKUP(
   $B$4&amp;" "&amp;$B10,
   Actuals!$D:$D,
   _xlfn.XLOOKUP(
      BJ$7,
      Actuals!$H$3:$BM$3,
      Actuals!$H:$BM
   )
)</f>
        <v>0</v>
      </c>
      <c r="BK10" s="220">
        <f>VLOOKUP($B$4&amp;" "&amp;$B10,Budget!$AG$4:$AL$132,BJ$5+1,FALSE)</f>
        <v>0</v>
      </c>
      <c r="BL10" s="220">
        <f t="shared" si="34"/>
        <v>0</v>
      </c>
      <c r="BM10" s="220"/>
      <c r="BN10" s="220" cm="1">
        <f t="array" ref="BN10">_xlfn.XLOOKUP(
   $B$4&amp;" "&amp;$B10,
   Actuals!$D:$D,
   _xlfn.XLOOKUP(
      BN$7,
      Actuals!$H$3:$BM$3,
      Actuals!$H:$BM
   )
)</f>
        <v>0</v>
      </c>
      <c r="BO10" s="220">
        <f>VLOOKUP($B$4&amp;" "&amp;$B10,Budget!$AG$4:$AL$132,BN$5+1,FALSE)</f>
        <v>0</v>
      </c>
      <c r="BP10" s="220"/>
      <c r="BQ10" s="220"/>
      <c r="BR10" s="220" cm="1">
        <f t="array" aca="1" ref="BR10" ca="1">_xlfn.XLOOKUP(
   $B$4&amp;" "&amp;$B10,
   Actuals!$D:$D,
   _xlfn.XLOOKUP(
      BR$6,
      Actuals!$H$3:$BM$3,
      Actuals!$H:$BM
   )
)</f>
        <v>0</v>
      </c>
      <c r="BS10" s="220">
        <f ca="1">VLOOKUP($B$4&amp;" "&amp;$B10,Budget!$AG$4:$AL$132,6,FALSE)</f>
        <v>0</v>
      </c>
      <c r="BT10" s="220">
        <f t="shared" ca="1" si="35"/>
        <v>0</v>
      </c>
      <c r="BU10" s="220"/>
      <c r="BV10" s="220" cm="1">
        <f t="array" ref="BV10">_xlfn.XLOOKUP(
   $B$4&amp;" "&amp;$B10,
   Actuals!$D:$D,
   _xlfn.XLOOKUP(
      BV$6,
      Actuals!$H$3:$BM$3,
      Actuals!$H:$BM
   )
)</f>
        <v>30000</v>
      </c>
      <c r="BW10" s="26"/>
      <c r="BX10" s="26"/>
      <c r="BY10" s="26"/>
    </row>
    <row r="11" spans="2:77">
      <c r="B11" s="26" t="s">
        <v>170</v>
      </c>
      <c r="C11" s="139" t="s">
        <v>49</v>
      </c>
      <c r="D11" s="171" t="str">
        <f>VLOOKUP($B$4&amp;" "&amp;$B11,Actuals!$D$4:$AG$131,3,FALSE)</f>
        <v>$</v>
      </c>
      <c r="E11" s="220" cm="1">
        <f t="array" ref="E11">_xlfn.XLOOKUP(
   $B$4&amp;" "&amp;$B11,
   Actuals!$D:$D,
   _xlfn.XLOOKUP(
      E$6,
      Actuals!$H$3:$BD$3,
      Actuals!$H:$BD
   )
)</f>
        <v>0</v>
      </c>
      <c r="F11" s="220" cm="1">
        <f t="array" ref="F11">_xlfn.XLOOKUP(
   $B$4&amp;" "&amp;$B11,
   Actuals!$D:$D,
   _xlfn.XLOOKUP(
      F$6,
      Actuals!$H$3:$BD$3,
      Actuals!$H:$BD
   )
)</f>
        <v>0</v>
      </c>
      <c r="G11" s="220" cm="1">
        <f t="array" ref="G11">_xlfn.XLOOKUP(
   $B$4&amp;" "&amp;$B11,
   Actuals!$D:$D,
   _xlfn.XLOOKUP(
      G$6,
      Actuals!$H$3:$BD$3,
      Actuals!$H:$BD
   )
)</f>
        <v>0</v>
      </c>
      <c r="H11" s="220" cm="1">
        <f t="array" ref="H11">_xlfn.XLOOKUP(
   $B$4&amp;" "&amp;$B11,
   Actuals!$D:$D,
   _xlfn.XLOOKUP(
      H$6,
      Actuals!$H$3:$BD$3,
      Actuals!$H:$BD
   )
)</f>
        <v>0</v>
      </c>
      <c r="I11" s="220" cm="1">
        <f t="array" ref="I11">_xlfn.XLOOKUP(
   $B$4&amp;" "&amp;$B11,
   Actuals!$D:$D,
   _xlfn.XLOOKUP(
      I$6,
      Actuals!$H$3:$BD$3,
      Actuals!$H:$BD
   )
)</f>
        <v>0</v>
      </c>
      <c r="J11" s="220" cm="1">
        <f t="array" ref="J11">_xlfn.XLOOKUP(
   $B$4&amp;" "&amp;$B11,
   Actuals!$D:$D,
   _xlfn.XLOOKUP(
      J$6,
      Actuals!$H$3:$BD$3,
      Actuals!$H:$BD
   )
)</f>
        <v>0</v>
      </c>
      <c r="K11" s="220" cm="1">
        <f t="array" ref="K11">_xlfn.XLOOKUP(
   $B$4&amp;" "&amp;$B11,
   Actuals!$D:$D,
   _xlfn.XLOOKUP(
      K$6,
      Actuals!$H$3:$BD$3,
      Actuals!$H:$BD
   )
)</f>
        <v>0</v>
      </c>
      <c r="L11" s="220" cm="1">
        <f t="array" ref="L11">_xlfn.XLOOKUP(
   $B$4&amp;" "&amp;$B11,
   Actuals!$D:$D,
   _xlfn.XLOOKUP(
      L$6,
      Actuals!$H$3:$BD$3,
      Actuals!$H:$BD
   )
)</f>
        <v>0</v>
      </c>
      <c r="M11" s="220" cm="1">
        <f t="array" ref="M11">_xlfn.XLOOKUP(
   $B$4&amp;" "&amp;$B11,
   Actuals!$D:$D,
   _xlfn.XLOOKUP(
      M$6,
      Actuals!$H$3:$BD$3,
      Actuals!$H:$BD
   )
)</f>
        <v>0</v>
      </c>
      <c r="N11" s="220" cm="1">
        <f t="array" ref="N11">_xlfn.XLOOKUP(
   $B$4&amp;" "&amp;$B11,
   Actuals!$D:$D,
   _xlfn.XLOOKUP(
      N$6,
      Actuals!$H$3:$BD$3,
      Actuals!$H:$BD
   )
)</f>
        <v>0</v>
      </c>
      <c r="O11" s="220" cm="1">
        <f t="array" ref="O11">_xlfn.XLOOKUP(
   $B$4&amp;" "&amp;$B11,
   Actuals!$D:$D,
   _xlfn.XLOOKUP(
      O$6,
      Actuals!$H$3:$BD$3,
      Actuals!$H:$BD
   )
)</f>
        <v>0</v>
      </c>
      <c r="P11" s="220" cm="1">
        <f t="array" ref="P11">_xlfn.XLOOKUP(
   $B$4&amp;" "&amp;$B11,
   Actuals!$D:$D,
   _xlfn.XLOOKUP(
      P$6,
      Actuals!$H$3:$BD$3,
      Actuals!$H:$BD
   )
)</f>
        <v>0</v>
      </c>
      <c r="Q11" s="220" cm="1">
        <f t="array" ref="Q11">_xlfn.XLOOKUP(
   $B$4&amp;" "&amp;$B11,
   Actuals!$D:$D,
   _xlfn.XLOOKUP(
      Q$6,
      Actuals!$H$3:$BD$3,
      Actuals!$H:$BD
   )
)</f>
        <v>0</v>
      </c>
      <c r="R11" s="220" cm="1">
        <f t="array" ref="R11">_xlfn.XLOOKUP(
   $B$4&amp;" "&amp;$B11,
   Actuals!$D:$D,
   _xlfn.XLOOKUP(
      R$6,
      Actuals!$H$3:$BD$3,
      Actuals!$H:$BD
   )
)</f>
        <v>0</v>
      </c>
      <c r="S11" s="220" cm="1">
        <f t="array" ref="S11">_xlfn.XLOOKUP(
   $B$4&amp;" "&amp;$B11,
   Actuals!$D:$D,
   _xlfn.XLOOKUP(
      S$6,
      Actuals!$H$3:$BD$3,
      Actuals!$H:$BD
   )
)</f>
        <v>0</v>
      </c>
      <c r="T11" s="220" cm="1">
        <f t="array" ref="T11">_xlfn.XLOOKUP(
   $B$4&amp;" "&amp;$B11,
   Actuals!$D:$D,
   _xlfn.XLOOKUP(
      T$6,
      Actuals!$H$3:$BD$3,
      Actuals!$H:$BD
   )
)</f>
        <v>0</v>
      </c>
      <c r="U11" s="220" cm="1">
        <f t="array" ref="U11">_xlfn.XLOOKUP(
   $B$4&amp;" "&amp;$B11,
   Actuals!$D:$D,
   _xlfn.XLOOKUP(
      U$6,
      Actuals!$H$3:$BD$3,
      Actuals!$H:$BD
   )
)</f>
        <v>0</v>
      </c>
      <c r="V11" s="220" cm="1">
        <f t="array" ref="V11">_xlfn.XLOOKUP(
   $B$4&amp;" "&amp;$B11,
   Actuals!$D:$D,
   _xlfn.XLOOKUP(
      V$6,
      Actuals!$H$3:$BD$3,
      Actuals!$H:$BD
   )
)</f>
        <v>0</v>
      </c>
      <c r="W11" s="220" cm="1">
        <f t="array" ref="W11">_xlfn.XLOOKUP(
   $B$4&amp;" "&amp;$B11,
   Actuals!$D:$D,
   _xlfn.XLOOKUP(
      W$6,
      Actuals!$H$3:$BD$3,
      Actuals!$H:$BD
   )
)</f>
        <v>0</v>
      </c>
      <c r="X11" s="220" cm="1">
        <f t="array" ref="X11">_xlfn.XLOOKUP(
   $B$4&amp;" "&amp;$B11,
   Actuals!$D:$D,
   _xlfn.XLOOKUP(
      X$6,
      Actuals!$H$3:$BD$3,
      Actuals!$H:$BD
   )
)</f>
        <v>0</v>
      </c>
      <c r="Y11" s="220" cm="1">
        <f t="array" ref="Y11">_xlfn.XLOOKUP(
   $B$4&amp;" "&amp;$B11,
   Actuals!$D:$D,
   _xlfn.XLOOKUP(
      Y$6,
      Actuals!$H$3:$BD$3,
      Actuals!$H:$BD
   )
)</f>
        <v>0</v>
      </c>
      <c r="Z11" s="220" cm="1">
        <f t="array" ref="Z11">_xlfn.XLOOKUP(
   $B$4&amp;" "&amp;$B11,
   Actuals!$D:$D,
   _xlfn.XLOOKUP(
      Z$6,
      Actuals!$H$3:$BD$3,
      Actuals!$H:$BD
   )
)</f>
        <v>0</v>
      </c>
      <c r="AA11" s="220" cm="1">
        <f t="array" ref="AA11">_xlfn.XLOOKUP(
   $B$4&amp;" "&amp;$B11,
   Actuals!$D:$D,
   _xlfn.XLOOKUP(
      AA$6,
      Actuals!$H$3:$BD$3,
      Actuals!$H:$BD
   )
)</f>
        <v>0</v>
      </c>
      <c r="AB11" s="220" cm="1">
        <f t="array" ref="AB11">_xlfn.XLOOKUP(
   $B$4&amp;" "&amp;$B11,
   Actuals!$D:$D,
   _xlfn.XLOOKUP(
      AB$6,
      Actuals!$H$3:$BD$3,
      Actuals!$H:$BD
   )
)</f>
        <v>0</v>
      </c>
      <c r="AC11" s="220" cm="1">
        <f t="array" ref="AC11">_xlfn.XLOOKUP(
   $B$4&amp;" "&amp;$B11,
   Actuals!$D:$D,
   _xlfn.XLOOKUP(
      AC$6,
      Actuals!$H$3:$BD$3,
      Actuals!$H:$BD
   )
)</f>
        <v>39081</v>
      </c>
      <c r="AD11" s="220" cm="1">
        <f t="array" ref="AD11">_xlfn.XLOOKUP(
   $B$4&amp;" "&amp;$B11,
   Actuals!$D:$D,
   _xlfn.XLOOKUP(
      AD$6,
      Actuals!$H$3:$BD$3,
      Actuals!$H:$BD
   )
)</f>
        <v>31790</v>
      </c>
      <c r="AE11" s="220" cm="1">
        <f t="array" ref="AE11">_xlfn.XLOOKUP(
   $B$4&amp;" "&amp;$B11,
   Actuals!$D:$D,
   _xlfn.XLOOKUP(
      AE$6,
      Actuals!$H$3:$BD$3,
      Actuals!$H:$BD
   )
)</f>
        <v>69355.05</v>
      </c>
      <c r="AF11" s="220" cm="1">
        <f t="array" ref="AF11">_xlfn.XLOOKUP(
   $B$4&amp;" "&amp;$B11,
   Actuals!$D:$D,
   _xlfn.XLOOKUP(
      AF$6,
      Actuals!$H$3:$BD$3,
      Actuals!$H:$BD
   )
)</f>
        <v>0</v>
      </c>
      <c r="AG11" s="220" cm="1">
        <f t="array" ref="AG11">_xlfn.XLOOKUP(
   $B$4&amp;" "&amp;$B11,
   Actuals!$D:$D,
   _xlfn.XLOOKUP(
      AG$6,
      Actuals!$H$3:$BD$3,
      Actuals!$H:$BD
   )
)</f>
        <v>48828</v>
      </c>
      <c r="AH11" s="220" cm="1">
        <f t="array" ref="AH11">_xlfn.XLOOKUP(
   $B$4&amp;" "&amp;$B11,
   Actuals!$D:$D,
   _xlfn.XLOOKUP(
      AH$6,
      Actuals!$H$3:$BD$3,
      Actuals!$H:$BD
   )
)</f>
        <v>43078</v>
      </c>
      <c r="AI11" s="220" cm="1">
        <f t="array" ref="AI11">_xlfn.XLOOKUP(
   $B$4&amp;" "&amp;$B11,
   Actuals!$D:$D,
   _xlfn.XLOOKUP(
      AI$6,
      Actuals!$H$3:$BD$3,
      Actuals!$H:$BD
   )
)</f>
        <v>45221</v>
      </c>
      <c r="AJ11" s="220" cm="1">
        <f t="array" ref="AJ11">_xlfn.XLOOKUP(
   $B$4&amp;" "&amp;$B11,
   Actuals!$D:$D,
   _xlfn.XLOOKUP(
      AJ$6,
      Actuals!$H$3:$BD$3,
      Actuals!$H:$BD
   )
)</f>
        <v>20876.95</v>
      </c>
      <c r="AK11" s="220" cm="1">
        <f t="array" ref="AK11">_xlfn.XLOOKUP(
   $B$4&amp;" "&amp;$B11,
   Actuals!$D:$D,
   _xlfn.XLOOKUP(
      AK$6,
      Actuals!$H$3:$BD$3,
      Actuals!$H:$BD
   )
)</f>
        <v>56000</v>
      </c>
      <c r="AL11" s="220" cm="1">
        <f t="array" ref="AL11">_xlfn.XLOOKUP(
   $B$4&amp;" "&amp;$B11,
   Actuals!$D:$D,
   _xlfn.XLOOKUP(
      AL$6,
      Actuals!$H$3:$BD$3,
      Actuals!$H:$BD
   )
)</f>
        <v>20162</v>
      </c>
      <c r="AM11" s="220" cm="1">
        <f t="array" ref="AM11">_xlfn.XLOOKUP(
   $B$4&amp;" "&amp;$B11,
   Actuals!$D:$D,
   _xlfn.XLOOKUP(
      AM$6,
      Actuals!$H$3:$BD$3,
      Actuals!$H:$BD
   )
)</f>
        <v>11744</v>
      </c>
      <c r="AN11" s="220" cm="1">
        <f t="array" ref="AN11">_xlfn.XLOOKUP(
   $B$4&amp;" "&amp;$B11,
   Actuals!$D:$D,
   _xlfn.XLOOKUP(
      AN$6,
      Actuals!$H$3:$BD$3,
      Actuals!$H:$BD
   )
)</f>
        <v>13142</v>
      </c>
      <c r="AO11" s="220" cm="1">
        <f t="array" ref="AO11">_xlfn.XLOOKUP(
   $B$4&amp;" "&amp;$B11,
   Actuals!$D:$D,
   _xlfn.XLOOKUP(
      AO$6,
      Actuals!$H$3:$BD$3,
      Actuals!$H:$BD
   )
)</f>
        <v>0</v>
      </c>
      <c r="AP11" s="220" cm="1">
        <f t="array" ref="AP11">_xlfn.XLOOKUP(
   $B$4&amp;" "&amp;$B11,
   Actuals!$D:$D,
   _xlfn.XLOOKUP(
      AP$6,
      Actuals!$H$3:$BD$3,
      Actuals!$H:$BD
   )
)</f>
        <v>0</v>
      </c>
      <c r="AQ11" s="220" cm="1">
        <f t="array" ref="AQ11">_xlfn.XLOOKUP(
   $B$4&amp;" "&amp;$B11,
   Actuals!$D:$D,
   _xlfn.XLOOKUP(
      AQ$6,
      Actuals!$H$3:$BD$3,
      Actuals!$H:$BD
   )
)</f>
        <v>0</v>
      </c>
      <c r="AR11" s="220" cm="1">
        <f t="array" ref="AR11">_xlfn.XLOOKUP(
   $B$4&amp;" "&amp;$B11,
   Actuals!$D:$D,
   _xlfn.XLOOKUP(
      AR$6,
      Actuals!$H$3:$BD$3,
      Actuals!$H:$BD
   )
)</f>
        <v>0</v>
      </c>
      <c r="AS11" s="220" cm="1">
        <f t="array" ref="AS11">_xlfn.XLOOKUP(
   $B$4&amp;" "&amp;$B11,
   Actuals!$D:$D,
   _xlfn.XLOOKUP(
      AS$6,
      Actuals!$H$3:$BD$3,
      Actuals!$H:$BD
   )
)</f>
        <v>0</v>
      </c>
      <c r="AT11" s="220" cm="1">
        <f t="array" ref="AT11">_xlfn.XLOOKUP(
   $B$4&amp;" "&amp;$B11,
   Actuals!$D:$D,
   _xlfn.XLOOKUP(
      AT$6,
      Actuals!$H$3:$BD$3,
      Actuals!$H:$BD
   )
)</f>
        <v>0</v>
      </c>
      <c r="AU11" s="220" cm="1">
        <f t="array" ref="AU11">_xlfn.XLOOKUP(
   $B$4&amp;" "&amp;$B11,
   Actuals!$D:$D,
   _xlfn.XLOOKUP(
      AU$6,
      Actuals!$H$3:$BD$3,
      Actuals!$H:$BD
   )
)</f>
        <v>0</v>
      </c>
      <c r="AV11" s="220" cm="1">
        <f t="array" ref="AV11">_xlfn.XLOOKUP(
   $B$4&amp;" "&amp;$B11,
   Actuals!$D:$D,
   _xlfn.XLOOKUP(
      AV$6,
      Actuals!$H$3:$BD$3,
      Actuals!$H:$BD
   )
)</f>
        <v>0</v>
      </c>
      <c r="AW11" s="220" cm="1">
        <f t="array" ref="AW11">_xlfn.XLOOKUP(
   $B$4&amp;" "&amp;$B11,
   Actuals!$D:$D,
   _xlfn.XLOOKUP(
      AW$6,
      Actuals!$H$3:$BD$3,
      Actuals!$H:$BD
   )
)</f>
        <v>0</v>
      </c>
      <c r="AX11" s="220" cm="1">
        <f t="array" ref="AX11">_xlfn.XLOOKUP(
   $B$4&amp;" "&amp;$B11,
   Actuals!$D:$D,
   _xlfn.XLOOKUP(
      AX$6,
      Actuals!$H$3:$BD$3,
      Actuals!$H:$BD
   )
)</f>
        <v>0</v>
      </c>
      <c r="AY11" s="220" cm="1">
        <f t="array" ref="AY11">_xlfn.XLOOKUP(
   $B$4&amp;" "&amp;$B11,
   Actuals!$D:$D,
   _xlfn.XLOOKUP(
      AY$6,
      Actuals!$H$3:$BD$3,
      Actuals!$H:$BD
   )
)</f>
        <v>0</v>
      </c>
      <c r="AZ11" s="220" cm="1">
        <f t="array" ref="AZ11">_xlfn.XLOOKUP(
   $B$4&amp;" "&amp;$B11,
   Actuals!$D:$D,
   _xlfn.XLOOKUP(
      AZ$6,
      Actuals!$H$3:$BD$3,
      Actuals!$H:$BD
   )
)</f>
        <v>0</v>
      </c>
      <c r="BA11" s="220"/>
      <c r="BB11" s="220" cm="1">
        <f t="array" ref="BB11">_xlfn.XLOOKUP(
   $B$4&amp;" "&amp;$B11,
   Actuals!$D:$D,
   _xlfn.XLOOKUP(
      BB$7,
      Actuals!$H$3:$BM$3,
      Actuals!$H:$BM
   )
)</f>
        <v>0</v>
      </c>
      <c r="BC11" s="220">
        <f>VLOOKUP($B$4&amp;" "&amp;$B11,Budget!$AG$4:$AL$132,$BB$5+1,FALSE)</f>
        <v>0</v>
      </c>
      <c r="BD11" s="220">
        <f t="shared" si="32"/>
        <v>0</v>
      </c>
      <c r="BE11" s="220"/>
      <c r="BF11" s="220" cm="1">
        <f t="array" ref="BF11">_xlfn.XLOOKUP(
   $B$4&amp;" "&amp;$B11,
   Actuals!$D:$D,
   _xlfn.XLOOKUP(
      BF$7,
      Actuals!$H$3:$BM$3,
      Actuals!$H:$BM
   )
)</f>
        <v>0</v>
      </c>
      <c r="BG11" s="220">
        <f>VLOOKUP($B$4&amp;" "&amp;$B11,Budget!$AG$4:$AL$132,BF$5+1,FALSE)</f>
        <v>0</v>
      </c>
      <c r="BH11" s="220">
        <f t="shared" si="33"/>
        <v>0</v>
      </c>
      <c r="BI11" s="220"/>
      <c r="BJ11" s="220" cm="1">
        <f t="array" ref="BJ11">_xlfn.XLOOKUP(
   $B$4&amp;" "&amp;$B11,
   Actuals!$D:$D,
   _xlfn.XLOOKUP(
      BJ$7,
      Actuals!$H$3:$BM$3,
      Actuals!$H:$BM
   )
)</f>
        <v>0</v>
      </c>
      <c r="BK11" s="220">
        <f>VLOOKUP($B$4&amp;" "&amp;$B11,Budget!$AG$4:$AL$132,BJ$5+1,FALSE)</f>
        <v>0</v>
      </c>
      <c r="BL11" s="220">
        <f t="shared" si="34"/>
        <v>0</v>
      </c>
      <c r="BM11" s="220"/>
      <c r="BN11" s="220" cm="1">
        <f t="array" ref="BN11">_xlfn.XLOOKUP(
   $B$4&amp;" "&amp;$B11,
   Actuals!$D:$D,
   _xlfn.XLOOKUP(
      BN$7,
      Actuals!$H$3:$BM$3,
      Actuals!$H:$BM
   )
)</f>
        <v>0</v>
      </c>
      <c r="BO11" s="220">
        <f>VLOOKUP($B$4&amp;" "&amp;$B11,Budget!$AG$4:$AL$132,BN$5+1,FALSE)</f>
        <v>0</v>
      </c>
      <c r="BP11" s="220"/>
      <c r="BQ11" s="220"/>
      <c r="BR11" s="220" cm="1">
        <f t="array" aca="1" ref="BR11" ca="1">_xlfn.XLOOKUP(
   $B$4&amp;" "&amp;$B11,
   Actuals!$D:$D,
   _xlfn.XLOOKUP(
      BR$6,
      Actuals!$H$3:$BM$3,
      Actuals!$H:$BM
   )
)</f>
        <v>0</v>
      </c>
      <c r="BS11" s="220">
        <f ca="1">VLOOKUP($B$4&amp;" "&amp;$B11,Budget!$AG$4:$AL$132,6,FALSE)</f>
        <v>0</v>
      </c>
      <c r="BT11" s="220">
        <f t="shared" ca="1" si="35"/>
        <v>0</v>
      </c>
      <c r="BU11" s="220"/>
      <c r="BV11" s="220" cm="1">
        <f t="array" ref="BV11">_xlfn.XLOOKUP(
   $B$4&amp;" "&amp;$B11,
   Actuals!$D:$D,
   _xlfn.XLOOKUP(
      BV$6,
      Actuals!$H$3:$BM$3,
      Actuals!$H:$BM
   )
)</f>
        <v>360197</v>
      </c>
      <c r="BW11" s="26"/>
      <c r="BX11" s="26"/>
      <c r="BY11" s="26"/>
    </row>
    <row r="12" spans="2:77">
      <c r="B12" s="29" t="s">
        <v>171</v>
      </c>
      <c r="C12" s="142" t="s">
        <v>49</v>
      </c>
      <c r="D12" s="172" t="str">
        <f>VLOOKUP($B$4&amp;" "&amp;$B12,Actuals!$D$4:$AG$131,3,FALSE)</f>
        <v>$</v>
      </c>
      <c r="E12" s="221" cm="1">
        <f t="array" ref="E12">_xlfn.XLOOKUP(
   $B$4&amp;" "&amp;$B12,
   Actuals!$D:$D,
   _xlfn.XLOOKUP(
      E$6,
      Actuals!$H$3:$BD$3,
      Actuals!$H:$BD
   )
)</f>
        <v>53787</v>
      </c>
      <c r="F12" s="221" cm="1">
        <f t="array" ref="F12">_xlfn.XLOOKUP(
   $B$4&amp;" "&amp;$B12,
   Actuals!$D:$D,
   _xlfn.XLOOKUP(
      F$6,
      Actuals!$H$3:$BD$3,
      Actuals!$H:$BD
   )
)</f>
        <v>123093</v>
      </c>
      <c r="G12" s="221" cm="1">
        <f t="array" ref="G12">_xlfn.XLOOKUP(
   $B$4&amp;" "&amp;$B12,
   Actuals!$D:$D,
   _xlfn.XLOOKUP(
      G$6,
      Actuals!$H$3:$BD$3,
      Actuals!$H:$BD
   )
)</f>
        <v>141667</v>
      </c>
      <c r="H12" s="221" cm="1">
        <f t="array" ref="H12">_xlfn.XLOOKUP(
   $B$4&amp;" "&amp;$B12,
   Actuals!$D:$D,
   _xlfn.XLOOKUP(
      H$6,
      Actuals!$H$3:$BD$3,
      Actuals!$H:$BD
   )
)</f>
        <v>243490</v>
      </c>
      <c r="I12" s="221" cm="1">
        <f t="array" ref="I12">_xlfn.XLOOKUP(
   $B$4&amp;" "&amp;$B12,
   Actuals!$D:$D,
   _xlfn.XLOOKUP(
      I$6,
      Actuals!$H$3:$BD$3,
      Actuals!$H:$BD
   )
)</f>
        <v>39445</v>
      </c>
      <c r="J12" s="221" cm="1">
        <f t="array" ref="J12">_xlfn.XLOOKUP(
   $B$4&amp;" "&amp;$B12,
   Actuals!$D:$D,
   _xlfn.XLOOKUP(
      J$6,
      Actuals!$H$3:$BD$3,
      Actuals!$H:$BD
   )
)</f>
        <v>30218</v>
      </c>
      <c r="K12" s="221" cm="1">
        <f t="array" ref="K12">_xlfn.XLOOKUP(
   $B$4&amp;" "&amp;$B12,
   Actuals!$D:$D,
   _xlfn.XLOOKUP(
      K$6,
      Actuals!$H$3:$BD$3,
      Actuals!$H:$BD
   )
)</f>
        <v>6250</v>
      </c>
      <c r="L12" s="221" cm="1">
        <f t="array" ref="L12">_xlfn.XLOOKUP(
   $B$4&amp;" "&amp;$B12,
   Actuals!$D:$D,
   _xlfn.XLOOKUP(
      L$6,
      Actuals!$H$3:$BD$3,
      Actuals!$H:$BD
   )
)</f>
        <v>8447</v>
      </c>
      <c r="M12" s="221" cm="1">
        <f t="array" ref="M12">_xlfn.XLOOKUP(
   $B$4&amp;" "&amp;$B12,
   Actuals!$D:$D,
   _xlfn.XLOOKUP(
      M$6,
      Actuals!$H$3:$BD$3,
      Actuals!$H:$BD
   )
)</f>
        <v>86585</v>
      </c>
      <c r="N12" s="221" cm="1">
        <f t="array" ref="N12">_xlfn.XLOOKUP(
   $B$4&amp;" "&amp;$B12,
   Actuals!$D:$D,
   _xlfn.XLOOKUP(
      N$6,
      Actuals!$H$3:$BD$3,
      Actuals!$H:$BD
   )
)</f>
        <v>119987</v>
      </c>
      <c r="O12" s="221" cm="1">
        <f t="array" ref="O12">_xlfn.XLOOKUP(
   $B$4&amp;" "&amp;$B12,
   Actuals!$D:$D,
   _xlfn.XLOOKUP(
      O$6,
      Actuals!$H$3:$BD$3,
      Actuals!$H:$BD
   )
)</f>
        <v>0</v>
      </c>
      <c r="P12" s="221" cm="1">
        <f t="array" ref="P12">_xlfn.XLOOKUP(
   $B$4&amp;" "&amp;$B12,
   Actuals!$D:$D,
   _xlfn.XLOOKUP(
      P$6,
      Actuals!$H$3:$BD$3,
      Actuals!$H:$BD
   )
)</f>
        <v>0</v>
      </c>
      <c r="Q12" s="221" cm="1">
        <f t="array" ref="Q12">_xlfn.XLOOKUP(
   $B$4&amp;" "&amp;$B12,
   Actuals!$D:$D,
   _xlfn.XLOOKUP(
      Q$6,
      Actuals!$H$3:$BD$3,
      Actuals!$H:$BD
   )
)</f>
        <v>0</v>
      </c>
      <c r="R12" s="221" cm="1">
        <f t="array" ref="R12">_xlfn.XLOOKUP(
   $B$4&amp;" "&amp;$B12,
   Actuals!$D:$D,
   _xlfn.XLOOKUP(
      R$6,
      Actuals!$H$3:$BD$3,
      Actuals!$H:$BD
   )
)</f>
        <v>0</v>
      </c>
      <c r="S12" s="221" cm="1">
        <f t="array" ref="S12">_xlfn.XLOOKUP(
   $B$4&amp;" "&amp;$B12,
   Actuals!$D:$D,
   _xlfn.XLOOKUP(
      S$6,
      Actuals!$H$3:$BD$3,
      Actuals!$H:$BD
   )
)</f>
        <v>0</v>
      </c>
      <c r="T12" s="221" cm="1">
        <f t="array" ref="T12">_xlfn.XLOOKUP(
   $B$4&amp;" "&amp;$B12,
   Actuals!$D:$D,
   _xlfn.XLOOKUP(
      T$6,
      Actuals!$H$3:$BD$3,
      Actuals!$H:$BD
   )
)</f>
        <v>0</v>
      </c>
      <c r="U12" s="221" cm="1">
        <f t="array" ref="U12">_xlfn.XLOOKUP(
   $B$4&amp;" "&amp;$B12,
   Actuals!$D:$D,
   _xlfn.XLOOKUP(
      U$6,
      Actuals!$H$3:$BD$3,
      Actuals!$H:$BD
   )
)</f>
        <v>0</v>
      </c>
      <c r="V12" s="221" cm="1">
        <f t="array" ref="V12">_xlfn.XLOOKUP(
   $B$4&amp;" "&amp;$B12,
   Actuals!$D:$D,
   _xlfn.XLOOKUP(
      V$6,
      Actuals!$H$3:$BD$3,
      Actuals!$H:$BD
   )
)</f>
        <v>0</v>
      </c>
      <c r="W12" s="221" cm="1">
        <f t="array" ref="W12">_xlfn.XLOOKUP(
   $B$4&amp;" "&amp;$B12,
   Actuals!$D:$D,
   _xlfn.XLOOKUP(
      W$6,
      Actuals!$H$3:$BD$3,
      Actuals!$H:$BD
   )
)</f>
        <v>0</v>
      </c>
      <c r="X12" s="221" cm="1">
        <f t="array" ref="X12">_xlfn.XLOOKUP(
   $B$4&amp;" "&amp;$B12,
   Actuals!$D:$D,
   _xlfn.XLOOKUP(
      X$6,
      Actuals!$H$3:$BD$3,
      Actuals!$H:$BD
   )
)</f>
        <v>0</v>
      </c>
      <c r="Y12" s="221" cm="1">
        <f t="array" ref="Y12">_xlfn.XLOOKUP(
   $B$4&amp;" "&amp;$B12,
   Actuals!$D:$D,
   _xlfn.XLOOKUP(
      Y$6,
      Actuals!$H$3:$BD$3,
      Actuals!$H:$BD
   )
)</f>
        <v>0</v>
      </c>
      <c r="Z12" s="221" cm="1">
        <f t="array" ref="Z12">_xlfn.XLOOKUP(
   $B$4&amp;" "&amp;$B12,
   Actuals!$D:$D,
   _xlfn.XLOOKUP(
      Z$6,
      Actuals!$H$3:$BD$3,
      Actuals!$H:$BD
   )
)</f>
        <v>0</v>
      </c>
      <c r="AA12" s="221" cm="1">
        <f t="array" ref="AA12">_xlfn.XLOOKUP(
   $B$4&amp;" "&amp;$B12,
   Actuals!$D:$D,
   _xlfn.XLOOKUP(
      AA$6,
      Actuals!$H$3:$BD$3,
      Actuals!$H:$BD
   )
)</f>
        <v>0</v>
      </c>
      <c r="AB12" s="221" cm="1">
        <f t="array" ref="AB12">_xlfn.XLOOKUP(
   $B$4&amp;" "&amp;$B12,
   Actuals!$D:$D,
   _xlfn.XLOOKUP(
      AB$6,
      Actuals!$H$3:$BD$3,
      Actuals!$H:$BD
   )
)</f>
        <v>0</v>
      </c>
      <c r="AC12" s="221" cm="1">
        <f t="array" ref="AC12">_xlfn.XLOOKUP(
   $B$4&amp;" "&amp;$B12,
   Actuals!$D:$D,
   _xlfn.XLOOKUP(
      AC$6,
      Actuals!$H$3:$BD$3,
      Actuals!$H:$BD
   )
)</f>
        <v>39081</v>
      </c>
      <c r="AD12" s="221" cm="1">
        <f t="array" ref="AD12">_xlfn.XLOOKUP(
   $B$4&amp;" "&amp;$B12,
   Actuals!$D:$D,
   _xlfn.XLOOKUP(
      AD$6,
      Actuals!$H$3:$BD$3,
      Actuals!$H:$BD
   )
)</f>
        <v>31790</v>
      </c>
      <c r="AE12" s="221" cm="1">
        <f t="array" ref="AE12">_xlfn.XLOOKUP(
   $B$4&amp;" "&amp;$B12,
   Actuals!$D:$D,
   _xlfn.XLOOKUP(
      AE$6,
      Actuals!$H$3:$BD$3,
      Actuals!$H:$BD
   )
)</f>
        <v>69355.05</v>
      </c>
      <c r="AF12" s="221" cm="1">
        <f t="array" ref="AF12">_xlfn.XLOOKUP(
   $B$4&amp;" "&amp;$B12,
   Actuals!$D:$D,
   _xlfn.XLOOKUP(
      AF$6,
      Actuals!$H$3:$BD$3,
      Actuals!$H:$BD
   )
)</f>
        <v>30000</v>
      </c>
      <c r="AG12" s="221" cm="1">
        <f t="array" ref="AG12">_xlfn.XLOOKUP(
   $B$4&amp;" "&amp;$B12,
   Actuals!$D:$D,
   _xlfn.XLOOKUP(
      AG$6,
      Actuals!$H$3:$BD$3,
      Actuals!$H:$BD
   )
)</f>
        <v>48828</v>
      </c>
      <c r="AH12" s="221" cm="1">
        <f t="array" ref="AH12">_xlfn.XLOOKUP(
   $B$4&amp;" "&amp;$B12,
   Actuals!$D:$D,
   _xlfn.XLOOKUP(
      AH$6,
      Actuals!$H$3:$BD$3,
      Actuals!$H:$BD
   )
)</f>
        <v>43078</v>
      </c>
      <c r="AI12" s="221" cm="1">
        <f t="array" ref="AI12">_xlfn.XLOOKUP(
   $B$4&amp;" "&amp;$B12,
   Actuals!$D:$D,
   _xlfn.XLOOKUP(
      AI$6,
      Actuals!$H$3:$BD$3,
      Actuals!$H:$BD
   )
)</f>
        <v>45221</v>
      </c>
      <c r="AJ12" s="221" cm="1">
        <f t="array" ref="AJ12">_xlfn.XLOOKUP(
   $B$4&amp;" "&amp;$B12,
   Actuals!$D:$D,
   _xlfn.XLOOKUP(
      AJ$6,
      Actuals!$H$3:$BD$3,
      Actuals!$H:$BD
   )
)</f>
        <v>20876.95</v>
      </c>
      <c r="AK12" s="221" cm="1">
        <f t="array" ref="AK12">_xlfn.XLOOKUP(
   $B$4&amp;" "&amp;$B12,
   Actuals!$D:$D,
   _xlfn.XLOOKUP(
      AK$6,
      Actuals!$H$3:$BD$3,
      Actuals!$H:$BD
   )
)</f>
        <v>56000</v>
      </c>
      <c r="AL12" s="221" cm="1">
        <f t="array" ref="AL12">_xlfn.XLOOKUP(
   $B$4&amp;" "&amp;$B12,
   Actuals!$D:$D,
   _xlfn.XLOOKUP(
      AL$6,
      Actuals!$H$3:$BD$3,
      Actuals!$H:$BD
   )
)</f>
        <v>20162</v>
      </c>
      <c r="AM12" s="221" cm="1">
        <f t="array" ref="AM12">_xlfn.XLOOKUP(
   $B$4&amp;" "&amp;$B12,
   Actuals!$D:$D,
   _xlfn.XLOOKUP(
      AM$6,
      Actuals!$H$3:$BD$3,
      Actuals!$H:$BD
   )
)</f>
        <v>11744</v>
      </c>
      <c r="AN12" s="221" cm="1">
        <f t="array" ref="AN12">_xlfn.XLOOKUP(
   $B$4&amp;" "&amp;$B12,
   Actuals!$D:$D,
   _xlfn.XLOOKUP(
      AN$6,
      Actuals!$H$3:$BD$3,
      Actuals!$H:$BD
   )
)</f>
        <v>13142</v>
      </c>
      <c r="AO12" s="221" cm="1">
        <f t="array" ref="AO12">_xlfn.XLOOKUP(
   $B$4&amp;" "&amp;$B12,
   Actuals!$D:$D,
   _xlfn.XLOOKUP(
      AO$6,
      Actuals!$H$3:$BD$3,
      Actuals!$H:$BD
   )
)</f>
        <v>0</v>
      </c>
      <c r="AP12" s="221" cm="1">
        <f t="array" ref="AP12">_xlfn.XLOOKUP(
   $B$4&amp;" "&amp;$B12,
   Actuals!$D:$D,
   _xlfn.XLOOKUP(
      AP$6,
      Actuals!$H$3:$BD$3,
      Actuals!$H:$BD
   )
)</f>
        <v>0</v>
      </c>
      <c r="AQ12" s="221" cm="1">
        <f t="array" ref="AQ12">_xlfn.XLOOKUP(
   $B$4&amp;" "&amp;$B12,
   Actuals!$D:$D,
   _xlfn.XLOOKUP(
      AQ$6,
      Actuals!$H$3:$BD$3,
      Actuals!$H:$BD
   )
)</f>
        <v>0</v>
      </c>
      <c r="AR12" s="221" cm="1">
        <f t="array" ref="AR12">_xlfn.XLOOKUP(
   $B$4&amp;" "&amp;$B12,
   Actuals!$D:$D,
   _xlfn.XLOOKUP(
      AR$6,
      Actuals!$H$3:$BD$3,
      Actuals!$H:$BD
   )
)</f>
        <v>0</v>
      </c>
      <c r="AS12" s="221" cm="1">
        <f t="array" ref="AS12">_xlfn.XLOOKUP(
   $B$4&amp;" "&amp;$B12,
   Actuals!$D:$D,
   _xlfn.XLOOKUP(
      AS$6,
      Actuals!$H$3:$BD$3,
      Actuals!$H:$BD
   )
)</f>
        <v>0</v>
      </c>
      <c r="AT12" s="221" cm="1">
        <f t="array" ref="AT12">_xlfn.XLOOKUP(
   $B$4&amp;" "&amp;$B12,
   Actuals!$D:$D,
   _xlfn.XLOOKUP(
      AT$6,
      Actuals!$H$3:$BD$3,
      Actuals!$H:$BD
   )
)</f>
        <v>0</v>
      </c>
      <c r="AU12" s="221" cm="1">
        <f t="array" ref="AU12">_xlfn.XLOOKUP(
   $B$4&amp;" "&amp;$B12,
   Actuals!$D:$D,
   _xlfn.XLOOKUP(
      AU$6,
      Actuals!$H$3:$BD$3,
      Actuals!$H:$BD
   )
)</f>
        <v>0</v>
      </c>
      <c r="AV12" s="221" cm="1">
        <f t="array" ref="AV12">_xlfn.XLOOKUP(
   $B$4&amp;" "&amp;$B12,
   Actuals!$D:$D,
   _xlfn.XLOOKUP(
      AV$6,
      Actuals!$H$3:$BD$3,
      Actuals!$H:$BD
   )
)</f>
        <v>0</v>
      </c>
      <c r="AW12" s="221" cm="1">
        <f t="array" ref="AW12">_xlfn.XLOOKUP(
   $B$4&amp;" "&amp;$B12,
   Actuals!$D:$D,
   _xlfn.XLOOKUP(
      AW$6,
      Actuals!$H$3:$BD$3,
      Actuals!$H:$BD
   )
)</f>
        <v>0</v>
      </c>
      <c r="AX12" s="221" cm="1">
        <f t="array" ref="AX12">_xlfn.XLOOKUP(
   $B$4&amp;" "&amp;$B12,
   Actuals!$D:$D,
   _xlfn.XLOOKUP(
      AX$6,
      Actuals!$H$3:$BD$3,
      Actuals!$H:$BD
   )
)</f>
        <v>0</v>
      </c>
      <c r="AY12" s="221" cm="1">
        <f t="array" ref="AY12">_xlfn.XLOOKUP(
   $B$4&amp;" "&amp;$B12,
   Actuals!$D:$D,
   _xlfn.XLOOKUP(
      AY$6,
      Actuals!$H$3:$BD$3,
      Actuals!$H:$BD
   )
)</f>
        <v>0</v>
      </c>
      <c r="AZ12" s="221" cm="1">
        <f t="array" ref="AZ12">_xlfn.XLOOKUP(
   $B$4&amp;" "&amp;$B12,
   Actuals!$D:$D,
   _xlfn.XLOOKUP(
      AZ$6,
      Actuals!$H$3:$BD$3,
      Actuals!$H:$BD
   )
)</f>
        <v>0</v>
      </c>
      <c r="BA12" s="221"/>
      <c r="BB12" s="221" cm="1">
        <f t="array" ref="BB12">_xlfn.XLOOKUP(
   $B$4&amp;" "&amp;$B12,
   Actuals!$D:$D,
   _xlfn.XLOOKUP(
      BB$7,
      Actuals!$H$3:$BM$3,
      Actuals!$H:$BM
   )
)</f>
        <v>0</v>
      </c>
      <c r="BC12" s="221">
        <f>VLOOKUP($B$4&amp;" "&amp;$B12,Budget!$AG$4:$AL$132,$BB$5+1,FALSE)</f>
        <v>239000</v>
      </c>
      <c r="BD12" s="221">
        <f t="shared" si="32"/>
        <v>-239000</v>
      </c>
      <c r="BE12" s="221"/>
      <c r="BF12" s="221" cm="1">
        <f t="array" ref="BF12">_xlfn.XLOOKUP(
   $B$4&amp;" "&amp;$B12,
   Actuals!$D:$D,
   _xlfn.XLOOKUP(
      BF$7,
      Actuals!$H$3:$BM$3,
      Actuals!$H:$BM
   )
)</f>
        <v>0</v>
      </c>
      <c r="BG12" s="221">
        <f>VLOOKUP($B$4&amp;" "&amp;$B12,Budget!$AG$4:$AL$132,BF$5+1,FALSE)</f>
        <v>344000</v>
      </c>
      <c r="BH12" s="221">
        <f t="shared" si="33"/>
        <v>-344000</v>
      </c>
      <c r="BI12" s="221"/>
      <c r="BJ12" s="221" cm="1">
        <f t="array" ref="BJ12">_xlfn.XLOOKUP(
   $B$4&amp;" "&amp;$B12,
   Actuals!$D:$D,
   _xlfn.XLOOKUP(
      BJ$7,
      Actuals!$H$3:$BM$3,
      Actuals!$H:$BM
   )
)</f>
        <v>0</v>
      </c>
      <c r="BK12" s="221">
        <f>VLOOKUP($B$4&amp;" "&amp;$B12,Budget!$AG$4:$AL$132,BJ$5+1,FALSE)</f>
        <v>344000</v>
      </c>
      <c r="BL12" s="221">
        <f t="shared" si="34"/>
        <v>-344000</v>
      </c>
      <c r="BM12" s="221"/>
      <c r="BN12" s="221" cm="1">
        <f t="array" ref="BN12">_xlfn.XLOOKUP(
   $B$4&amp;" "&amp;$B12,
   Actuals!$D:$D,
   _xlfn.XLOOKUP(
      BN$7,
      Actuals!$H$3:$BM$3,
      Actuals!$H:$BM
   )
)</f>
        <v>0</v>
      </c>
      <c r="BO12" s="221">
        <f>VLOOKUP($B$4&amp;" "&amp;$B12,Budget!$AG$4:$AL$132,BN$5+1,FALSE)</f>
        <v>449000</v>
      </c>
      <c r="BP12" s="221"/>
      <c r="BQ12" s="221"/>
      <c r="BR12" s="221" cm="1">
        <f t="array" aca="1" ref="BR12" ca="1">_xlfn.XLOOKUP(
   $B$4&amp;" "&amp;$B12,
   Actuals!$D:$D,
   _xlfn.XLOOKUP(
      BR$6,
      Actuals!$H$3:$BM$3,
      Actuals!$H:$BM
   )
)</f>
        <v>0</v>
      </c>
      <c r="BS12" s="221">
        <f ca="1">VLOOKUP($B$4&amp;" "&amp;$B12,Budget!$AG$4:$AL$132,6,FALSE)</f>
        <v>1376000</v>
      </c>
      <c r="BT12" s="221">
        <f t="shared" ca="1" si="35"/>
        <v>-1376000</v>
      </c>
      <c r="BU12" s="221"/>
      <c r="BV12" s="221" cm="1">
        <f t="array" ref="BV12">_xlfn.XLOOKUP(
   $B$4&amp;" "&amp;$B12,
   Actuals!$D:$D,
   _xlfn.XLOOKUP(
      BV$6,
      Actuals!$H$3:$BM$3,
      Actuals!$H:$BM
   )
)</f>
        <v>390197</v>
      </c>
      <c r="BW12" s="26"/>
      <c r="BX12" s="26"/>
      <c r="BY12" s="26"/>
    </row>
    <row r="13" spans="2:77">
      <c r="B13" s="124" t="s">
        <v>172</v>
      </c>
      <c r="C13" s="144" t="s">
        <v>49</v>
      </c>
      <c r="D13" s="175" t="str">
        <f>VLOOKUP($B$4&amp;" "&amp;$B13,Actuals!$D$4:$AG$131,3,FALSE)</f>
        <v>$</v>
      </c>
      <c r="E13" s="220" cm="1">
        <f t="array" ref="E13">_xlfn.XLOOKUP(
   $B$4&amp;" "&amp;$B13,
   Actuals!$D:$D,
   _xlfn.XLOOKUP(
      E$6,
      Actuals!$H$3:$BD$3,
      Actuals!$H:$BD
   )
)</f>
        <v>-44750</v>
      </c>
      <c r="F13" s="220" cm="1">
        <f t="array" ref="F13">_xlfn.XLOOKUP(
   $B$4&amp;" "&amp;$B13,
   Actuals!$D:$D,
   _xlfn.XLOOKUP(
      F$6,
      Actuals!$H$3:$BD$3,
      Actuals!$H:$BD
   )
)</f>
        <v>0</v>
      </c>
      <c r="G13" s="220" cm="1">
        <f t="array" ref="G13">_xlfn.XLOOKUP(
   $B$4&amp;" "&amp;$B13,
   Actuals!$D:$D,
   _xlfn.XLOOKUP(
      G$6,
      Actuals!$H$3:$BD$3,
      Actuals!$H:$BD
   )
)</f>
        <v>0</v>
      </c>
      <c r="H13" s="220" cm="1">
        <f t="array" ref="H13">_xlfn.XLOOKUP(
   $B$4&amp;" "&amp;$B13,
   Actuals!$D:$D,
   _xlfn.XLOOKUP(
      H$6,
      Actuals!$H$3:$BD$3,
      Actuals!$H:$BD
   )
)</f>
        <v>-40000</v>
      </c>
      <c r="I13" s="220" cm="1">
        <f t="array" ref="I13">_xlfn.XLOOKUP(
   $B$4&amp;" "&amp;$B13,
   Actuals!$D:$D,
   _xlfn.XLOOKUP(
      I$6,
      Actuals!$H$3:$BD$3,
      Actuals!$H:$BD
   )
)</f>
        <v>0</v>
      </c>
      <c r="J13" s="220" cm="1">
        <f t="array" ref="J13">_xlfn.XLOOKUP(
   $B$4&amp;" "&amp;$B13,
   Actuals!$D:$D,
   _xlfn.XLOOKUP(
      J$6,
      Actuals!$H$3:$BD$3,
      Actuals!$H:$BD
   )
)</f>
        <v>-55000</v>
      </c>
      <c r="K13" s="220" cm="1">
        <f t="array" ref="K13">_xlfn.XLOOKUP(
   $B$4&amp;" "&amp;$B13,
   Actuals!$D:$D,
   _xlfn.XLOOKUP(
      K$6,
      Actuals!$H$3:$BD$3,
      Actuals!$H:$BD
   )
)</f>
        <v>-88500</v>
      </c>
      <c r="L13" s="220" cm="1">
        <f t="array" ref="L13">_xlfn.XLOOKUP(
   $B$4&amp;" "&amp;$B13,
   Actuals!$D:$D,
   _xlfn.XLOOKUP(
      L$6,
      Actuals!$H$3:$BD$3,
      Actuals!$H:$BD
   )
)</f>
        <v>-4583</v>
      </c>
      <c r="M13" s="220" cm="1">
        <f t="array" ref="M13">_xlfn.XLOOKUP(
   $B$4&amp;" "&amp;$B13,
   Actuals!$D:$D,
   _xlfn.XLOOKUP(
      M$6,
      Actuals!$H$3:$BD$3,
      Actuals!$H:$BD
   )
)</f>
        <v>-135967</v>
      </c>
      <c r="N13" s="220" cm="1">
        <f t="array" ref="N13">_xlfn.XLOOKUP(
   $B$4&amp;" "&amp;$B13,
   Actuals!$D:$D,
   _xlfn.XLOOKUP(
      N$6,
      Actuals!$H$3:$BD$3,
      Actuals!$H:$BD
   )
)</f>
        <v>0</v>
      </c>
      <c r="O13" s="220" cm="1">
        <f t="array" ref="O13">_xlfn.XLOOKUP(
   $B$4&amp;" "&amp;$B13,
   Actuals!$D:$D,
   _xlfn.XLOOKUP(
      O$6,
      Actuals!$H$3:$BD$3,
      Actuals!$H:$BD
   )
)</f>
        <v>0</v>
      </c>
      <c r="P13" s="220" cm="1">
        <f t="array" ref="P13">_xlfn.XLOOKUP(
   $B$4&amp;" "&amp;$B13,
   Actuals!$D:$D,
   _xlfn.XLOOKUP(
      P$6,
      Actuals!$H$3:$BD$3,
      Actuals!$H:$BD
   )
)</f>
        <v>0</v>
      </c>
      <c r="Q13" s="220" cm="1">
        <f t="array" ref="Q13">_xlfn.XLOOKUP(
   $B$4&amp;" "&amp;$B13,
   Actuals!$D:$D,
   _xlfn.XLOOKUP(
      Q$6,
      Actuals!$H$3:$BD$3,
      Actuals!$H:$BD
   )
)</f>
        <v>0</v>
      </c>
      <c r="R13" s="220" cm="1">
        <f t="array" ref="R13">_xlfn.XLOOKUP(
   $B$4&amp;" "&amp;$B13,
   Actuals!$D:$D,
   _xlfn.XLOOKUP(
      R$6,
      Actuals!$H$3:$BD$3,
      Actuals!$H:$BD
   )
)</f>
        <v>0</v>
      </c>
      <c r="S13" s="220" cm="1">
        <f t="array" ref="S13">_xlfn.XLOOKUP(
   $B$4&amp;" "&amp;$B13,
   Actuals!$D:$D,
   _xlfn.XLOOKUP(
      S$6,
      Actuals!$H$3:$BD$3,
      Actuals!$H:$BD
   )
)</f>
        <v>0</v>
      </c>
      <c r="T13" s="220" cm="1">
        <f t="array" ref="T13">_xlfn.XLOOKUP(
   $B$4&amp;" "&amp;$B13,
   Actuals!$D:$D,
   _xlfn.XLOOKUP(
      T$6,
      Actuals!$H$3:$BD$3,
      Actuals!$H:$BD
   )
)</f>
        <v>0</v>
      </c>
      <c r="U13" s="220" cm="1">
        <f t="array" ref="U13">_xlfn.XLOOKUP(
   $B$4&amp;" "&amp;$B13,
   Actuals!$D:$D,
   _xlfn.XLOOKUP(
      U$6,
      Actuals!$H$3:$BD$3,
      Actuals!$H:$BD
   )
)</f>
        <v>0</v>
      </c>
      <c r="V13" s="220" cm="1">
        <f t="array" ref="V13">_xlfn.XLOOKUP(
   $B$4&amp;" "&amp;$B13,
   Actuals!$D:$D,
   _xlfn.XLOOKUP(
      V$6,
      Actuals!$H$3:$BD$3,
      Actuals!$H:$BD
   )
)</f>
        <v>0</v>
      </c>
      <c r="W13" s="220" cm="1">
        <f t="array" ref="W13">_xlfn.XLOOKUP(
   $B$4&amp;" "&amp;$B13,
   Actuals!$D:$D,
   _xlfn.XLOOKUP(
      W$6,
      Actuals!$H$3:$BD$3,
      Actuals!$H:$BD
   )
)</f>
        <v>0</v>
      </c>
      <c r="X13" s="220" cm="1">
        <f t="array" ref="X13">_xlfn.XLOOKUP(
   $B$4&amp;" "&amp;$B13,
   Actuals!$D:$D,
   _xlfn.XLOOKUP(
      X$6,
      Actuals!$H$3:$BD$3,
      Actuals!$H:$BD
   )
)</f>
        <v>0</v>
      </c>
      <c r="Y13" s="220" cm="1">
        <f t="array" ref="Y13">_xlfn.XLOOKUP(
   $B$4&amp;" "&amp;$B13,
   Actuals!$D:$D,
   _xlfn.XLOOKUP(
      Y$6,
      Actuals!$H$3:$BD$3,
      Actuals!$H:$BD
   )
)</f>
        <v>0</v>
      </c>
      <c r="Z13" s="220" cm="1">
        <f t="array" ref="Z13">_xlfn.XLOOKUP(
   $B$4&amp;" "&amp;$B13,
   Actuals!$D:$D,
   _xlfn.XLOOKUP(
      Z$6,
      Actuals!$H$3:$BD$3,
      Actuals!$H:$BD
   )
)</f>
        <v>0</v>
      </c>
      <c r="AA13" s="220" cm="1">
        <f t="array" ref="AA13">_xlfn.XLOOKUP(
   $B$4&amp;" "&amp;$B13,
   Actuals!$D:$D,
   _xlfn.XLOOKUP(
      AA$6,
      Actuals!$H$3:$BD$3,
      Actuals!$H:$BD
   )
)</f>
        <v>0</v>
      </c>
      <c r="AB13" s="220" cm="1">
        <f t="array" ref="AB13">_xlfn.XLOOKUP(
   $B$4&amp;" "&amp;$B13,
   Actuals!$D:$D,
   _xlfn.XLOOKUP(
      AB$6,
      Actuals!$H$3:$BD$3,
      Actuals!$H:$BD
   )
)</f>
        <v>0</v>
      </c>
      <c r="AC13" s="220" cm="1">
        <f t="array" ref="AC13">_xlfn.XLOOKUP(
   $B$4&amp;" "&amp;$B13,
   Actuals!$D:$D,
   _xlfn.XLOOKUP(
      AC$6,
      Actuals!$H$3:$BD$3,
      Actuals!$H:$BD
   )
)</f>
        <v>0</v>
      </c>
      <c r="AD13" s="220" cm="1">
        <f t="array" ref="AD13">_xlfn.XLOOKUP(
   $B$4&amp;" "&amp;$B13,
   Actuals!$D:$D,
   _xlfn.XLOOKUP(
      AD$6,
      Actuals!$H$3:$BD$3,
      Actuals!$H:$BD
   )
)</f>
        <v>0</v>
      </c>
      <c r="AE13" s="220" cm="1">
        <f t="array" ref="AE13">_xlfn.XLOOKUP(
   $B$4&amp;" "&amp;$B13,
   Actuals!$D:$D,
   _xlfn.XLOOKUP(
      AE$6,
      Actuals!$H$3:$BD$3,
      Actuals!$H:$BD
   )
)</f>
        <v>0</v>
      </c>
      <c r="AF13" s="220" cm="1">
        <f t="array" ref="AF13">_xlfn.XLOOKUP(
   $B$4&amp;" "&amp;$B13,
   Actuals!$D:$D,
   _xlfn.XLOOKUP(
      AF$6,
      Actuals!$H$3:$BD$3,
      Actuals!$H:$BD
   )
)</f>
        <v>0</v>
      </c>
      <c r="AG13" s="220" cm="1">
        <f t="array" ref="AG13">_xlfn.XLOOKUP(
   $B$4&amp;" "&amp;$B13,
   Actuals!$D:$D,
   _xlfn.XLOOKUP(
      AG$6,
      Actuals!$H$3:$BD$3,
      Actuals!$H:$BD
   )
)</f>
        <v>0</v>
      </c>
      <c r="AH13" s="220" cm="1">
        <f t="array" ref="AH13">_xlfn.XLOOKUP(
   $B$4&amp;" "&amp;$B13,
   Actuals!$D:$D,
   _xlfn.XLOOKUP(
      AH$6,
      Actuals!$H$3:$BD$3,
      Actuals!$H:$BD
   )
)</f>
        <v>0</v>
      </c>
      <c r="AI13" s="220" cm="1">
        <f t="array" ref="AI13">_xlfn.XLOOKUP(
   $B$4&amp;" "&amp;$B13,
   Actuals!$D:$D,
   _xlfn.XLOOKUP(
      AI$6,
      Actuals!$H$3:$BD$3,
      Actuals!$H:$BD
   )
)</f>
        <v>0</v>
      </c>
      <c r="AJ13" s="220" cm="1">
        <f t="array" ref="AJ13">_xlfn.XLOOKUP(
   $B$4&amp;" "&amp;$B13,
   Actuals!$D:$D,
   _xlfn.XLOOKUP(
      AJ$6,
      Actuals!$H$3:$BD$3,
      Actuals!$H:$BD
   )
)</f>
        <v>0</v>
      </c>
      <c r="AK13" s="220" cm="1">
        <f t="array" ref="AK13">_xlfn.XLOOKUP(
   $B$4&amp;" "&amp;$B13,
   Actuals!$D:$D,
   _xlfn.XLOOKUP(
      AK$6,
      Actuals!$H$3:$BD$3,
      Actuals!$H:$BD
   )
)</f>
        <v>0</v>
      </c>
      <c r="AL13" s="220" cm="1">
        <f t="array" ref="AL13">_xlfn.XLOOKUP(
   $B$4&amp;" "&amp;$B13,
   Actuals!$D:$D,
   _xlfn.XLOOKUP(
      AL$6,
      Actuals!$H$3:$BD$3,
      Actuals!$H:$BD
   )
)</f>
        <v>0</v>
      </c>
      <c r="AM13" s="220" cm="1">
        <f t="array" ref="AM13">_xlfn.XLOOKUP(
   $B$4&amp;" "&amp;$B13,
   Actuals!$D:$D,
   _xlfn.XLOOKUP(
      AM$6,
      Actuals!$H$3:$BD$3,
      Actuals!$H:$BD
   )
)</f>
        <v>0</v>
      </c>
      <c r="AN13" s="220" cm="1">
        <f t="array" ref="AN13">_xlfn.XLOOKUP(
   $B$4&amp;" "&amp;$B13,
   Actuals!$D:$D,
   _xlfn.XLOOKUP(
      AN$6,
      Actuals!$H$3:$BD$3,
      Actuals!$H:$BD
   )
)</f>
        <v>0</v>
      </c>
      <c r="AO13" s="220" cm="1">
        <f t="array" ref="AO13">_xlfn.XLOOKUP(
   $B$4&amp;" "&amp;$B13,
   Actuals!$D:$D,
   _xlfn.XLOOKUP(
      AO$6,
      Actuals!$H$3:$BD$3,
      Actuals!$H:$BD
   )
)</f>
        <v>0</v>
      </c>
      <c r="AP13" s="220" cm="1">
        <f t="array" ref="AP13">_xlfn.XLOOKUP(
   $B$4&amp;" "&amp;$B13,
   Actuals!$D:$D,
   _xlfn.XLOOKUP(
      AP$6,
      Actuals!$H$3:$BD$3,
      Actuals!$H:$BD
   )
)</f>
        <v>0</v>
      </c>
      <c r="AQ13" s="220" cm="1">
        <f t="array" ref="AQ13">_xlfn.XLOOKUP(
   $B$4&amp;" "&amp;$B13,
   Actuals!$D:$D,
   _xlfn.XLOOKUP(
      AQ$6,
      Actuals!$H$3:$BD$3,
      Actuals!$H:$BD
   )
)</f>
        <v>0</v>
      </c>
      <c r="AR13" s="220" cm="1">
        <f t="array" ref="AR13">_xlfn.XLOOKUP(
   $B$4&amp;" "&amp;$B13,
   Actuals!$D:$D,
   _xlfn.XLOOKUP(
      AR$6,
      Actuals!$H$3:$BD$3,
      Actuals!$H:$BD
   )
)</f>
        <v>0</v>
      </c>
      <c r="AS13" s="220" cm="1">
        <f t="array" ref="AS13">_xlfn.XLOOKUP(
   $B$4&amp;" "&amp;$B13,
   Actuals!$D:$D,
   _xlfn.XLOOKUP(
      AS$6,
      Actuals!$H$3:$BD$3,
      Actuals!$H:$BD
   )
)</f>
        <v>0</v>
      </c>
      <c r="AT13" s="220" cm="1">
        <f t="array" ref="AT13">_xlfn.XLOOKUP(
   $B$4&amp;" "&amp;$B13,
   Actuals!$D:$D,
   _xlfn.XLOOKUP(
      AT$6,
      Actuals!$H$3:$BD$3,
      Actuals!$H:$BD
   )
)</f>
        <v>0</v>
      </c>
      <c r="AU13" s="220" cm="1">
        <f t="array" ref="AU13">_xlfn.XLOOKUP(
   $B$4&amp;" "&amp;$B13,
   Actuals!$D:$D,
   _xlfn.XLOOKUP(
      AU$6,
      Actuals!$H$3:$BD$3,
      Actuals!$H:$BD
   )
)</f>
        <v>0</v>
      </c>
      <c r="AV13" s="220" cm="1">
        <f t="array" ref="AV13">_xlfn.XLOOKUP(
   $B$4&amp;" "&amp;$B13,
   Actuals!$D:$D,
   _xlfn.XLOOKUP(
      AV$6,
      Actuals!$H$3:$BD$3,
      Actuals!$H:$BD
   )
)</f>
        <v>0</v>
      </c>
      <c r="AW13" s="220" cm="1">
        <f t="array" ref="AW13">_xlfn.XLOOKUP(
   $B$4&amp;" "&amp;$B13,
   Actuals!$D:$D,
   _xlfn.XLOOKUP(
      AW$6,
      Actuals!$H$3:$BD$3,
      Actuals!$H:$BD
   )
)</f>
        <v>0</v>
      </c>
      <c r="AX13" s="220" cm="1">
        <f t="array" ref="AX13">_xlfn.XLOOKUP(
   $B$4&amp;" "&amp;$B13,
   Actuals!$D:$D,
   _xlfn.XLOOKUP(
      AX$6,
      Actuals!$H$3:$BD$3,
      Actuals!$H:$BD
   )
)</f>
        <v>0</v>
      </c>
      <c r="AY13" s="220" cm="1">
        <f t="array" ref="AY13">_xlfn.XLOOKUP(
   $B$4&amp;" "&amp;$B13,
   Actuals!$D:$D,
   _xlfn.XLOOKUP(
      AY$6,
      Actuals!$H$3:$BD$3,
      Actuals!$H:$BD
   )
)</f>
        <v>0</v>
      </c>
      <c r="AZ13" s="220" cm="1">
        <f t="array" ref="AZ13">_xlfn.XLOOKUP(
   $B$4&amp;" "&amp;$B13,
   Actuals!$D:$D,
   _xlfn.XLOOKUP(
      AZ$6,
      Actuals!$H$3:$BD$3,
      Actuals!$H:$BD
   )
)</f>
        <v>0</v>
      </c>
      <c r="BA13" s="220"/>
      <c r="BB13" s="220" cm="1">
        <f t="array" ref="BB13">_xlfn.XLOOKUP(
   $B$4&amp;" "&amp;$B13,
   Actuals!$D:$D,
   _xlfn.XLOOKUP(
      BB$7,
      Actuals!$H$3:$BM$3,
      Actuals!$H:$BM
   )
)</f>
        <v>0</v>
      </c>
      <c r="BC13" s="220">
        <f>VLOOKUP($B$4&amp;" "&amp;$B13,Budget!$AG$4:$AL$132,$BB$5+1,FALSE)</f>
        <v>-207648</v>
      </c>
      <c r="BD13" s="220">
        <f t="shared" si="32"/>
        <v>207648</v>
      </c>
      <c r="BE13" s="220"/>
      <c r="BF13" s="220" cm="1">
        <f t="array" ref="BF13">_xlfn.XLOOKUP(
   $B$4&amp;" "&amp;$B13,
   Actuals!$D:$D,
   _xlfn.XLOOKUP(
      BF$7,
      Actuals!$H$3:$BM$3,
      Actuals!$H:$BM
   )
)</f>
        <v>0</v>
      </c>
      <c r="BG13" s="220">
        <f>VLOOKUP($B$4&amp;" "&amp;$B13,Budget!$AG$4:$AL$132,BF$5+1,FALSE)</f>
        <v>-202716</v>
      </c>
      <c r="BH13" s="220">
        <f t="shared" si="33"/>
        <v>202716</v>
      </c>
      <c r="BI13" s="220"/>
      <c r="BJ13" s="220" cm="1">
        <f t="array" ref="BJ13">_xlfn.XLOOKUP(
   $B$4&amp;" "&amp;$B13,
   Actuals!$D:$D,
   _xlfn.XLOOKUP(
      BJ$7,
      Actuals!$H$3:$BM$3,
      Actuals!$H:$BM
   )
)</f>
        <v>0</v>
      </c>
      <c r="BK13" s="220">
        <f>VLOOKUP($B$4&amp;" "&amp;$B13,Budget!$AG$4:$AL$132,BJ$5+1,FALSE)</f>
        <v>-199092</v>
      </c>
      <c r="BL13" s="220">
        <f t="shared" si="34"/>
        <v>199092</v>
      </c>
      <c r="BM13" s="220"/>
      <c r="BN13" s="220" cm="1">
        <f t="array" ref="BN13">_xlfn.XLOOKUP(
   $B$4&amp;" "&amp;$B13,
   Actuals!$D:$D,
   _xlfn.XLOOKUP(
      BN$7,
      Actuals!$H$3:$BM$3,
      Actuals!$H:$BM
   )
)</f>
        <v>0</v>
      </c>
      <c r="BO13" s="220">
        <f>VLOOKUP($B$4&amp;" "&amp;$B13,Budget!$AG$4:$AL$132,BN$5+1,FALSE)</f>
        <v>-192036</v>
      </c>
      <c r="BP13" s="220"/>
      <c r="BQ13" s="220"/>
      <c r="BR13" s="220" cm="1">
        <f t="array" aca="1" ref="BR13" ca="1">_xlfn.XLOOKUP(
   $B$4&amp;" "&amp;$B13,
   Actuals!$D:$D,
   _xlfn.XLOOKUP(
      BR$6,
      Actuals!$H$3:$BM$3,
      Actuals!$H:$BM
   )
)</f>
        <v>0</v>
      </c>
      <c r="BS13" s="220">
        <f ca="1">VLOOKUP($B$4&amp;" "&amp;$B13,Budget!$AG$4:$AL$132,6,FALSE)</f>
        <v>-799704</v>
      </c>
      <c r="BT13" s="220">
        <f t="shared" ca="1" si="35"/>
        <v>799704</v>
      </c>
      <c r="BU13" s="220"/>
      <c r="BV13" s="220" cm="1">
        <f t="array" ref="BV13">_xlfn.XLOOKUP(
   $B$4&amp;" "&amp;$B13,
   Actuals!$D:$D,
   _xlfn.XLOOKUP(
      BV$6,
      Actuals!$H$3:$BM$3,
      Actuals!$H:$BM
   )
)</f>
        <v>0</v>
      </c>
      <c r="BW13" s="26"/>
      <c r="BX13" s="26"/>
      <c r="BY13" s="26"/>
    </row>
    <row r="14" spans="2:77">
      <c r="B14" s="29" t="s">
        <v>173</v>
      </c>
      <c r="C14" s="142" t="s">
        <v>49</v>
      </c>
      <c r="D14" s="172" t="str">
        <f>VLOOKUP($B$4&amp;" "&amp;$B14,Actuals!$D$4:$AG$131,3,FALSE)</f>
        <v>$</v>
      </c>
      <c r="E14" s="221" cm="1">
        <f t="array" ref="E14">_xlfn.XLOOKUP(
   $B$4&amp;" "&amp;$B14,
   Actuals!$D:$D,
   _xlfn.XLOOKUP(
      E$6,
      Actuals!$H$3:$BD$3,
      Actuals!$H:$BD
   )
)</f>
        <v>9037</v>
      </c>
      <c r="F14" s="221" cm="1">
        <f t="array" ref="F14">_xlfn.XLOOKUP(
   $B$4&amp;" "&amp;$B14,
   Actuals!$D:$D,
   _xlfn.XLOOKUP(
      F$6,
      Actuals!$H$3:$BD$3,
      Actuals!$H:$BD
   )
)</f>
        <v>123093</v>
      </c>
      <c r="G14" s="221" cm="1">
        <f t="array" ref="G14">_xlfn.XLOOKUP(
   $B$4&amp;" "&amp;$B14,
   Actuals!$D:$D,
   _xlfn.XLOOKUP(
      G$6,
      Actuals!$H$3:$BD$3,
      Actuals!$H:$BD
   )
)</f>
        <v>141667</v>
      </c>
      <c r="H14" s="221" cm="1">
        <f t="array" ref="H14">_xlfn.XLOOKUP(
   $B$4&amp;" "&amp;$B14,
   Actuals!$D:$D,
   _xlfn.XLOOKUP(
      H$6,
      Actuals!$H$3:$BD$3,
      Actuals!$H:$BD
   )
)</f>
        <v>203490</v>
      </c>
      <c r="I14" s="221" cm="1">
        <f t="array" ref="I14">_xlfn.XLOOKUP(
   $B$4&amp;" "&amp;$B14,
   Actuals!$D:$D,
   _xlfn.XLOOKUP(
      I$6,
      Actuals!$H$3:$BD$3,
      Actuals!$H:$BD
   )
)</f>
        <v>39445</v>
      </c>
      <c r="J14" s="221" cm="1">
        <f t="array" ref="J14">_xlfn.XLOOKUP(
   $B$4&amp;" "&amp;$B14,
   Actuals!$D:$D,
   _xlfn.XLOOKUP(
      J$6,
      Actuals!$H$3:$BD$3,
      Actuals!$H:$BD
   )
)</f>
        <v>-24782</v>
      </c>
      <c r="K14" s="221" cm="1">
        <f t="array" ref="K14">_xlfn.XLOOKUP(
   $B$4&amp;" "&amp;$B14,
   Actuals!$D:$D,
   _xlfn.XLOOKUP(
      K$6,
      Actuals!$H$3:$BD$3,
      Actuals!$H:$BD
   )
)</f>
        <v>-82250</v>
      </c>
      <c r="L14" s="221" cm="1">
        <f t="array" ref="L14">_xlfn.XLOOKUP(
   $B$4&amp;" "&amp;$B14,
   Actuals!$D:$D,
   _xlfn.XLOOKUP(
      L$6,
      Actuals!$H$3:$BD$3,
      Actuals!$H:$BD
   )
)</f>
        <v>3864</v>
      </c>
      <c r="M14" s="221" cm="1">
        <f t="array" ref="M14">_xlfn.XLOOKUP(
   $B$4&amp;" "&amp;$B14,
   Actuals!$D:$D,
   _xlfn.XLOOKUP(
      M$6,
      Actuals!$H$3:$BD$3,
      Actuals!$H:$BD
   )
)</f>
        <v>-49382</v>
      </c>
      <c r="N14" s="221" cm="1">
        <f t="array" ref="N14">_xlfn.XLOOKUP(
   $B$4&amp;" "&amp;$B14,
   Actuals!$D:$D,
   _xlfn.XLOOKUP(
      N$6,
      Actuals!$H$3:$BD$3,
      Actuals!$H:$BD
   )
)</f>
        <v>119987</v>
      </c>
      <c r="O14" s="221" cm="1">
        <f t="array" ref="O14">_xlfn.XLOOKUP(
   $B$4&amp;" "&amp;$B14,
   Actuals!$D:$D,
   _xlfn.XLOOKUP(
      O$6,
      Actuals!$H$3:$BD$3,
      Actuals!$H:$BD
   )
)</f>
        <v>0</v>
      </c>
      <c r="P14" s="221" cm="1">
        <f t="array" ref="P14">_xlfn.XLOOKUP(
   $B$4&amp;" "&amp;$B14,
   Actuals!$D:$D,
   _xlfn.XLOOKUP(
      P$6,
      Actuals!$H$3:$BD$3,
      Actuals!$H:$BD
   )
)</f>
        <v>0</v>
      </c>
      <c r="Q14" s="221" cm="1">
        <f t="array" ref="Q14">_xlfn.XLOOKUP(
   $B$4&amp;" "&amp;$B14,
   Actuals!$D:$D,
   _xlfn.XLOOKUP(
      Q$6,
      Actuals!$H$3:$BD$3,
      Actuals!$H:$BD
   )
)</f>
        <v>0</v>
      </c>
      <c r="R14" s="221" cm="1">
        <f t="array" ref="R14">_xlfn.XLOOKUP(
   $B$4&amp;" "&amp;$B14,
   Actuals!$D:$D,
   _xlfn.XLOOKUP(
      R$6,
      Actuals!$H$3:$BD$3,
      Actuals!$H:$BD
   )
)</f>
        <v>0</v>
      </c>
      <c r="S14" s="221" cm="1">
        <f t="array" ref="S14">_xlfn.XLOOKUP(
   $B$4&amp;" "&amp;$B14,
   Actuals!$D:$D,
   _xlfn.XLOOKUP(
      S$6,
      Actuals!$H$3:$BD$3,
      Actuals!$H:$BD
   )
)</f>
        <v>0</v>
      </c>
      <c r="T14" s="221" cm="1">
        <f t="array" ref="T14">_xlfn.XLOOKUP(
   $B$4&amp;" "&amp;$B14,
   Actuals!$D:$D,
   _xlfn.XLOOKUP(
      T$6,
      Actuals!$H$3:$BD$3,
      Actuals!$H:$BD
   )
)</f>
        <v>0</v>
      </c>
      <c r="U14" s="221" cm="1">
        <f t="array" ref="U14">_xlfn.XLOOKUP(
   $B$4&amp;" "&amp;$B14,
   Actuals!$D:$D,
   _xlfn.XLOOKUP(
      U$6,
      Actuals!$H$3:$BD$3,
      Actuals!$H:$BD
   )
)</f>
        <v>0</v>
      </c>
      <c r="V14" s="221" cm="1">
        <f t="array" ref="V14">_xlfn.XLOOKUP(
   $B$4&amp;" "&amp;$B14,
   Actuals!$D:$D,
   _xlfn.XLOOKUP(
      V$6,
      Actuals!$H$3:$BD$3,
      Actuals!$H:$BD
   )
)</f>
        <v>0</v>
      </c>
      <c r="W14" s="221" cm="1">
        <f t="array" ref="W14">_xlfn.XLOOKUP(
   $B$4&amp;" "&amp;$B14,
   Actuals!$D:$D,
   _xlfn.XLOOKUP(
      W$6,
      Actuals!$H$3:$BD$3,
      Actuals!$H:$BD
   )
)</f>
        <v>0</v>
      </c>
      <c r="X14" s="221" cm="1">
        <f t="array" ref="X14">_xlfn.XLOOKUP(
   $B$4&amp;" "&amp;$B14,
   Actuals!$D:$D,
   _xlfn.XLOOKUP(
      X$6,
      Actuals!$H$3:$BD$3,
      Actuals!$H:$BD
   )
)</f>
        <v>0</v>
      </c>
      <c r="Y14" s="221" cm="1">
        <f t="array" ref="Y14">_xlfn.XLOOKUP(
   $B$4&amp;" "&amp;$B14,
   Actuals!$D:$D,
   _xlfn.XLOOKUP(
      Y$6,
      Actuals!$H$3:$BD$3,
      Actuals!$H:$BD
   )
)</f>
        <v>0</v>
      </c>
      <c r="Z14" s="221" cm="1">
        <f t="array" ref="Z14">_xlfn.XLOOKUP(
   $B$4&amp;" "&amp;$B14,
   Actuals!$D:$D,
   _xlfn.XLOOKUP(
      Z$6,
      Actuals!$H$3:$BD$3,
      Actuals!$H:$BD
   )
)</f>
        <v>0</v>
      </c>
      <c r="AA14" s="221" cm="1">
        <f t="array" ref="AA14">_xlfn.XLOOKUP(
   $B$4&amp;" "&amp;$B14,
   Actuals!$D:$D,
   _xlfn.XLOOKUP(
      AA$6,
      Actuals!$H$3:$BD$3,
      Actuals!$H:$BD
   )
)</f>
        <v>0</v>
      </c>
      <c r="AB14" s="221" cm="1">
        <f t="array" ref="AB14">_xlfn.XLOOKUP(
   $B$4&amp;" "&amp;$B14,
   Actuals!$D:$D,
   _xlfn.XLOOKUP(
      AB$6,
      Actuals!$H$3:$BD$3,
      Actuals!$H:$BD
   )
)</f>
        <v>0</v>
      </c>
      <c r="AC14" s="221" cm="1">
        <f t="array" ref="AC14">_xlfn.XLOOKUP(
   $B$4&amp;" "&amp;$B14,
   Actuals!$D:$D,
   _xlfn.XLOOKUP(
      AC$6,
      Actuals!$H$3:$BD$3,
      Actuals!$H:$BD
   )
)</f>
        <v>-580835</v>
      </c>
      <c r="AD14" s="221" cm="1">
        <f t="array" ref="AD14">_xlfn.XLOOKUP(
   $B$4&amp;" "&amp;$B14,
   Actuals!$D:$D,
   _xlfn.XLOOKUP(
      AD$6,
      Actuals!$H$3:$BD$3,
      Actuals!$H:$BD
   )
)</f>
        <v>-151286</v>
      </c>
      <c r="AE14" s="221" cm="1">
        <f t="array" ref="AE14">_xlfn.XLOOKUP(
   $B$4&amp;" "&amp;$B14,
   Actuals!$D:$D,
   _xlfn.XLOOKUP(
      AE$6,
      Actuals!$H$3:$BD$3,
      Actuals!$H:$BD
   )
)</f>
        <v>-3004.9499999999971</v>
      </c>
      <c r="AF14" s="221" cm="1">
        <f t="array" ref="AF14">_xlfn.XLOOKUP(
   $B$4&amp;" "&amp;$B14,
   Actuals!$D:$D,
   _xlfn.XLOOKUP(
      AF$6,
      Actuals!$H$3:$BD$3,
      Actuals!$H:$BD
   )
)</f>
        <v>30000</v>
      </c>
      <c r="AG14" s="221" cm="1">
        <f t="array" ref="AG14">_xlfn.XLOOKUP(
   $B$4&amp;" "&amp;$B14,
   Actuals!$D:$D,
   _xlfn.XLOOKUP(
      AG$6,
      Actuals!$H$3:$BD$3,
      Actuals!$H:$BD
   )
)</f>
        <v>48828</v>
      </c>
      <c r="AH14" s="221" cm="1">
        <f t="array" ref="AH14">_xlfn.XLOOKUP(
   $B$4&amp;" "&amp;$B14,
   Actuals!$D:$D,
   _xlfn.XLOOKUP(
      AH$6,
      Actuals!$H$3:$BD$3,
      Actuals!$H:$BD
   )
)</f>
        <v>43078</v>
      </c>
      <c r="AI14" s="221" cm="1">
        <f t="array" ref="AI14">_xlfn.XLOOKUP(
   $B$4&amp;" "&amp;$B14,
   Actuals!$D:$D,
   _xlfn.XLOOKUP(
      AI$6,
      Actuals!$H$3:$BD$3,
      Actuals!$H:$BD
   )
)</f>
        <v>45221</v>
      </c>
      <c r="AJ14" s="221" cm="1">
        <f t="array" ref="AJ14">_xlfn.XLOOKUP(
   $B$4&amp;" "&amp;$B14,
   Actuals!$D:$D,
   _xlfn.XLOOKUP(
      AJ$6,
      Actuals!$H$3:$BD$3,
      Actuals!$H:$BD
   )
)</f>
        <v>20876.95</v>
      </c>
      <c r="AK14" s="221" cm="1">
        <f t="array" ref="AK14">_xlfn.XLOOKUP(
   $B$4&amp;" "&amp;$B14,
   Actuals!$D:$D,
   _xlfn.XLOOKUP(
      AK$6,
      Actuals!$H$3:$BD$3,
      Actuals!$H:$BD
   )
)</f>
        <v>-102934.5</v>
      </c>
      <c r="AL14" s="221" cm="1">
        <f t="array" ref="AL14">_xlfn.XLOOKUP(
   $B$4&amp;" "&amp;$B14,
   Actuals!$D:$D,
   _xlfn.XLOOKUP(
      AL$6,
      Actuals!$H$3:$BD$3,
      Actuals!$H:$BD
   )
)</f>
        <v>-2588</v>
      </c>
      <c r="AM14" s="221" cm="1">
        <f t="array" ref="AM14">_xlfn.XLOOKUP(
   $B$4&amp;" "&amp;$B14,
   Actuals!$D:$D,
   _xlfn.XLOOKUP(
      AM$6,
      Actuals!$H$3:$BD$3,
      Actuals!$H:$BD
   )
)</f>
        <v>-46336</v>
      </c>
      <c r="AN14" s="221" cm="1">
        <f t="array" ref="AN14">_xlfn.XLOOKUP(
   $B$4&amp;" "&amp;$B14,
   Actuals!$D:$D,
   _xlfn.XLOOKUP(
      AN$6,
      Actuals!$H$3:$BD$3,
      Actuals!$H:$BD
   )
)</f>
        <v>13142</v>
      </c>
      <c r="AO14" s="221" cm="1">
        <f t="array" ref="AO14">_xlfn.XLOOKUP(
   $B$4&amp;" "&amp;$B14,
   Actuals!$D:$D,
   _xlfn.XLOOKUP(
      AO$6,
      Actuals!$H$3:$BD$3,
      Actuals!$H:$BD
   )
)</f>
        <v>0</v>
      </c>
      <c r="AP14" s="221" cm="1">
        <f t="array" ref="AP14">_xlfn.XLOOKUP(
   $B$4&amp;" "&amp;$B14,
   Actuals!$D:$D,
   _xlfn.XLOOKUP(
      AP$6,
      Actuals!$H$3:$BD$3,
      Actuals!$H:$BD
   )
)</f>
        <v>0</v>
      </c>
      <c r="AQ14" s="221" cm="1">
        <f t="array" ref="AQ14">_xlfn.XLOOKUP(
   $B$4&amp;" "&amp;$B14,
   Actuals!$D:$D,
   _xlfn.XLOOKUP(
      AQ$6,
      Actuals!$H$3:$BD$3,
      Actuals!$H:$BD
   )
)</f>
        <v>0</v>
      </c>
      <c r="AR14" s="221" cm="1">
        <f t="array" ref="AR14">_xlfn.XLOOKUP(
   $B$4&amp;" "&amp;$B14,
   Actuals!$D:$D,
   _xlfn.XLOOKUP(
      AR$6,
      Actuals!$H$3:$BD$3,
      Actuals!$H:$BD
   )
)</f>
        <v>0</v>
      </c>
      <c r="AS14" s="221" cm="1">
        <f t="array" ref="AS14">_xlfn.XLOOKUP(
   $B$4&amp;" "&amp;$B14,
   Actuals!$D:$D,
   _xlfn.XLOOKUP(
      AS$6,
      Actuals!$H$3:$BD$3,
      Actuals!$H:$BD
   )
)</f>
        <v>0</v>
      </c>
      <c r="AT14" s="221" cm="1">
        <f t="array" ref="AT14">_xlfn.XLOOKUP(
   $B$4&amp;" "&amp;$B14,
   Actuals!$D:$D,
   _xlfn.XLOOKUP(
      AT$6,
      Actuals!$H$3:$BD$3,
      Actuals!$H:$BD
   )
)</f>
        <v>0</v>
      </c>
      <c r="AU14" s="221" cm="1">
        <f t="array" ref="AU14">_xlfn.XLOOKUP(
   $B$4&amp;" "&amp;$B14,
   Actuals!$D:$D,
   _xlfn.XLOOKUP(
      AU$6,
      Actuals!$H$3:$BD$3,
      Actuals!$H:$BD
   )
)</f>
        <v>0</v>
      </c>
      <c r="AV14" s="221" cm="1">
        <f t="array" ref="AV14">_xlfn.XLOOKUP(
   $B$4&amp;" "&amp;$B14,
   Actuals!$D:$D,
   _xlfn.XLOOKUP(
      AV$6,
      Actuals!$H$3:$BD$3,
      Actuals!$H:$BD
   )
)</f>
        <v>0</v>
      </c>
      <c r="AW14" s="221" cm="1">
        <f t="array" ref="AW14">_xlfn.XLOOKUP(
   $B$4&amp;" "&amp;$B14,
   Actuals!$D:$D,
   _xlfn.XLOOKUP(
      AW$6,
      Actuals!$H$3:$BD$3,
      Actuals!$H:$BD
   )
)</f>
        <v>0</v>
      </c>
      <c r="AX14" s="221" cm="1">
        <f t="array" ref="AX14">_xlfn.XLOOKUP(
   $B$4&amp;" "&amp;$B14,
   Actuals!$D:$D,
   _xlfn.XLOOKUP(
      AX$6,
      Actuals!$H$3:$BD$3,
      Actuals!$H:$BD
   )
)</f>
        <v>0</v>
      </c>
      <c r="AY14" s="221" cm="1">
        <f t="array" ref="AY14">_xlfn.XLOOKUP(
   $B$4&amp;" "&amp;$B14,
   Actuals!$D:$D,
   _xlfn.XLOOKUP(
      AY$6,
      Actuals!$H$3:$BD$3,
      Actuals!$H:$BD
   )
)</f>
        <v>0</v>
      </c>
      <c r="AZ14" s="221" cm="1">
        <f t="array" ref="AZ14">_xlfn.XLOOKUP(
   $B$4&amp;" "&amp;$B14,
   Actuals!$D:$D,
   _xlfn.XLOOKUP(
      AZ$6,
      Actuals!$H$3:$BD$3,
      Actuals!$H:$BD
   )
)</f>
        <v>0</v>
      </c>
      <c r="BA14" s="221"/>
      <c r="BB14" s="221" cm="1">
        <f t="array" ref="BB14">_xlfn.XLOOKUP(
   $B$4&amp;" "&amp;$B14,
   Actuals!$D:$D,
   _xlfn.XLOOKUP(
      BB$7,
      Actuals!$H$3:$BM$3,
      Actuals!$H:$BM
   )
)</f>
        <v>0</v>
      </c>
      <c r="BC14" s="221">
        <f>VLOOKUP($B$4&amp;" "&amp;$B14,Budget!$AG$4:$AL$132,$BB$5+1,FALSE)</f>
        <v>31352</v>
      </c>
      <c r="BD14" s="221">
        <f t="shared" si="32"/>
        <v>-31352</v>
      </c>
      <c r="BE14" s="221"/>
      <c r="BF14" s="221" cm="1">
        <f t="array" ref="BF14">_xlfn.XLOOKUP(
   $B$4&amp;" "&amp;$B14,
   Actuals!$D:$D,
   _xlfn.XLOOKUP(
      BF$7,
      Actuals!$H$3:$BM$3,
      Actuals!$H:$BM
   )
)</f>
        <v>0</v>
      </c>
      <c r="BG14" s="221">
        <f>VLOOKUP($B$4&amp;" "&amp;$B14,Budget!$AG$4:$AL$132,BF$5+1,FALSE)</f>
        <v>141284</v>
      </c>
      <c r="BH14" s="221">
        <f t="shared" si="33"/>
        <v>-141284</v>
      </c>
      <c r="BI14" s="221"/>
      <c r="BJ14" s="221" cm="1">
        <f t="array" ref="BJ14">_xlfn.XLOOKUP(
   $B$4&amp;" "&amp;$B14,
   Actuals!$D:$D,
   _xlfn.XLOOKUP(
      BJ$7,
      Actuals!$H$3:$BM$3,
      Actuals!$H:$BM
   )
)</f>
        <v>0</v>
      </c>
      <c r="BK14" s="221">
        <f>VLOOKUP($B$4&amp;" "&amp;$B14,Budget!$AG$4:$AL$132,BJ$5+1,FALSE)</f>
        <v>144908</v>
      </c>
      <c r="BL14" s="221">
        <f t="shared" si="34"/>
        <v>-144908</v>
      </c>
      <c r="BM14" s="221"/>
      <c r="BN14" s="221" cm="1">
        <f t="array" ref="BN14">_xlfn.XLOOKUP(
   $B$4&amp;" "&amp;$B14,
   Actuals!$D:$D,
   _xlfn.XLOOKUP(
      BN$7,
      Actuals!$H$3:$BM$3,
      Actuals!$H:$BM
   )
)</f>
        <v>0</v>
      </c>
      <c r="BO14" s="221">
        <f>VLOOKUP($B$4&amp;" "&amp;$B14,Budget!$AG$4:$AL$132,BN$5+1,FALSE)</f>
        <v>256964</v>
      </c>
      <c r="BP14" s="221"/>
      <c r="BQ14" s="221"/>
      <c r="BR14" s="221" cm="1">
        <f t="array" aca="1" ref="BR14" ca="1">_xlfn.XLOOKUP(
   $B$4&amp;" "&amp;$B14,
   Actuals!$D:$D,
   _xlfn.XLOOKUP(
      BR$6,
      Actuals!$H$3:$BM$3,
      Actuals!$H:$BM
   )
)</f>
        <v>0</v>
      </c>
      <c r="BS14" s="221">
        <f ca="1">VLOOKUP($B$4&amp;" "&amp;$B14,Budget!$AG$4:$AL$132,6,FALSE)</f>
        <v>576296</v>
      </c>
      <c r="BT14" s="221">
        <f t="shared" ca="1" si="35"/>
        <v>-576296</v>
      </c>
      <c r="BU14" s="221"/>
      <c r="BV14" s="221" cm="1">
        <f t="array" ref="BV14">_xlfn.XLOOKUP(
   $B$4&amp;" "&amp;$B14,
   Actuals!$D:$D,
   _xlfn.XLOOKUP(
      BV$6,
      Actuals!$H$3:$BM$3,
      Actuals!$H:$BM
   )
)</f>
        <v>-105003.50000000001</v>
      </c>
      <c r="BW14" s="26"/>
      <c r="BX14" s="26"/>
      <c r="BY14" s="26"/>
    </row>
    <row r="15" spans="2:77">
      <c r="C15" s="139"/>
      <c r="D15" s="171"/>
      <c r="O15" s="285"/>
      <c r="P15" s="285"/>
      <c r="Q15" s="285"/>
      <c r="R15" s="285"/>
      <c r="S15" s="285"/>
      <c r="T15" s="285"/>
      <c r="U15" s="285"/>
      <c r="V15" s="285"/>
      <c r="W15" s="285"/>
      <c r="X15" s="285"/>
      <c r="Y15" s="285"/>
      <c r="Z15" s="285"/>
      <c r="AA15" s="285"/>
      <c r="AB15" s="285"/>
      <c r="AC15" s="285"/>
      <c r="AD15" s="285"/>
      <c r="AE15" s="285"/>
      <c r="AF15" s="285"/>
      <c r="AG15" s="285"/>
      <c r="AH15" s="285"/>
      <c r="AI15" s="285"/>
      <c r="AJ15" s="285"/>
      <c r="AK15" s="285"/>
      <c r="AL15" s="285"/>
      <c r="AM15" s="285"/>
      <c r="AN15" s="285"/>
      <c r="AO15" s="285"/>
      <c r="AP15" s="285"/>
      <c r="AQ15" s="285"/>
      <c r="AR15" s="285"/>
      <c r="AS15" s="285"/>
      <c r="AT15" s="285"/>
      <c r="AU15" s="285"/>
      <c r="AV15" s="285"/>
      <c r="AW15" s="285"/>
      <c r="AX15" s="285"/>
      <c r="AY15" s="285"/>
      <c r="AZ15" s="285"/>
      <c r="BA15" s="285"/>
      <c r="BB15" s="285"/>
      <c r="BC15" s="285"/>
      <c r="BD15" s="285"/>
      <c r="BE15" s="285"/>
      <c r="BF15" s="285"/>
      <c r="BG15" s="285"/>
      <c r="BH15" s="285"/>
      <c r="BI15" s="285"/>
      <c r="BJ15" s="285"/>
      <c r="BK15" s="285"/>
      <c r="BL15" s="285"/>
      <c r="BM15" s="285"/>
      <c r="BN15" s="285"/>
      <c r="BO15" s="285"/>
      <c r="BP15" s="285"/>
      <c r="BQ15" s="285"/>
      <c r="BR15" s="285"/>
      <c r="BS15" s="285"/>
      <c r="BT15" s="285"/>
      <c r="BU15" s="285"/>
      <c r="BW15" s="26"/>
      <c r="BX15" s="26"/>
      <c r="BY15" s="26"/>
    </row>
    <row r="16" spans="2:77">
      <c r="B16" s="26" t="s">
        <v>174</v>
      </c>
      <c r="C16" s="139" t="s">
        <v>49</v>
      </c>
      <c r="D16" s="171" t="str">
        <f>VLOOKUP($B$4&amp;" "&amp;$B16,Actuals!$D$4:$AG$131,3,FALSE)</f>
        <v>$</v>
      </c>
      <c r="E16" s="240" cm="1">
        <f t="array" ref="E16">_xlfn.XLOOKUP(
   $B$4&amp;" "&amp;$B16,
   Actuals!$D:$D,
   _xlfn.XLOOKUP(
      E$6,
      Actuals!$H$3:$BD$3,
      Actuals!$H:$BD
   )
)</f>
        <v>7.7695351366093065E-3</v>
      </c>
      <c r="F16" s="240" cm="1">
        <f t="array" ref="F16">_xlfn.XLOOKUP(
   $B$4&amp;" "&amp;$B16,
   Actuals!$D:$D,
   _xlfn.XLOOKUP(
      F$6,
      Actuals!$H$3:$BD$3,
      Actuals!$H:$BD
   )
)</f>
        <v>1.7780790684935939E-2</v>
      </c>
      <c r="G16" s="240" cm="1">
        <f t="array" ref="G16">_xlfn.XLOOKUP(
   $B$4&amp;" "&amp;$B16,
   Actuals!$D:$D,
   _xlfn.XLOOKUP(
      G$6,
      Actuals!$H$3:$BD$3,
      Actuals!$H:$BD
   )
)</f>
        <v>2.0463806016287032E-2</v>
      </c>
      <c r="H16" s="240" cm="1">
        <f t="array" ref="H16">_xlfn.XLOOKUP(
   $B$4&amp;" "&amp;$B16,
   Actuals!$D:$D,
   _xlfn.XLOOKUP(
      H$6,
      Actuals!$H$3:$BD$3,
      Actuals!$H:$BD
   )
)</f>
        <v>3.5172144020172158E-2</v>
      </c>
      <c r="I16" s="240" cm="1">
        <f t="array" ref="I16">_xlfn.XLOOKUP(
   $B$4&amp;" "&amp;$B16,
   Actuals!$D:$D,
   _xlfn.XLOOKUP(
      I$6,
      Actuals!$H$3:$BD$3,
      Actuals!$H:$BD
   )
)</f>
        <v>5.6978324402467903E-3</v>
      </c>
      <c r="J16" s="240" cm="1">
        <f t="array" ref="J16">_xlfn.XLOOKUP(
   $B$4&amp;" "&amp;$B16,
   Actuals!$D:$D,
   _xlfn.XLOOKUP(
      J$6,
      Actuals!$H$3:$BD$3,
      Actuals!$H:$BD
   )
)</f>
        <v>4.3649917779028397E-3</v>
      </c>
      <c r="K16" s="240" cm="1">
        <f t="array" ref="K16">_xlfn.XLOOKUP(
   $B$4&amp;" "&amp;$B16,
   Actuals!$D:$D,
   _xlfn.XLOOKUP(
      K$6,
      Actuals!$H$3:$BD$3,
      Actuals!$H:$BD
   )
)</f>
        <v>9.0281284704125844E-4</v>
      </c>
      <c r="L16" s="240" cm="1">
        <f t="array" ref="L16">_xlfn.XLOOKUP(
   $B$4&amp;" "&amp;$B16,
   Actuals!$D:$D,
   _xlfn.XLOOKUP(
      L$6,
      Actuals!$H$3:$BD$3,
      Actuals!$H:$BD
   )
)</f>
        <v>1.2201696190332015E-3</v>
      </c>
      <c r="M16" s="240" cm="1">
        <f t="array" ref="M16">_xlfn.XLOOKUP(
   $B$4&amp;" "&amp;$B16,
   Actuals!$D:$D,
   _xlfn.XLOOKUP(
      M$6,
      Actuals!$H$3:$BD$3,
      Actuals!$H:$BD
   )
)</f>
        <v>1.2507208057770777E-2</v>
      </c>
      <c r="N16" s="240" cm="1">
        <f t="array" ref="N16">_xlfn.XLOOKUP(
   $B$4&amp;" "&amp;$B16,
   Actuals!$D:$D,
   _xlfn.XLOOKUP(
      N$6,
      Actuals!$H$3:$BD$3,
      Actuals!$H:$BD
   )
)</f>
        <v>1.7332128812470315E-2</v>
      </c>
      <c r="O16" s="241" cm="1">
        <f t="array" ref="O16">_xlfn.XLOOKUP(
   $B$4&amp;" "&amp;$B16,
   Actuals!$D:$D,
   _xlfn.XLOOKUP(
      O$6,
      Actuals!$H$3:$BD$3,
      Actuals!$H:$BD
   )
)</f>
        <v>0</v>
      </c>
      <c r="P16" s="241" cm="1">
        <f t="array" ref="P16">_xlfn.XLOOKUP(
   $B$4&amp;" "&amp;$B16,
   Actuals!$D:$D,
   _xlfn.XLOOKUP(
      P$6,
      Actuals!$H$3:$BD$3,
      Actuals!$H:$BD
   )
)</f>
        <v>0</v>
      </c>
      <c r="Q16" s="241" cm="1">
        <f t="array" ref="Q16">_xlfn.XLOOKUP(
   $B$4&amp;" "&amp;$B16,
   Actuals!$D:$D,
   _xlfn.XLOOKUP(
      Q$6,
      Actuals!$H$3:$BD$3,
      Actuals!$H:$BD
   )
)</f>
        <v>0</v>
      </c>
      <c r="R16" s="241" cm="1">
        <f t="array" ref="R16">_xlfn.XLOOKUP(
   $B$4&amp;" "&amp;$B16,
   Actuals!$D:$D,
   _xlfn.XLOOKUP(
      R$6,
      Actuals!$H$3:$BD$3,
      Actuals!$H:$BD
   )
)</f>
        <v>0</v>
      </c>
      <c r="S16" s="241" cm="1">
        <f t="array" ref="S16">_xlfn.XLOOKUP(
   $B$4&amp;" "&amp;$B16,
   Actuals!$D:$D,
   _xlfn.XLOOKUP(
      S$6,
      Actuals!$H$3:$BD$3,
      Actuals!$H:$BD
   )
)</f>
        <v>0</v>
      </c>
      <c r="T16" s="241" cm="1">
        <f t="array" ref="T16">_xlfn.XLOOKUP(
   $B$4&amp;" "&amp;$B16,
   Actuals!$D:$D,
   _xlfn.XLOOKUP(
      T$6,
      Actuals!$H$3:$BD$3,
      Actuals!$H:$BD
   )
)</f>
        <v>0</v>
      </c>
      <c r="U16" s="241" cm="1">
        <f t="array" ref="U16">_xlfn.XLOOKUP(
   $B$4&amp;" "&amp;$B16,
   Actuals!$D:$D,
   _xlfn.XLOOKUP(
      U$6,
      Actuals!$H$3:$BD$3,
      Actuals!$H:$BD
   )
)</f>
        <v>0</v>
      </c>
      <c r="V16" s="241" cm="1">
        <f t="array" ref="V16">_xlfn.XLOOKUP(
   $B$4&amp;" "&amp;$B16,
   Actuals!$D:$D,
   _xlfn.XLOOKUP(
      V$6,
      Actuals!$H$3:$BD$3,
      Actuals!$H:$BD
   )
)</f>
        <v>0</v>
      </c>
      <c r="W16" s="241" cm="1">
        <f t="array" ref="W16">_xlfn.XLOOKUP(
   $B$4&amp;" "&amp;$B16,
   Actuals!$D:$D,
   _xlfn.XLOOKUP(
      W$6,
      Actuals!$H$3:$BD$3,
      Actuals!$H:$BD
   )
)</f>
        <v>0</v>
      </c>
      <c r="X16" s="241" cm="1">
        <f t="array" ref="X16">_xlfn.XLOOKUP(
   $B$4&amp;" "&amp;$B16,
   Actuals!$D:$D,
   _xlfn.XLOOKUP(
      X$6,
      Actuals!$H$3:$BD$3,
      Actuals!$H:$BD
   )
)</f>
        <v>0</v>
      </c>
      <c r="Y16" s="241" cm="1">
        <f t="array" ref="Y16">_xlfn.XLOOKUP(
   $B$4&amp;" "&amp;$B16,
   Actuals!$D:$D,
   _xlfn.XLOOKUP(
      Y$6,
      Actuals!$H$3:$BD$3,
      Actuals!$H:$BD
   )
)</f>
        <v>0</v>
      </c>
      <c r="Z16" s="241" cm="1">
        <f t="array" ref="Z16">_xlfn.XLOOKUP(
   $B$4&amp;" "&amp;$B16,
   Actuals!$D:$D,
   _xlfn.XLOOKUP(
      Z$6,
      Actuals!$H$3:$BD$3,
      Actuals!$H:$BD
   )
)</f>
        <v>0</v>
      </c>
      <c r="AA16" s="241" cm="1">
        <f t="array" ref="AA16">_xlfn.XLOOKUP(
   $B$4&amp;" "&amp;$B16,
   Actuals!$D:$D,
   _xlfn.XLOOKUP(
      AA$6,
      Actuals!$H$3:$BD$3,
      Actuals!$H:$BD
   )
)</f>
        <v>0</v>
      </c>
      <c r="AB16" s="241" cm="1">
        <f t="array" ref="AB16">_xlfn.XLOOKUP(
   $B$4&amp;" "&amp;$B16,
   Actuals!$D:$D,
   _xlfn.XLOOKUP(
      AB$6,
      Actuals!$H$3:$BD$3,
      Actuals!$H:$BD
   )
)</f>
        <v>0</v>
      </c>
      <c r="AC16" s="241" cm="1">
        <f t="array" ref="AC16">_xlfn.XLOOKUP(
   $B$4&amp;" "&amp;$B16,
   Actuals!$D:$D,
   _xlfn.XLOOKUP(
      AC$6,
      Actuals!$H$3:$BD$3,
      Actuals!$H:$BD
   )
)</f>
        <v>4.766927832657304E-3</v>
      </c>
      <c r="AD16" s="241" cm="1">
        <f t="array" ref="AD16">_xlfn.XLOOKUP(
   $B$4&amp;" "&amp;$B16,
   Actuals!$D:$D,
   _xlfn.XLOOKUP(
      AD$6,
      Actuals!$H$3:$BD$3,
      Actuals!$H:$BD
   )
)</f>
        <v>3.8776038433043086E-3</v>
      </c>
      <c r="AE16" s="241" cm="1">
        <f t="array" ref="AE16">_xlfn.XLOOKUP(
   $B$4&amp;" "&amp;$B16,
   Actuals!$D:$D,
   _xlfn.XLOOKUP(
      AE$6,
      Actuals!$H$3:$BD$3,
      Actuals!$H:$BD
   )
)</f>
        <v>8.459622788064251E-3</v>
      </c>
      <c r="AF16" s="241" cm="1">
        <f t="array" ref="AF16">_xlfn.XLOOKUP(
   $B$4&amp;" "&amp;$B16,
   Actuals!$D:$D,
   _xlfn.XLOOKUP(
      AF$6,
      Actuals!$H$3:$BD$3,
      Actuals!$H:$BD
   )
)</f>
        <v>3.6592675463708482E-3</v>
      </c>
      <c r="AG16" s="241" cm="1">
        <f t="array" ref="AG16">_xlfn.XLOOKUP(
   $B$4&amp;" "&amp;$B16,
   Actuals!$D:$D,
   _xlfn.XLOOKUP(
      AG$6,
      Actuals!$H$3:$BD$3,
      Actuals!$H:$BD
   )
)</f>
        <v>5.9558238584731926E-3</v>
      </c>
      <c r="AH16" s="241" cm="1">
        <f t="array" ref="AH16">_xlfn.XLOOKUP(
   $B$4&amp;" "&amp;$B16,
   Actuals!$D:$D,
   _xlfn.XLOOKUP(
      AH$6,
      Actuals!$H$3:$BD$3,
      Actuals!$H:$BD
   )
)</f>
        <v>5.2544642454187803E-3</v>
      </c>
      <c r="AI16" s="241" cm="1">
        <f t="array" ref="AI16">_xlfn.XLOOKUP(
   $B$4&amp;" "&amp;$B16,
   Actuals!$D:$D,
   _xlfn.XLOOKUP(
      AI$6,
      Actuals!$H$3:$BD$3,
      Actuals!$H:$BD
   )
)</f>
        <v>5.5158579238145378E-3</v>
      </c>
      <c r="AJ16" s="241" cm="1">
        <f t="array" ref="AJ16">_xlfn.XLOOKUP(
   $B$4&amp;" "&amp;$B16,
   Actuals!$D:$D,
   _xlfn.XLOOKUP(
      AJ$6,
      Actuals!$H$3:$BD$3,
      Actuals!$H:$BD
   )
)</f>
        <v>2.5464781867402292E-3</v>
      </c>
      <c r="AK16" s="241" cm="1">
        <f t="array" ref="AK16">_xlfn.XLOOKUP(
   $B$4&amp;" "&amp;$B16,
   Actuals!$D:$D,
   _xlfn.XLOOKUP(
      AK$6,
      Actuals!$H$3:$BD$3,
      Actuals!$H:$BD
   )
)</f>
        <v>6.8306327532255831E-3</v>
      </c>
      <c r="AL16" s="241" cm="1">
        <f t="array" ref="AL16">_xlfn.XLOOKUP(
   $B$4&amp;" "&amp;$B16,
   Actuals!$D:$D,
   _xlfn.XLOOKUP(
      AL$6,
      Actuals!$H$3:$BD$3,
      Actuals!$H:$BD
   )
)</f>
        <v>2.4592717423309682E-3</v>
      </c>
      <c r="AM16" s="241" cm="1">
        <f t="array" ref="AM16">_xlfn.XLOOKUP(
   $B$4&amp;" "&amp;$B16,
   Actuals!$D:$D,
   _xlfn.XLOOKUP(
      AM$6,
      Actuals!$H$3:$BD$3,
      Actuals!$H:$BD
   )
)</f>
        <v>1.4324812688193079E-3</v>
      </c>
      <c r="AN16" s="241" cm="1">
        <f t="array" ref="AN16">_xlfn.XLOOKUP(
   $B$4&amp;" "&amp;$B16,
   Actuals!$D:$D,
   _xlfn.XLOOKUP(
      AN$6,
      Actuals!$H$3:$BD$3,
      Actuals!$H:$BD
   )
)</f>
        <v>1.6030031364801895E-3</v>
      </c>
      <c r="AO16" s="241" cm="1">
        <f t="array" ref="AO16">_xlfn.XLOOKUP(
   $B$4&amp;" "&amp;$B16,
   Actuals!$D:$D,
   _xlfn.XLOOKUP(
      AO$6,
      Actuals!$H$3:$BD$3,
      Actuals!$H:$BD
   )
)</f>
        <v>0</v>
      </c>
      <c r="AP16" s="241" cm="1">
        <f t="array" ref="AP16">_xlfn.XLOOKUP(
   $B$4&amp;" "&amp;$B16,
   Actuals!$D:$D,
   _xlfn.XLOOKUP(
      AP$6,
      Actuals!$H$3:$BD$3,
      Actuals!$H:$BD
   )
)</f>
        <v>0</v>
      </c>
      <c r="AQ16" s="241" cm="1">
        <f t="array" ref="AQ16">_xlfn.XLOOKUP(
   $B$4&amp;" "&amp;$B16,
   Actuals!$D:$D,
   _xlfn.XLOOKUP(
      AQ$6,
      Actuals!$H$3:$BD$3,
      Actuals!$H:$BD
   )
)</f>
        <v>0</v>
      </c>
      <c r="AR16" s="241" cm="1">
        <f t="array" ref="AR16">_xlfn.XLOOKUP(
   $B$4&amp;" "&amp;$B16,
   Actuals!$D:$D,
   _xlfn.XLOOKUP(
      AR$6,
      Actuals!$H$3:$BD$3,
      Actuals!$H:$BD
   )
)</f>
        <v>0</v>
      </c>
      <c r="AS16" s="241" cm="1">
        <f t="array" ref="AS16">_xlfn.XLOOKUP(
   $B$4&amp;" "&amp;$B16,
   Actuals!$D:$D,
   _xlfn.XLOOKUP(
      AS$6,
      Actuals!$H$3:$BD$3,
      Actuals!$H:$BD
   )
)</f>
        <v>0</v>
      </c>
      <c r="AT16" s="241" cm="1">
        <f t="array" ref="AT16">_xlfn.XLOOKUP(
   $B$4&amp;" "&amp;$B16,
   Actuals!$D:$D,
   _xlfn.XLOOKUP(
      AT$6,
      Actuals!$H$3:$BD$3,
      Actuals!$H:$BD
   )
)</f>
        <v>0</v>
      </c>
      <c r="AU16" s="241" cm="1">
        <f t="array" ref="AU16">_xlfn.XLOOKUP(
   $B$4&amp;" "&amp;$B16,
   Actuals!$D:$D,
   _xlfn.XLOOKUP(
      AU$6,
      Actuals!$H$3:$BD$3,
      Actuals!$H:$BD
   )
)</f>
        <v>0</v>
      </c>
      <c r="AV16" s="241" cm="1">
        <f t="array" ref="AV16">_xlfn.XLOOKUP(
   $B$4&amp;" "&amp;$B16,
   Actuals!$D:$D,
   _xlfn.XLOOKUP(
      AV$6,
      Actuals!$H$3:$BD$3,
      Actuals!$H:$BD
   )
)</f>
        <v>0</v>
      </c>
      <c r="AW16" s="241" cm="1">
        <f t="array" ref="AW16">_xlfn.XLOOKUP(
   $B$4&amp;" "&amp;$B16,
   Actuals!$D:$D,
   _xlfn.XLOOKUP(
      AW$6,
      Actuals!$H$3:$BD$3,
      Actuals!$H:$BD
   )
)</f>
        <v>0</v>
      </c>
      <c r="AX16" s="241" cm="1">
        <f t="array" ref="AX16">_xlfn.XLOOKUP(
   $B$4&amp;" "&amp;$B16,
   Actuals!$D:$D,
   _xlfn.XLOOKUP(
      AX$6,
      Actuals!$H$3:$BD$3,
      Actuals!$H:$BD
   )
)</f>
        <v>0</v>
      </c>
      <c r="AY16" s="241" cm="1">
        <f t="array" ref="AY16">_xlfn.XLOOKUP(
   $B$4&amp;" "&amp;$B16,
   Actuals!$D:$D,
   _xlfn.XLOOKUP(
      AY$6,
      Actuals!$H$3:$BD$3,
      Actuals!$H:$BD
   )
)</f>
        <v>0</v>
      </c>
      <c r="AZ16" s="241" cm="1">
        <f t="array" ref="AZ16">_xlfn.XLOOKUP(
   $B$4&amp;" "&amp;$B16,
   Actuals!$D:$D,
   _xlfn.XLOOKUP(
      AZ$6,
      Actuals!$H$3:$BD$3,
      Actuals!$H:$BD
   )
)</f>
        <v>0</v>
      </c>
      <c r="BA16" s="241"/>
      <c r="BB16" s="241" cm="1">
        <f t="array" ref="BB16">_xlfn.XLOOKUP(
   $B$4&amp;" "&amp;$B16,
   Actuals!$D:$D,
   _xlfn.XLOOKUP(
      BB$7,
      Actuals!$H$3:$BM$3,
      Actuals!$H:$BM
   )
)</f>
        <v>0</v>
      </c>
      <c r="BC16" s="241">
        <f>VLOOKUP($B$4&amp;" "&amp;$B16,Budget!$AG$4:$AL$132,$BB$5+1,FALSE)</f>
        <v>9.7173882620292529E-3</v>
      </c>
      <c r="BD16" s="241">
        <f>IFERROR(BB16-BC16,"-")</f>
        <v>-9.7173882620292529E-3</v>
      </c>
      <c r="BE16" s="241"/>
      <c r="BF16" s="241" cm="1">
        <f t="array" ref="BF16">_xlfn.XLOOKUP(
   $B$4&amp;" "&amp;$B16,
   Actuals!$D:$D,
   _xlfn.XLOOKUP(
      BF$7,
      Actuals!$H$3:$BM$3,
      Actuals!$H:$BM
   )
)</f>
        <v>0</v>
      </c>
      <c r="BG16" s="241">
        <f>VLOOKUP($B$4&amp;" "&amp;$B16,Budget!$AG$4:$AL$132,BF$5+1,FALSE)</f>
        <v>1.3986533732795242E-2</v>
      </c>
      <c r="BH16" s="241">
        <f>IFERROR(BF16-BG16,"-")</f>
        <v>-1.3986533732795242E-2</v>
      </c>
      <c r="BI16" s="241"/>
      <c r="BJ16" s="241" cm="1">
        <f t="array" ref="BJ16">_xlfn.XLOOKUP(
   $B$4&amp;" "&amp;$B16,
   Actuals!$D:$D,
   _xlfn.XLOOKUP(
      BJ$7,
      Actuals!$H$3:$BM$3,
      Actuals!$H:$BM
   )
)</f>
        <v>0</v>
      </c>
      <c r="BK16" s="241">
        <f>VLOOKUP($B$4&amp;" "&amp;$B16,Budget!$AG$4:$AL$132,BJ$5+1,FALSE)</f>
        <v>1.3986533732795242E-2</v>
      </c>
      <c r="BL16" s="241">
        <f>IFERROR(BJ16-BK16,"-")</f>
        <v>-1.3986533732795242E-2</v>
      </c>
      <c r="BM16" s="241"/>
      <c r="BN16" s="241" cm="1">
        <f t="array" ref="BN16">_xlfn.XLOOKUP(
   $B$4&amp;" "&amp;$B16,
   Actuals!$D:$D,
   _xlfn.XLOOKUP(
      BN$7,
      Actuals!$H$3:$BM$3,
      Actuals!$H:$BM
   )
)</f>
        <v>0</v>
      </c>
      <c r="BO16" s="241">
        <f>VLOOKUP($B$4&amp;" "&amp;$B16,Budget!$AG$4:$AL$132,BN$5+1,FALSE)</f>
        <v>1.8255679203561231E-2</v>
      </c>
      <c r="BP16" s="241"/>
      <c r="BQ16" s="241"/>
      <c r="BR16" s="241" cm="1">
        <f t="array" aca="1" ref="BR16" ca="1">_xlfn.XLOOKUP(
   $B$4&amp;" "&amp;$B16,
   Actuals!$D:$D,
   _xlfn.XLOOKUP(
      BR$6,
      Actuals!$H$3:$BM$3,
      Actuals!$H:$BM
   )
)</f>
        <v>0</v>
      </c>
      <c r="BS16" s="241">
        <f ca="1">VLOOKUP($B$4&amp;" "&amp;$B16,Budget!$AG$4:$AL$132,6,FALSE)</f>
        <v>1.3986533732795242E-2</v>
      </c>
      <c r="BT16" s="241">
        <f ca="1">BR16-BS16</f>
        <v>-1.3986533732795242E-2</v>
      </c>
      <c r="BU16" s="241"/>
      <c r="BV16" s="241" cm="1">
        <f t="array" ref="BV16">_xlfn.XLOOKUP(
   $B$4&amp;" "&amp;$B16,
   Actuals!$D:$D,
   _xlfn.XLOOKUP(
      BV$6,
      Actuals!$H$3:$BM$3,
      Actuals!$H:$BM
   )
)</f>
        <v>3.9662089410868497E-3</v>
      </c>
      <c r="BW16" s="26"/>
      <c r="BX16" s="26"/>
      <c r="BY16" s="26"/>
    </row>
    <row r="17" spans="1:74">
      <c r="A17" s="26"/>
      <c r="B17" s="26" t="s">
        <v>175</v>
      </c>
      <c r="C17" s="139" t="s">
        <v>49</v>
      </c>
      <c r="D17" s="171" t="str">
        <f>VLOOKUP($B$4&amp;" "&amp;$B17,Actuals!$D$4:$AG$131,3,FALSE)</f>
        <v>$</v>
      </c>
      <c r="E17" s="240" cm="1">
        <f t="array" ref="E17">_xlfn.XLOOKUP(
   $B$4&amp;" "&amp;$B17,
   Actuals!$D:$D,
   _xlfn.XLOOKUP(
      E$6,
      Actuals!$H$3:$BD$3,
      Actuals!$H:$BD
   )
)</f>
        <v>-6.4641399848154105E-3</v>
      </c>
      <c r="F17" s="240" cm="1">
        <f t="array" ref="F17">_xlfn.XLOOKUP(
   $B$4&amp;" "&amp;$B17,
   Actuals!$D:$D,
   _xlfn.XLOOKUP(
      F$6,
      Actuals!$H$3:$BD$3,
      Actuals!$H:$BD
   )
)</f>
        <v>0</v>
      </c>
      <c r="G17" s="240" cm="1">
        <f t="array" ref="G17">_xlfn.XLOOKUP(
   $B$4&amp;" "&amp;$B17,
   Actuals!$D:$D,
   _xlfn.XLOOKUP(
      G$6,
      Actuals!$H$3:$BD$3,
      Actuals!$H:$BD
   )
)</f>
        <v>0</v>
      </c>
      <c r="H17" s="240" cm="1">
        <f t="array" ref="H17">_xlfn.XLOOKUP(
   $B$4&amp;" "&amp;$B17,
   Actuals!$D:$D,
   _xlfn.XLOOKUP(
      H$6,
      Actuals!$H$3:$BD$3,
      Actuals!$H:$BD
   )
)</f>
        <v>-5.7780022210640542E-3</v>
      </c>
      <c r="I17" s="240" cm="1">
        <f t="array" ref="I17">_xlfn.XLOOKUP(
   $B$4&amp;" "&amp;$B17,
   Actuals!$D:$D,
   _xlfn.XLOOKUP(
      I$6,
      Actuals!$H$3:$BD$3,
      Actuals!$H:$BD
   )
)</f>
        <v>0</v>
      </c>
      <c r="J17" s="240" cm="1">
        <f t="array" ref="J17">_xlfn.XLOOKUP(
   $B$4&amp;" "&amp;$B17,
   Actuals!$D:$D,
   _xlfn.XLOOKUP(
      J$6,
      Actuals!$H$3:$BD$3,
      Actuals!$H:$BD
   )
)</f>
        <v>-7.9447530539630742E-3</v>
      </c>
      <c r="K17" s="240" cm="1">
        <f t="array" ref="K17">_xlfn.XLOOKUP(
   $B$4&amp;" "&amp;$B17,
   Actuals!$D:$D,
   _xlfn.XLOOKUP(
      K$6,
      Actuals!$H$3:$BD$3,
      Actuals!$H:$BD
   )
)</f>
        <v>-1.2783829914104219E-2</v>
      </c>
      <c r="L17" s="240" cm="1">
        <f t="array" ref="L17">_xlfn.XLOOKUP(
   $B$4&amp;" "&amp;$B17,
   Actuals!$D:$D,
   _xlfn.XLOOKUP(
      L$6,
      Actuals!$H$3:$BD$3,
      Actuals!$H:$BD
   )
)</f>
        <v>-6.6201460447841399E-4</v>
      </c>
      <c r="M17" s="240" cm="1">
        <f t="array" ref="M17">_xlfn.XLOOKUP(
   $B$4&amp;" "&amp;$B17,
   Actuals!$D:$D,
   _xlfn.XLOOKUP(
      M$6,
      Actuals!$H$3:$BD$3,
      Actuals!$H:$BD
   )
)</f>
        <v>-1.9640440699785405E-2</v>
      </c>
      <c r="N17" s="240" cm="1">
        <f t="array" ref="N17">_xlfn.XLOOKUP(
   $B$4&amp;" "&amp;$B17,
   Actuals!$D:$D,
   _xlfn.XLOOKUP(
      N$6,
      Actuals!$H$3:$BD$3,
      Actuals!$H:$BD
   )
)</f>
        <v>0</v>
      </c>
      <c r="O17" s="241" cm="1">
        <f t="array" ref="O17">_xlfn.XLOOKUP(
   $B$4&amp;" "&amp;$B17,
   Actuals!$D:$D,
   _xlfn.XLOOKUP(
      O$6,
      Actuals!$H$3:$BD$3,
      Actuals!$H:$BD
   )
)</f>
        <v>0</v>
      </c>
      <c r="P17" s="241" cm="1">
        <f t="array" ref="P17">_xlfn.XLOOKUP(
   $B$4&amp;" "&amp;$B17,
   Actuals!$D:$D,
   _xlfn.XLOOKUP(
      P$6,
      Actuals!$H$3:$BD$3,
      Actuals!$H:$BD
   )
)</f>
        <v>0</v>
      </c>
      <c r="Q17" s="241" cm="1">
        <f t="array" ref="Q17">_xlfn.XLOOKUP(
   $B$4&amp;" "&amp;$B17,
   Actuals!$D:$D,
   _xlfn.XLOOKUP(
      Q$6,
      Actuals!$H$3:$BD$3,
      Actuals!$H:$BD
   )
)</f>
        <v>0</v>
      </c>
      <c r="R17" s="241" cm="1">
        <f t="array" ref="R17">_xlfn.XLOOKUP(
   $B$4&amp;" "&amp;$B17,
   Actuals!$D:$D,
   _xlfn.XLOOKUP(
      R$6,
      Actuals!$H$3:$BD$3,
      Actuals!$H:$BD
   )
)</f>
        <v>0</v>
      </c>
      <c r="S17" s="241" cm="1">
        <f t="array" ref="S17">_xlfn.XLOOKUP(
   $B$4&amp;" "&amp;$B17,
   Actuals!$D:$D,
   _xlfn.XLOOKUP(
      S$6,
      Actuals!$H$3:$BD$3,
      Actuals!$H:$BD
   )
)</f>
        <v>0</v>
      </c>
      <c r="T17" s="241" cm="1">
        <f t="array" ref="T17">_xlfn.XLOOKUP(
   $B$4&amp;" "&amp;$B17,
   Actuals!$D:$D,
   _xlfn.XLOOKUP(
      T$6,
      Actuals!$H$3:$BD$3,
      Actuals!$H:$BD
   )
)</f>
        <v>0</v>
      </c>
      <c r="U17" s="241" cm="1">
        <f t="array" ref="U17">_xlfn.XLOOKUP(
   $B$4&amp;" "&amp;$B17,
   Actuals!$D:$D,
   _xlfn.XLOOKUP(
      U$6,
      Actuals!$H$3:$BD$3,
      Actuals!$H:$BD
   )
)</f>
        <v>0</v>
      </c>
      <c r="V17" s="241" cm="1">
        <f t="array" ref="V17">_xlfn.XLOOKUP(
   $B$4&amp;" "&amp;$B17,
   Actuals!$D:$D,
   _xlfn.XLOOKUP(
      V$6,
      Actuals!$H$3:$BD$3,
      Actuals!$H:$BD
   )
)</f>
        <v>0</v>
      </c>
      <c r="W17" s="241" cm="1">
        <f t="array" ref="W17">_xlfn.XLOOKUP(
   $B$4&amp;" "&amp;$B17,
   Actuals!$D:$D,
   _xlfn.XLOOKUP(
      W$6,
      Actuals!$H$3:$BD$3,
      Actuals!$H:$BD
   )
)</f>
        <v>0</v>
      </c>
      <c r="X17" s="241" cm="1">
        <f t="array" ref="X17">_xlfn.XLOOKUP(
   $B$4&amp;" "&amp;$B17,
   Actuals!$D:$D,
   _xlfn.XLOOKUP(
      X$6,
      Actuals!$H$3:$BD$3,
      Actuals!$H:$BD
   )
)</f>
        <v>0</v>
      </c>
      <c r="Y17" s="241" cm="1">
        <f t="array" ref="Y17">_xlfn.XLOOKUP(
   $B$4&amp;" "&amp;$B17,
   Actuals!$D:$D,
   _xlfn.XLOOKUP(
      Y$6,
      Actuals!$H$3:$BD$3,
      Actuals!$H:$BD
   )
)</f>
        <v>0</v>
      </c>
      <c r="Z17" s="241" cm="1">
        <f t="array" ref="Z17">_xlfn.XLOOKUP(
   $B$4&amp;" "&amp;$B17,
   Actuals!$D:$D,
   _xlfn.XLOOKUP(
      Z$6,
      Actuals!$H$3:$BD$3,
      Actuals!$H:$BD
   )
)</f>
        <v>0</v>
      </c>
      <c r="AA17" s="241" cm="1">
        <f t="array" ref="AA17">_xlfn.XLOOKUP(
   $B$4&amp;" "&amp;$B17,
   Actuals!$D:$D,
   _xlfn.XLOOKUP(
      AA$6,
      Actuals!$H$3:$BD$3,
      Actuals!$H:$BD
   )
)</f>
        <v>0</v>
      </c>
      <c r="AB17" s="241" cm="1">
        <f t="array" ref="AB17">_xlfn.XLOOKUP(
   $B$4&amp;" "&amp;$B17,
   Actuals!$D:$D,
   _xlfn.XLOOKUP(
      AB$6,
      Actuals!$H$3:$BD$3,
      Actuals!$H:$BD
   )
)</f>
        <v>0</v>
      </c>
      <c r="AC17" s="241" cm="1">
        <f t="array" ref="AC17">_xlfn.XLOOKUP(
   $B$4&amp;" "&amp;$B17,
   Actuals!$D:$D,
   _xlfn.XLOOKUP(
      AC$6,
      Actuals!$H$3:$BD$3,
      Actuals!$H:$BD
   )
)</f>
        <v>-7.5614616675867691E-2</v>
      </c>
      <c r="AD17" s="241" cm="1">
        <f t="array" ref="AD17">_xlfn.XLOOKUP(
   $B$4&amp;" "&amp;$B17,
   Actuals!$D:$D,
   _xlfn.XLOOKUP(
      AD$6,
      Actuals!$H$3:$BD$3,
      Actuals!$H:$BD
   )
)</f>
        <v>-2.2330802177312981E-2</v>
      </c>
      <c r="AE17" s="241" cm="1">
        <f t="array" ref="AE17">_xlfn.XLOOKUP(
   $B$4&amp;" "&amp;$B17,
   Actuals!$D:$D,
   _xlfn.XLOOKUP(
      AE$6,
      Actuals!$H$3:$BD$3,
      Actuals!$H:$BD
   )
)</f>
        <v>-8.8261533218464867E-3</v>
      </c>
      <c r="AF17" s="241" cm="1">
        <f t="array" ref="AF17">_xlfn.XLOOKUP(
   $B$4&amp;" "&amp;$B17,
   Actuals!$D:$D,
   _xlfn.XLOOKUP(
      AF$6,
      Actuals!$H$3:$BD$3,
      Actuals!$H:$BD
   )
)</f>
        <v>0</v>
      </c>
      <c r="AG17" s="241" cm="1">
        <f t="array" ref="AG17">_xlfn.XLOOKUP(
   $B$4&amp;" "&amp;$B17,
   Actuals!$D:$D,
   _xlfn.XLOOKUP(
      AG$6,
      Actuals!$H$3:$BD$3,
      Actuals!$H:$BD
   )
)</f>
        <v>0</v>
      </c>
      <c r="AH17" s="241" cm="1">
        <f t="array" ref="AH17">_xlfn.XLOOKUP(
   $B$4&amp;" "&amp;$B17,
   Actuals!$D:$D,
   _xlfn.XLOOKUP(
      AH$6,
      Actuals!$H$3:$BD$3,
      Actuals!$H:$BD
   )
)</f>
        <v>0</v>
      </c>
      <c r="AI17" s="241" cm="1">
        <f t="array" ref="AI17">_xlfn.XLOOKUP(
   $B$4&amp;" "&amp;$B17,
   Actuals!$D:$D,
   _xlfn.XLOOKUP(
      AI$6,
      Actuals!$H$3:$BD$3,
      Actuals!$H:$BD
   )
)</f>
        <v>0</v>
      </c>
      <c r="AJ17" s="241" cm="1">
        <f t="array" ref="AJ17">_xlfn.XLOOKUP(
   $B$4&amp;" "&amp;$B17,
   Actuals!$D:$D,
   _xlfn.XLOOKUP(
      AJ$6,
      Actuals!$H$3:$BD$3,
      Actuals!$H:$BD
   )
)</f>
        <v>0</v>
      </c>
      <c r="AK17" s="241" cm="1">
        <f t="array" ref="AK17">_xlfn.XLOOKUP(
   $B$4&amp;" "&amp;$B17,
   Actuals!$D:$D,
   _xlfn.XLOOKUP(
      AK$6,
      Actuals!$H$3:$BD$3,
      Actuals!$H:$BD
   )
)</f>
        <v>-1.938612859495592E-2</v>
      </c>
      <c r="AL17" s="241" cm="1">
        <f t="array" ref="AL17">_xlfn.XLOOKUP(
   $B$4&amp;" "&amp;$B17,
   Actuals!$D:$D,
   _xlfn.XLOOKUP(
      AL$6,
      Actuals!$H$3:$BD$3,
      Actuals!$H:$BD
   )
)</f>
        <v>-2.7749445559978932E-3</v>
      </c>
      <c r="AM17" s="241" cm="1">
        <f t="array" ref="AM17">_xlfn.XLOOKUP(
   $B$4&amp;" "&amp;$B17,
   Actuals!$D:$D,
   _xlfn.XLOOKUP(
      AM$6,
      Actuals!$H$3:$BD$3,
      Actuals!$H:$BD
   )
)</f>
        <v>-7.0843419697739617E-3</v>
      </c>
      <c r="AN17" s="241" cm="1">
        <f t="array" ref="AN17">_xlfn.XLOOKUP(
   $B$4&amp;" "&amp;$B17,
   Actuals!$D:$D,
   _xlfn.XLOOKUP(
      AN$6,
      Actuals!$H$3:$BD$3,
      Actuals!$H:$BD
   )
)</f>
        <v>0</v>
      </c>
      <c r="AO17" s="241" cm="1">
        <f t="array" ref="AO17">_xlfn.XLOOKUP(
   $B$4&amp;" "&amp;$B17,
   Actuals!$D:$D,
   _xlfn.XLOOKUP(
      AO$6,
      Actuals!$H$3:$BD$3,
      Actuals!$H:$BD
   )
)</f>
        <v>0</v>
      </c>
      <c r="AP17" s="241" cm="1">
        <f t="array" ref="AP17">_xlfn.XLOOKUP(
   $B$4&amp;" "&amp;$B17,
   Actuals!$D:$D,
   _xlfn.XLOOKUP(
      AP$6,
      Actuals!$H$3:$BD$3,
      Actuals!$H:$BD
   )
)</f>
        <v>0</v>
      </c>
      <c r="AQ17" s="241" cm="1">
        <f t="array" ref="AQ17">_xlfn.XLOOKUP(
   $B$4&amp;" "&amp;$B17,
   Actuals!$D:$D,
   _xlfn.XLOOKUP(
      AQ$6,
      Actuals!$H$3:$BD$3,
      Actuals!$H:$BD
   )
)</f>
        <v>0</v>
      </c>
      <c r="AR17" s="241" cm="1">
        <f t="array" ref="AR17">_xlfn.XLOOKUP(
   $B$4&amp;" "&amp;$B17,
   Actuals!$D:$D,
   _xlfn.XLOOKUP(
      AR$6,
      Actuals!$H$3:$BD$3,
      Actuals!$H:$BD
   )
)</f>
        <v>0</v>
      </c>
      <c r="AS17" s="241" cm="1">
        <f t="array" ref="AS17">_xlfn.XLOOKUP(
   $B$4&amp;" "&amp;$B17,
   Actuals!$D:$D,
   _xlfn.XLOOKUP(
      AS$6,
      Actuals!$H$3:$BD$3,
      Actuals!$H:$BD
   )
)</f>
        <v>0</v>
      </c>
      <c r="AT17" s="241" cm="1">
        <f t="array" ref="AT17">_xlfn.XLOOKUP(
   $B$4&amp;" "&amp;$B17,
   Actuals!$D:$D,
   _xlfn.XLOOKUP(
      AT$6,
      Actuals!$H$3:$BD$3,
      Actuals!$H:$BD
   )
)</f>
        <v>0</v>
      </c>
      <c r="AU17" s="241" cm="1">
        <f t="array" ref="AU17">_xlfn.XLOOKUP(
   $B$4&amp;" "&amp;$B17,
   Actuals!$D:$D,
   _xlfn.XLOOKUP(
      AU$6,
      Actuals!$H$3:$BD$3,
      Actuals!$H:$BD
   )
)</f>
        <v>0</v>
      </c>
      <c r="AV17" s="241" cm="1">
        <f t="array" ref="AV17">_xlfn.XLOOKUP(
   $B$4&amp;" "&amp;$B17,
   Actuals!$D:$D,
   _xlfn.XLOOKUP(
      AV$6,
      Actuals!$H$3:$BD$3,
      Actuals!$H:$BD
   )
)</f>
        <v>0</v>
      </c>
      <c r="AW17" s="241" cm="1">
        <f t="array" ref="AW17">_xlfn.XLOOKUP(
   $B$4&amp;" "&amp;$B17,
   Actuals!$D:$D,
   _xlfn.XLOOKUP(
      AW$6,
      Actuals!$H$3:$BD$3,
      Actuals!$H:$BD
   )
)</f>
        <v>0</v>
      </c>
      <c r="AX17" s="241" cm="1">
        <f t="array" ref="AX17">_xlfn.XLOOKUP(
   $B$4&amp;" "&amp;$B17,
   Actuals!$D:$D,
   _xlfn.XLOOKUP(
      AX$6,
      Actuals!$H$3:$BD$3,
      Actuals!$H:$BD
   )
)</f>
        <v>0</v>
      </c>
      <c r="AY17" s="241" cm="1">
        <f t="array" ref="AY17">_xlfn.XLOOKUP(
   $B$4&amp;" "&amp;$B17,
   Actuals!$D:$D,
   _xlfn.XLOOKUP(
      AY$6,
      Actuals!$H$3:$BD$3,
      Actuals!$H:$BD
   )
)</f>
        <v>0</v>
      </c>
      <c r="AZ17" s="241" cm="1">
        <f t="array" ref="AZ17">_xlfn.XLOOKUP(
   $B$4&amp;" "&amp;$B17,
   Actuals!$D:$D,
   _xlfn.XLOOKUP(
      AZ$6,
      Actuals!$H$3:$BD$3,
      Actuals!$H:$BD
   )
)</f>
        <v>0</v>
      </c>
      <c r="BA17" s="241"/>
      <c r="BB17" s="241" cm="1">
        <f t="array" ref="BB17">_xlfn.XLOOKUP(
   $B$4&amp;" "&amp;$B17,
   Actuals!$D:$D,
   _xlfn.XLOOKUP(
      BB$7,
      Actuals!$H$3:$BM$3,
      Actuals!$H:$BM
   )
)</f>
        <v>0</v>
      </c>
      <c r="BC17" s="241">
        <f>VLOOKUP($B$4&amp;" "&amp;$B17,Budget!$AG$4:$AL$132,$BB$5+1,FALSE)</f>
        <v>-8.4426620829868206E-3</v>
      </c>
      <c r="BD17" s="241">
        <f>IFERROR(BB17-BC17,"-")</f>
        <v>8.4426620829868206E-3</v>
      </c>
      <c r="BE17" s="241"/>
      <c r="BF17" s="241" cm="1">
        <f t="array" ref="BF17">_xlfn.XLOOKUP(
   $B$4&amp;" "&amp;$B17,
   Actuals!$D:$D,
   _xlfn.XLOOKUP(
      BF$7,
      Actuals!$H$3:$BM$3,
      Actuals!$H:$BM
   )
)</f>
        <v>0</v>
      </c>
      <c r="BG17" s="241">
        <f>VLOOKUP($B$4&amp;" "&amp;$B17,Budget!$AG$4:$AL$132,BF$5+1,FALSE)</f>
        <v>-8.2421342214456985E-3</v>
      </c>
      <c r="BH17" s="241">
        <f>IFERROR(BF17-BG17,"-")</f>
        <v>8.2421342214456985E-3</v>
      </c>
      <c r="BI17" s="241"/>
      <c r="BJ17" s="241" cm="1">
        <f t="array" ref="BJ17">_xlfn.XLOOKUP(
   $B$4&amp;" "&amp;$B17,
   Actuals!$D:$D,
   _xlfn.XLOOKUP(
      BJ$7,
      Actuals!$H$3:$BM$3,
      Actuals!$H:$BM
   )
)</f>
        <v>0</v>
      </c>
      <c r="BK17" s="241">
        <f>VLOOKUP($B$4&amp;" "&amp;$B17,Budget!$AG$4:$AL$132,BJ$5+1,FALSE)</f>
        <v>-8.094787714911832E-3</v>
      </c>
      <c r="BL17" s="241">
        <f>IFERROR(BJ17-BK17,"-")</f>
        <v>8.094787714911832E-3</v>
      </c>
      <c r="BM17" s="241"/>
      <c r="BN17" s="241" cm="1">
        <f t="array" ref="BN17">_xlfn.XLOOKUP(
   $B$4&amp;" "&amp;$B17,
   Actuals!$D:$D,
   _xlfn.XLOOKUP(
      BN$7,
      Actuals!$H$3:$BM$3,
      Actuals!$H:$BM
   )
)</f>
        <v>0</v>
      </c>
      <c r="BO17" s="241">
        <f>VLOOKUP($B$4&amp;" "&amp;$B17,Budget!$AG$4:$AL$132,BN$5+1,FALSE)</f>
        <v>-7.8079011392763577E-3</v>
      </c>
      <c r="BP17" s="241"/>
      <c r="BQ17" s="241"/>
      <c r="BR17" s="241" cm="1">
        <f t="array" aca="1" ref="BR17" ca="1">_xlfn.XLOOKUP(
   $B$4&amp;" "&amp;$B17,
   Actuals!$D:$D,
   _xlfn.XLOOKUP(
      BR$6,
      Actuals!$H$3:$BM$3,
      Actuals!$H:$BM
   )
)</f>
        <v>0</v>
      </c>
      <c r="BS17" s="241">
        <f ca="1">VLOOKUP($B$4&amp;" "&amp;$B17,Budget!$AG$4:$AL$132,6,FALSE)</f>
        <v>-8.1286969275082017E-3</v>
      </c>
      <c r="BT17" s="241">
        <f ca="1">BR17-BS17</f>
        <v>8.1286969275082017E-3</v>
      </c>
      <c r="BU17" s="241"/>
      <c r="BV17" s="241" cm="1">
        <f t="array" ref="BV17">_xlfn.XLOOKUP(
   $B$4&amp;" "&amp;$B17,
   Actuals!$D:$D,
   _xlfn.XLOOKUP(
      BV$6,
      Actuals!$H$3:$BM$3,
      Actuals!$H:$BM
   )
)</f>
        <v>-5.0335308849906038E-3</v>
      </c>
    </row>
    <row r="18" spans="1:74">
      <c r="A18" s="26"/>
      <c r="B18" s="26" t="s">
        <v>176</v>
      </c>
      <c r="C18" s="139" t="s">
        <v>49</v>
      </c>
      <c r="D18" s="171" t="str">
        <f>VLOOKUP($B$4&amp;" "&amp;$B18,Actuals!$D$4:$AG$131,3,FALSE)</f>
        <v>$</v>
      </c>
      <c r="E18" s="240" cm="1">
        <f t="array" ref="E18">_xlfn.XLOOKUP(
   $B$4&amp;" "&amp;$B18,
   Actuals!$D:$D,
   _xlfn.XLOOKUP(
      E$6,
      Actuals!$H$3:$BD$3,
      Actuals!$H:$BD
   )
)</f>
        <v>1.0013053951517938</v>
      </c>
      <c r="F18" s="240" cm="1">
        <f t="array" ref="F18">_xlfn.XLOOKUP(
   $B$4&amp;" "&amp;$B18,
   Actuals!$D:$D,
   _xlfn.XLOOKUP(
      F$6,
      Actuals!$H$3:$BD$3,
      Actuals!$H:$BD
   )
)</f>
        <v>1.0177807906849359</v>
      </c>
      <c r="G18" s="240" cm="1">
        <f t="array" ref="G18">_xlfn.XLOOKUP(
   $B$4&amp;" "&amp;$B18,
   Actuals!$D:$D,
   _xlfn.XLOOKUP(
      G$6,
      Actuals!$H$3:$BD$3,
      Actuals!$H:$BD
   )
)</f>
        <v>1.0204638060162869</v>
      </c>
      <c r="H18" s="240" cm="1">
        <f t="array" ref="H18">_xlfn.XLOOKUP(
   $B$4&amp;" "&amp;$B18,
   Actuals!$D:$D,
   _xlfn.XLOOKUP(
      H$6,
      Actuals!$H$3:$BD$3,
      Actuals!$H:$BD
   )
)</f>
        <v>1.0293941417991082</v>
      </c>
      <c r="I18" s="240" cm="1">
        <f t="array" ref="I18">_xlfn.XLOOKUP(
   $B$4&amp;" "&amp;$B18,
   Actuals!$D:$D,
   _xlfn.XLOOKUP(
      I$6,
      Actuals!$H$3:$BD$3,
      Actuals!$H:$BD
   )
)</f>
        <v>1.0056978324402468</v>
      </c>
      <c r="J18" s="240" cm="1">
        <f t="array" ref="J18">_xlfn.XLOOKUP(
   $B$4&amp;" "&amp;$B18,
   Actuals!$D:$D,
   _xlfn.XLOOKUP(
      J$6,
      Actuals!$H$3:$BD$3,
      Actuals!$H:$BD
   )
)</f>
        <v>0.99642023872393981</v>
      </c>
      <c r="K18" s="240" cm="1">
        <f t="array" ref="K18">_xlfn.XLOOKUP(
   $B$4&amp;" "&amp;$B18,
   Actuals!$D:$D,
   _xlfn.XLOOKUP(
      K$6,
      Actuals!$H$3:$BD$3,
      Actuals!$H:$BD
   )
)</f>
        <v>0.9881189829329371</v>
      </c>
      <c r="L18" s="240" cm="1">
        <f t="array" ref="L18">_xlfn.XLOOKUP(
   $B$4&amp;" "&amp;$B18,
   Actuals!$D:$D,
   _xlfn.XLOOKUP(
      L$6,
      Actuals!$H$3:$BD$3,
      Actuals!$H:$BD
   )
)</f>
        <v>1.0005581550145548</v>
      </c>
      <c r="M18" s="240" cm="1">
        <f t="array" ref="M18">_xlfn.XLOOKUP(
   $B$4&amp;" "&amp;$B18,
   Actuals!$D:$D,
   _xlfn.XLOOKUP(
      M$6,
      Actuals!$H$3:$BD$3,
      Actuals!$H:$BD
   )
)</f>
        <v>0.9928667673579854</v>
      </c>
      <c r="N18" s="240" cm="1">
        <f t="array" ref="N18">_xlfn.XLOOKUP(
   $B$4&amp;" "&amp;$B18,
   Actuals!$D:$D,
   _xlfn.XLOOKUP(
      N$6,
      Actuals!$H$3:$BD$3,
      Actuals!$H:$BD
   )
)</f>
        <v>1.0173321288124704</v>
      </c>
      <c r="O18" s="241" cm="1">
        <f t="array" ref="O18">_xlfn.XLOOKUP(
   $B$4&amp;" "&amp;$B18,
   Actuals!$D:$D,
   _xlfn.XLOOKUP(
      O$6,
      Actuals!$H$3:$BD$3,
      Actuals!$H:$BD
   )
)</f>
        <v>1</v>
      </c>
      <c r="P18" s="241" cm="1">
        <f t="array" ref="P18">_xlfn.XLOOKUP(
   $B$4&amp;" "&amp;$B18,
   Actuals!$D:$D,
   _xlfn.XLOOKUP(
      P$6,
      Actuals!$H$3:$BD$3,
      Actuals!$H:$BD
   )
)</f>
        <v>1</v>
      </c>
      <c r="Q18" s="241" cm="1">
        <f t="array" ref="Q18">_xlfn.XLOOKUP(
   $B$4&amp;" "&amp;$B18,
   Actuals!$D:$D,
   _xlfn.XLOOKUP(
      Q$6,
      Actuals!$H$3:$BD$3,
      Actuals!$H:$BD
   )
)</f>
        <v>1</v>
      </c>
      <c r="R18" s="241" cm="1">
        <f t="array" ref="R18">_xlfn.XLOOKUP(
   $B$4&amp;" "&amp;$B18,
   Actuals!$D:$D,
   _xlfn.XLOOKUP(
      R$6,
      Actuals!$H$3:$BD$3,
      Actuals!$H:$BD
   )
)</f>
        <v>1</v>
      </c>
      <c r="S18" s="241" cm="1">
        <f t="array" ref="S18">_xlfn.XLOOKUP(
   $B$4&amp;" "&amp;$B18,
   Actuals!$D:$D,
   _xlfn.XLOOKUP(
      S$6,
      Actuals!$H$3:$BD$3,
      Actuals!$H:$BD
   )
)</f>
        <v>1</v>
      </c>
      <c r="T18" s="241" cm="1">
        <f t="array" ref="T18">_xlfn.XLOOKUP(
   $B$4&amp;" "&amp;$B18,
   Actuals!$D:$D,
   _xlfn.XLOOKUP(
      T$6,
      Actuals!$H$3:$BD$3,
      Actuals!$H:$BD
   )
)</f>
        <v>1</v>
      </c>
      <c r="U18" s="241" cm="1">
        <f t="array" ref="U18">_xlfn.XLOOKUP(
   $B$4&amp;" "&amp;$B18,
   Actuals!$D:$D,
   _xlfn.XLOOKUP(
      U$6,
      Actuals!$H$3:$BD$3,
      Actuals!$H:$BD
   )
)</f>
        <v>1</v>
      </c>
      <c r="V18" s="241" cm="1">
        <f t="array" ref="V18">_xlfn.XLOOKUP(
   $B$4&amp;" "&amp;$B18,
   Actuals!$D:$D,
   _xlfn.XLOOKUP(
      V$6,
      Actuals!$H$3:$BD$3,
      Actuals!$H:$BD
   )
)</f>
        <v>1</v>
      </c>
      <c r="W18" s="241" cm="1">
        <f t="array" ref="W18">_xlfn.XLOOKUP(
   $B$4&amp;" "&amp;$B18,
   Actuals!$D:$D,
   _xlfn.XLOOKUP(
      W$6,
      Actuals!$H$3:$BD$3,
      Actuals!$H:$BD
   )
)</f>
        <v>1</v>
      </c>
      <c r="X18" s="241" cm="1">
        <f t="array" ref="X18">_xlfn.XLOOKUP(
   $B$4&amp;" "&amp;$B18,
   Actuals!$D:$D,
   _xlfn.XLOOKUP(
      X$6,
      Actuals!$H$3:$BD$3,
      Actuals!$H:$BD
   )
)</f>
        <v>1</v>
      </c>
      <c r="Y18" s="241" cm="1">
        <f t="array" ref="Y18">_xlfn.XLOOKUP(
   $B$4&amp;" "&amp;$B18,
   Actuals!$D:$D,
   _xlfn.XLOOKUP(
      Y$6,
      Actuals!$H$3:$BD$3,
      Actuals!$H:$BD
   )
)</f>
        <v>1</v>
      </c>
      <c r="Z18" s="241" cm="1">
        <f t="array" ref="Z18">_xlfn.XLOOKUP(
   $B$4&amp;" "&amp;$B18,
   Actuals!$D:$D,
   _xlfn.XLOOKUP(
      Z$6,
      Actuals!$H$3:$BD$3,
      Actuals!$H:$BD
   )
)</f>
        <v>1</v>
      </c>
      <c r="AA18" s="241" cm="1">
        <f t="array" ref="AA18">_xlfn.XLOOKUP(
   $B$4&amp;" "&amp;$B18,
   Actuals!$D:$D,
   _xlfn.XLOOKUP(
      AA$6,
      Actuals!$H$3:$BD$3,
      Actuals!$H:$BD
   )
)</f>
        <v>1</v>
      </c>
      <c r="AB18" s="241" cm="1">
        <f t="array" ref="AB18">_xlfn.XLOOKUP(
   $B$4&amp;" "&amp;$B18,
   Actuals!$D:$D,
   _xlfn.XLOOKUP(
      AB$6,
      Actuals!$H$3:$BD$3,
      Actuals!$H:$BD
   )
)</f>
        <v>1</v>
      </c>
      <c r="AC18" s="241" cm="1">
        <f t="array" ref="AC18">_xlfn.XLOOKUP(
   $B$4&amp;" "&amp;$B18,
   Actuals!$D:$D,
   _xlfn.XLOOKUP(
      AC$6,
      Actuals!$H$3:$BD$3,
      Actuals!$H:$BD
   )
)</f>
        <v>0.92915231115678965</v>
      </c>
      <c r="AD18" s="241" cm="1">
        <f t="array" ref="AD18">_xlfn.XLOOKUP(
   $B$4&amp;" "&amp;$B18,
   Actuals!$D:$D,
   _xlfn.XLOOKUP(
      AD$6,
      Actuals!$H$3:$BD$3,
      Actuals!$H:$BD
   )
)</f>
        <v>0.98154680166599129</v>
      </c>
      <c r="AE18" s="241" cm="1">
        <f t="array" ref="AE18">_xlfn.XLOOKUP(
   $B$4&amp;" "&amp;$B18,
   Actuals!$D:$D,
   _xlfn.XLOOKUP(
      AE$6,
      Actuals!$H$3:$BD$3,
      Actuals!$H:$BD
   )
)</f>
        <v>0.99963346946621778</v>
      </c>
      <c r="AF18" s="241" cm="1">
        <f t="array" ref="AF18">_xlfn.XLOOKUP(
   $B$4&amp;" "&amp;$B18,
   Actuals!$D:$D,
   _xlfn.XLOOKUP(
      AF$6,
      Actuals!$H$3:$BD$3,
      Actuals!$H:$BD
   )
)</f>
        <v>1.0036592675463709</v>
      </c>
      <c r="AG18" s="241" cm="1">
        <f t="array" ref="AG18">_xlfn.XLOOKUP(
   $B$4&amp;" "&amp;$B18,
   Actuals!$D:$D,
   _xlfn.XLOOKUP(
      AG$6,
      Actuals!$H$3:$BD$3,
      Actuals!$H:$BD
   )
)</f>
        <v>1.0059558238584732</v>
      </c>
      <c r="AH18" s="241" cm="1">
        <f t="array" ref="AH18">_xlfn.XLOOKUP(
   $B$4&amp;" "&amp;$B18,
   Actuals!$D:$D,
   _xlfn.XLOOKUP(
      AH$6,
      Actuals!$H$3:$BD$3,
      Actuals!$H:$BD
   )
)</f>
        <v>1.0052544642454189</v>
      </c>
      <c r="AI18" s="241" cm="1">
        <f t="array" ref="AI18">_xlfn.XLOOKUP(
   $B$4&amp;" "&amp;$B18,
   Actuals!$D:$D,
   _xlfn.XLOOKUP(
      AI$6,
      Actuals!$H$3:$BD$3,
      Actuals!$H:$BD
   )
)</f>
        <v>1.0055158579238146</v>
      </c>
      <c r="AJ18" s="241" cm="1">
        <f t="array" ref="AJ18">_xlfn.XLOOKUP(
   $B$4&amp;" "&amp;$B18,
   Actuals!$D:$D,
   _xlfn.XLOOKUP(
      AJ$6,
      Actuals!$H$3:$BD$3,
      Actuals!$H:$BD
   )
)</f>
        <v>1.0025464781867401</v>
      </c>
      <c r="AK18" s="241" cm="1">
        <f t="array" ref="AK18">_xlfn.XLOOKUP(
   $B$4&amp;" "&amp;$B18,
   Actuals!$D:$D,
   _xlfn.XLOOKUP(
      AK$6,
      Actuals!$H$3:$BD$3,
      Actuals!$H:$BD
   )
)</f>
        <v>0.98744450415826968</v>
      </c>
      <c r="AL18" s="241" cm="1">
        <f t="array" ref="AL18">_xlfn.XLOOKUP(
   $B$4&amp;" "&amp;$B18,
   Actuals!$D:$D,
   _xlfn.XLOOKUP(
      AL$6,
      Actuals!$H$3:$BD$3,
      Actuals!$H:$BD
   )
)</f>
        <v>0.99968432718633304</v>
      </c>
      <c r="AM18" s="241" cm="1">
        <f t="array" ref="AM18">_xlfn.XLOOKUP(
   $B$4&amp;" "&amp;$B18,
   Actuals!$D:$D,
   _xlfn.XLOOKUP(
      AM$6,
      Actuals!$H$3:$BD$3,
      Actuals!$H:$BD
   )
)</f>
        <v>0.99434813929904531</v>
      </c>
      <c r="AN18" s="241" cm="1">
        <f t="array" ref="AN18">_xlfn.XLOOKUP(
   $B$4&amp;" "&amp;$B18,
   Actuals!$D:$D,
   _xlfn.XLOOKUP(
      AN$6,
      Actuals!$H$3:$BD$3,
      Actuals!$H:$BD
   )
)</f>
        <v>1.0016030031364802</v>
      </c>
      <c r="AO18" s="241" cm="1">
        <f t="array" ref="AO18">_xlfn.XLOOKUP(
   $B$4&amp;" "&amp;$B18,
   Actuals!$D:$D,
   _xlfn.XLOOKUP(
      AO$6,
      Actuals!$H$3:$BD$3,
      Actuals!$H:$BD
   )
)</f>
        <v>1</v>
      </c>
      <c r="AP18" s="241" cm="1">
        <f t="array" ref="AP18">_xlfn.XLOOKUP(
   $B$4&amp;" "&amp;$B18,
   Actuals!$D:$D,
   _xlfn.XLOOKUP(
      AP$6,
      Actuals!$H$3:$BD$3,
      Actuals!$H:$BD
   )
)</f>
        <v>1</v>
      </c>
      <c r="AQ18" s="241" cm="1">
        <f t="array" ref="AQ18">_xlfn.XLOOKUP(
   $B$4&amp;" "&amp;$B18,
   Actuals!$D:$D,
   _xlfn.XLOOKUP(
      AQ$6,
      Actuals!$H$3:$BD$3,
      Actuals!$H:$BD
   )
)</f>
        <v>1</v>
      </c>
      <c r="AR18" s="241" cm="1">
        <f t="array" ref="AR18">_xlfn.XLOOKUP(
   $B$4&amp;" "&amp;$B18,
   Actuals!$D:$D,
   _xlfn.XLOOKUP(
      AR$6,
      Actuals!$H$3:$BD$3,
      Actuals!$H:$BD
   )
)</f>
        <v>1</v>
      </c>
      <c r="AS18" s="241" cm="1">
        <f t="array" ref="AS18">_xlfn.XLOOKUP(
   $B$4&amp;" "&amp;$B18,
   Actuals!$D:$D,
   _xlfn.XLOOKUP(
      AS$6,
      Actuals!$H$3:$BD$3,
      Actuals!$H:$BD
   )
)</f>
        <v>1</v>
      </c>
      <c r="AT18" s="241" cm="1">
        <f t="array" ref="AT18">_xlfn.XLOOKUP(
   $B$4&amp;" "&amp;$B18,
   Actuals!$D:$D,
   _xlfn.XLOOKUP(
      AT$6,
      Actuals!$H$3:$BD$3,
      Actuals!$H:$BD
   )
)</f>
        <v>1</v>
      </c>
      <c r="AU18" s="241" cm="1">
        <f t="array" ref="AU18">_xlfn.XLOOKUP(
   $B$4&amp;" "&amp;$B18,
   Actuals!$D:$D,
   _xlfn.XLOOKUP(
      AU$6,
      Actuals!$H$3:$BD$3,
      Actuals!$H:$BD
   )
)</f>
        <v>1</v>
      </c>
      <c r="AV18" s="241" cm="1">
        <f t="array" ref="AV18">_xlfn.XLOOKUP(
   $B$4&amp;" "&amp;$B18,
   Actuals!$D:$D,
   _xlfn.XLOOKUP(
      AV$6,
      Actuals!$H$3:$BD$3,
      Actuals!$H:$BD
   )
)</f>
        <v>1</v>
      </c>
      <c r="AW18" s="241" cm="1">
        <f t="array" ref="AW18">_xlfn.XLOOKUP(
   $B$4&amp;" "&amp;$B18,
   Actuals!$D:$D,
   _xlfn.XLOOKUP(
      AW$6,
      Actuals!$H$3:$BD$3,
      Actuals!$H:$BD
   )
)</f>
        <v>1</v>
      </c>
      <c r="AX18" s="241" cm="1">
        <f t="array" ref="AX18">_xlfn.XLOOKUP(
   $B$4&amp;" "&amp;$B18,
   Actuals!$D:$D,
   _xlfn.XLOOKUP(
      AX$6,
      Actuals!$H$3:$BD$3,
      Actuals!$H:$BD
   )
)</f>
        <v>1</v>
      </c>
      <c r="AY18" s="241" cm="1">
        <f t="array" ref="AY18">_xlfn.XLOOKUP(
   $B$4&amp;" "&amp;$B18,
   Actuals!$D:$D,
   _xlfn.XLOOKUP(
      AY$6,
      Actuals!$H$3:$BD$3,
      Actuals!$H:$BD
   )
)</f>
        <v>1</v>
      </c>
      <c r="AZ18" s="241" cm="1">
        <f t="array" ref="AZ18">_xlfn.XLOOKUP(
   $B$4&amp;" "&amp;$B18,
   Actuals!$D:$D,
   _xlfn.XLOOKUP(
      AZ$6,
      Actuals!$H$3:$BD$3,
      Actuals!$H:$BD
   )
)</f>
        <v>1</v>
      </c>
      <c r="BA18" s="241"/>
      <c r="BB18" s="241" cm="1">
        <f t="array" ref="BB18">_xlfn.XLOOKUP(
   $B$4&amp;" "&amp;$B18,
   Actuals!$D:$D,
   _xlfn.XLOOKUP(
      BB$7,
      Actuals!$H$3:$BM$3,
      Actuals!$H:$BM
   )
)</f>
        <v>1</v>
      </c>
      <c r="BC18" s="241">
        <f>VLOOKUP($B$4&amp;" "&amp;$B18,Budget!$AG$4:$AL$132,$BB$5+1,FALSE)</f>
        <v>1.0012747261790425</v>
      </c>
      <c r="BD18" s="241">
        <f>BB18-BC18</f>
        <v>-1.2747261790424513E-3</v>
      </c>
      <c r="BE18" s="241"/>
      <c r="BF18" s="241" cm="1">
        <f t="array" ref="BF18">_xlfn.XLOOKUP(
   $B$4&amp;" "&amp;$B18,
   Actuals!$D:$D,
   _xlfn.XLOOKUP(
      BF$7,
      Actuals!$H$3:$BM$3,
      Actuals!$H:$BM
   )
)</f>
        <v>1</v>
      </c>
      <c r="BG18" s="241">
        <f>VLOOKUP($B$4&amp;" "&amp;$B18,Budget!$AG$4:$AL$132,BF$5+1,FALSE)</f>
        <v>1.0057443995113495</v>
      </c>
      <c r="BH18" s="241">
        <f>BF18-BG18</f>
        <v>-5.7443995113495294E-3</v>
      </c>
      <c r="BI18" s="241"/>
      <c r="BJ18" s="241" cm="1">
        <f t="array" ref="BJ18">_xlfn.XLOOKUP(
   $B$4&amp;" "&amp;$B18,
   Actuals!$D:$D,
   _xlfn.XLOOKUP(
      BJ$7,
      Actuals!$H$3:$BM$3,
      Actuals!$H:$BM
   )
)</f>
        <v>1</v>
      </c>
      <c r="BK18" s="241">
        <f>VLOOKUP($B$4&amp;" "&amp;$B18,Budget!$AG$4:$AL$132,BJ$5+1,FALSE)</f>
        <v>1.0058917460178833</v>
      </c>
      <c r="BL18" s="241">
        <f>BJ18-BK18</f>
        <v>-5.891746017883337E-3</v>
      </c>
      <c r="BM18" s="241"/>
      <c r="BN18" s="241" cm="1">
        <f t="array" ref="BN18">_xlfn.XLOOKUP(
   $B$4&amp;" "&amp;$B18,
   Actuals!$D:$D,
   _xlfn.XLOOKUP(
      BN$7,
      Actuals!$H$3:$BM$3,
      Actuals!$H:$BM
   )
)</f>
        <v>1</v>
      </c>
      <c r="BO18" s="241">
        <f>VLOOKUP($B$4&amp;" "&amp;$B18,Budget!$AG$4:$AL$132,BN$5+1,FALSE)</f>
        <v>1.0104477780642849</v>
      </c>
      <c r="BP18" s="241"/>
      <c r="BQ18" s="241"/>
      <c r="BR18" s="241" cm="1">
        <f t="array" aca="1" ref="BR18" ca="1">_xlfn.XLOOKUP(
   $B$4&amp;" "&amp;$B18,
   Actuals!$D:$D,
   _xlfn.XLOOKUP(
      BR$6,
      Actuals!$H$3:$BM$3,
      Actuals!$H:$BM
   )
)</f>
        <v>1</v>
      </c>
      <c r="BS18" s="241">
        <f ca="1">VLOOKUP($B$4&amp;" "&amp;$B18,Budget!$AG$4:$AL$132,6,FALSE)</f>
        <v>1.0058578368052868</v>
      </c>
      <c r="BT18" s="241">
        <f ca="1">BR18-BS18</f>
        <v>-5.8578368052868424E-3</v>
      </c>
      <c r="BU18" s="241"/>
      <c r="BV18" s="241" cm="1">
        <f t="array" ref="BV18">_xlfn.XLOOKUP(
   $B$4&amp;" "&amp;$B18,
   Actuals!$D:$D,
   _xlfn.XLOOKUP(
      BV$6,
      Actuals!$H$3:$BM$3,
      Actuals!$H:$BM
   )
)</f>
        <v>0.9989326780560962</v>
      </c>
    </row>
    <row r="19" spans="1:74">
      <c r="A19" s="26"/>
      <c r="C19" s="139"/>
      <c r="D19" s="171"/>
      <c r="O19" s="285"/>
      <c r="P19" s="285"/>
      <c r="Q19" s="285"/>
      <c r="R19" s="285"/>
      <c r="S19" s="285"/>
      <c r="T19" s="285"/>
      <c r="U19" s="285"/>
      <c r="V19" s="285"/>
      <c r="W19" s="285"/>
      <c r="X19" s="285"/>
      <c r="Y19" s="285"/>
      <c r="Z19" s="285"/>
      <c r="AA19" s="285"/>
      <c r="AB19" s="285"/>
      <c r="AC19" s="285"/>
      <c r="AD19" s="285"/>
      <c r="AE19" s="285"/>
      <c r="AF19" s="285"/>
      <c r="AG19" s="285"/>
      <c r="AH19" s="285"/>
      <c r="AI19" s="285"/>
      <c r="AJ19" s="285"/>
      <c r="AK19" s="285"/>
      <c r="AL19" s="285"/>
      <c r="AM19" s="285"/>
      <c r="AN19" s="285"/>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5"/>
      <c r="BK19" s="285"/>
      <c r="BL19" s="285"/>
      <c r="BM19" s="285"/>
      <c r="BN19" s="285"/>
      <c r="BO19" s="285"/>
      <c r="BP19" s="285"/>
      <c r="BQ19" s="285"/>
      <c r="BR19" s="285"/>
      <c r="BS19" s="285"/>
      <c r="BT19" s="285"/>
      <c r="BU19" s="285"/>
    </row>
    <row r="20" spans="1:74" ht="13">
      <c r="A20" s="26"/>
      <c r="B20" s="126" t="s">
        <v>177</v>
      </c>
      <c r="C20" s="138"/>
      <c r="D20" s="174"/>
      <c r="E20" s="127"/>
      <c r="F20" s="127"/>
      <c r="G20" s="127"/>
      <c r="H20" s="127"/>
      <c r="I20" s="127"/>
      <c r="J20" s="127"/>
      <c r="K20" s="127"/>
      <c r="L20" s="127"/>
      <c r="M20" s="127"/>
      <c r="N20" s="127"/>
      <c r="O20" s="321"/>
      <c r="P20" s="321"/>
      <c r="Q20" s="321"/>
      <c r="R20" s="321"/>
      <c r="S20" s="321"/>
      <c r="T20" s="321"/>
      <c r="U20" s="321"/>
      <c r="V20" s="321"/>
      <c r="W20" s="321"/>
      <c r="X20" s="321"/>
      <c r="Y20" s="321"/>
      <c r="Z20" s="321"/>
      <c r="AA20" s="321"/>
      <c r="AB20" s="321"/>
      <c r="AC20" s="321"/>
      <c r="AD20" s="321"/>
      <c r="AE20" s="321"/>
      <c r="AF20" s="321"/>
      <c r="AG20" s="321"/>
      <c r="AH20" s="321"/>
      <c r="AI20" s="321"/>
      <c r="AJ20" s="321"/>
      <c r="AK20" s="321"/>
      <c r="AL20" s="321"/>
      <c r="AM20" s="321"/>
      <c r="AN20" s="321"/>
      <c r="AO20" s="321"/>
      <c r="AP20" s="321"/>
      <c r="AQ20" s="321"/>
      <c r="AR20" s="321"/>
      <c r="AS20" s="321"/>
      <c r="AT20" s="321"/>
      <c r="AU20" s="321"/>
      <c r="AV20" s="321"/>
      <c r="AW20" s="321"/>
      <c r="AX20" s="321"/>
      <c r="AY20" s="321"/>
      <c r="AZ20" s="321"/>
      <c r="BA20" s="321"/>
      <c r="BB20" s="321"/>
      <c r="BC20" s="321"/>
      <c r="BD20" s="321"/>
      <c r="BE20" s="321"/>
      <c r="BF20" s="321"/>
      <c r="BG20" s="321"/>
      <c r="BH20" s="321"/>
      <c r="BI20" s="321"/>
      <c r="BJ20" s="321"/>
      <c r="BK20" s="321"/>
      <c r="BL20" s="321"/>
      <c r="BM20" s="321"/>
      <c r="BN20" s="321"/>
      <c r="BO20" s="321"/>
      <c r="BP20" s="321"/>
      <c r="BQ20" s="321"/>
      <c r="BR20" s="321"/>
      <c r="BS20" s="321"/>
      <c r="BT20" s="321"/>
      <c r="BU20" s="321"/>
      <c r="BV20" s="321"/>
    </row>
    <row r="21" spans="1:74">
      <c r="A21" s="26"/>
      <c r="B21" s="26" t="s">
        <v>178</v>
      </c>
      <c r="C21" s="139" t="s">
        <v>47</v>
      </c>
      <c r="D21" s="171" t="str">
        <f>VLOOKUP($B$4&amp;" "&amp;$B21,Actuals!$D$4:$AG$131,3,FALSE)</f>
        <v>#</v>
      </c>
      <c r="E21" s="168" cm="1">
        <f t="array" ref="E21">_xlfn.XLOOKUP(
   $B$4&amp;" "&amp;$B21,
   Actuals!$D:$D,
   _xlfn.XLOOKUP(
      E$6,
      Actuals!$H$3:$BD$3,
      Actuals!$H:$BD
   )
)</f>
        <v>64</v>
      </c>
      <c r="F21" s="168" cm="1">
        <f t="array" ref="F21">_xlfn.XLOOKUP(
   $B$4&amp;" "&amp;$B21,
   Actuals!$D:$D,
   _xlfn.XLOOKUP(
      F$6,
      Actuals!$H$3:$BD$3,
      Actuals!$H:$BD
   )
)</f>
        <v>64</v>
      </c>
      <c r="G21" s="168" cm="1">
        <f t="array" ref="G21">_xlfn.XLOOKUP(
   $B$4&amp;" "&amp;$B21,
   Actuals!$D:$D,
   _xlfn.XLOOKUP(
      G$6,
      Actuals!$H$3:$BD$3,
      Actuals!$H:$BD
   )
)</f>
        <v>65</v>
      </c>
      <c r="H21" s="168" cm="1">
        <f t="array" ref="H21">_xlfn.XLOOKUP(
   $B$4&amp;" "&amp;$B21,
   Actuals!$D:$D,
   _xlfn.XLOOKUP(
      H$6,
      Actuals!$H$3:$BD$3,
      Actuals!$H:$BD
   )
)</f>
        <v>65</v>
      </c>
      <c r="I21" s="168" cm="1">
        <f t="array" ref="I21">_xlfn.XLOOKUP(
   $B$4&amp;" "&amp;$B21,
   Actuals!$D:$D,
   _xlfn.XLOOKUP(
      I$6,
      Actuals!$H$3:$BD$3,
      Actuals!$H:$BD
   )
)</f>
        <v>65</v>
      </c>
      <c r="J21" s="168" cm="1">
        <f t="array" ref="J21">_xlfn.XLOOKUP(
   $B$4&amp;" "&amp;$B21,
   Actuals!$D:$D,
   _xlfn.XLOOKUP(
      J$6,
      Actuals!$H$3:$BD$3,
      Actuals!$H:$BD
   )
)</f>
        <v>65</v>
      </c>
      <c r="K21" s="168" cm="1">
        <f t="array" ref="K21">_xlfn.XLOOKUP(
   $B$4&amp;" "&amp;$B21,
   Actuals!$D:$D,
   _xlfn.XLOOKUP(
      K$6,
      Actuals!$H$3:$BD$3,
      Actuals!$H:$BD
   )
)</f>
        <v>63</v>
      </c>
      <c r="L21" s="168" cm="1">
        <f t="array" ref="L21">_xlfn.XLOOKUP(
   $B$4&amp;" "&amp;$B21,
   Actuals!$D:$D,
   _xlfn.XLOOKUP(
      L$6,
      Actuals!$H$3:$BD$3,
      Actuals!$H:$BD
   )
)</f>
        <v>65</v>
      </c>
      <c r="M21" s="168" cm="1">
        <f t="array" ref="M21">_xlfn.XLOOKUP(
   $B$4&amp;" "&amp;$B21,
   Actuals!$D:$D,
   _xlfn.XLOOKUP(
      M$6,
      Actuals!$H$3:$BD$3,
      Actuals!$H:$BD
   )
)</f>
        <v>65</v>
      </c>
      <c r="N21" s="168" cm="1">
        <f t="array" ref="N21">_xlfn.XLOOKUP(
   $B$4&amp;" "&amp;$B21,
   Actuals!$D:$D,
   _xlfn.XLOOKUP(
      N$6,
      Actuals!$H$3:$BD$3,
      Actuals!$H:$BD
   )
)</f>
        <v>65</v>
      </c>
      <c r="O21" s="292" cm="1">
        <f t="array" ref="O21">_xlfn.XLOOKUP(
   $B$4&amp;" "&amp;$B21,
   Actuals!$D:$D,
   _xlfn.XLOOKUP(
      O$6,
      Actuals!$H$3:$BD$3,
      Actuals!$H:$BD
   )
)</f>
        <v>0</v>
      </c>
      <c r="P21" s="292" cm="1">
        <f t="array" ref="P21">_xlfn.XLOOKUP(
   $B$4&amp;" "&amp;$B21,
   Actuals!$D:$D,
   _xlfn.XLOOKUP(
      P$6,
      Actuals!$H$3:$BD$3,
      Actuals!$H:$BD
   )
)</f>
        <v>0</v>
      </c>
      <c r="Q21" s="292" cm="1">
        <f t="array" ref="Q21">_xlfn.XLOOKUP(
   $B$4&amp;" "&amp;$B21,
   Actuals!$D:$D,
   _xlfn.XLOOKUP(
      Q$6,
      Actuals!$H$3:$BD$3,
      Actuals!$H:$BD
   )
)</f>
        <v>0</v>
      </c>
      <c r="R21" s="292" cm="1">
        <f t="array" ref="R21">_xlfn.XLOOKUP(
   $B$4&amp;" "&amp;$B21,
   Actuals!$D:$D,
   _xlfn.XLOOKUP(
      R$6,
      Actuals!$H$3:$BD$3,
      Actuals!$H:$BD
   )
)</f>
        <v>0</v>
      </c>
      <c r="S21" s="292" cm="1">
        <f t="array" ref="S21">_xlfn.XLOOKUP(
   $B$4&amp;" "&amp;$B21,
   Actuals!$D:$D,
   _xlfn.XLOOKUP(
      S$6,
      Actuals!$H$3:$BD$3,
      Actuals!$H:$BD
   )
)</f>
        <v>0</v>
      </c>
      <c r="T21" s="292" cm="1">
        <f t="array" ref="T21">_xlfn.XLOOKUP(
   $B$4&amp;" "&amp;$B21,
   Actuals!$D:$D,
   _xlfn.XLOOKUP(
      T$6,
      Actuals!$H$3:$BD$3,
      Actuals!$H:$BD
   )
)</f>
        <v>0</v>
      </c>
      <c r="U21" s="292" cm="1">
        <f t="array" ref="U21">_xlfn.XLOOKUP(
   $B$4&amp;" "&amp;$B21,
   Actuals!$D:$D,
   _xlfn.XLOOKUP(
      U$6,
      Actuals!$H$3:$BD$3,
      Actuals!$H:$BD
   )
)</f>
        <v>0</v>
      </c>
      <c r="V21" s="292" cm="1">
        <f t="array" ref="V21">_xlfn.XLOOKUP(
   $B$4&amp;" "&amp;$B21,
   Actuals!$D:$D,
   _xlfn.XLOOKUP(
      V$6,
      Actuals!$H$3:$BD$3,
      Actuals!$H:$BD
   )
)</f>
        <v>0</v>
      </c>
      <c r="W21" s="292" cm="1">
        <f t="array" ref="W21">_xlfn.XLOOKUP(
   $B$4&amp;" "&amp;$B21,
   Actuals!$D:$D,
   _xlfn.XLOOKUP(
      W$6,
      Actuals!$H$3:$BD$3,
      Actuals!$H:$BD
   )
)</f>
        <v>0</v>
      </c>
      <c r="X21" s="292" cm="1">
        <f t="array" ref="X21">_xlfn.XLOOKUP(
   $B$4&amp;" "&amp;$B21,
   Actuals!$D:$D,
   _xlfn.XLOOKUP(
      X$6,
      Actuals!$H$3:$BD$3,
      Actuals!$H:$BD
   )
)</f>
        <v>0</v>
      </c>
      <c r="Y21" s="292" cm="1">
        <f t="array" ref="Y21">_xlfn.XLOOKUP(
   $B$4&amp;" "&amp;$B21,
   Actuals!$D:$D,
   _xlfn.XLOOKUP(
      Y$6,
      Actuals!$H$3:$BD$3,
      Actuals!$H:$BD
   )
)</f>
        <v>0</v>
      </c>
      <c r="Z21" s="292" cm="1">
        <f t="array" ref="Z21">_xlfn.XLOOKUP(
   $B$4&amp;" "&amp;$B21,
   Actuals!$D:$D,
   _xlfn.XLOOKUP(
      Z$6,
      Actuals!$H$3:$BD$3,
      Actuals!$H:$BD
   )
)</f>
        <v>0</v>
      </c>
      <c r="AA21" s="292" cm="1">
        <f t="array" ref="AA21">_xlfn.XLOOKUP(
   $B$4&amp;" "&amp;$B21,
   Actuals!$D:$D,
   _xlfn.XLOOKUP(
      AA$6,
      Actuals!$H$3:$BD$3,
      Actuals!$H:$BD
   )
)</f>
        <v>0</v>
      </c>
      <c r="AB21" s="292" cm="1">
        <f t="array" ref="AB21">_xlfn.XLOOKUP(
   $B$4&amp;" "&amp;$B21,
   Actuals!$D:$D,
   _xlfn.XLOOKUP(
      AB$6,
      Actuals!$H$3:$BD$3,
      Actuals!$H:$BD
   )
)</f>
        <v>0</v>
      </c>
      <c r="AC21" s="292" cm="1">
        <f t="array" ref="AC21">_xlfn.XLOOKUP(
   $B$4&amp;" "&amp;$B21,
   Actuals!$D:$D,
   _xlfn.XLOOKUP(
      AC$6,
      Actuals!$H$3:$BD$3,
      Actuals!$H:$BD
   )
)</f>
        <v>58</v>
      </c>
      <c r="AD21" s="292" cm="1">
        <f t="array" ref="AD21">_xlfn.XLOOKUP(
   $B$4&amp;" "&amp;$B21,
   Actuals!$D:$D,
   _xlfn.XLOOKUP(
      AD$6,
      Actuals!$H$3:$BD$3,
      Actuals!$H:$BD
   )
)</f>
        <v>55</v>
      </c>
      <c r="AE21" s="292" cm="1">
        <f t="array" ref="AE21">_xlfn.XLOOKUP(
   $B$4&amp;" "&amp;$B21,
   Actuals!$D:$D,
   _xlfn.XLOOKUP(
      AE$6,
      Actuals!$H$3:$BD$3,
      Actuals!$H:$BD
   )
)</f>
        <v>55</v>
      </c>
      <c r="AF21" s="292" cm="1">
        <f t="array" ref="AF21">_xlfn.XLOOKUP(
   $B$4&amp;" "&amp;$B21,
   Actuals!$D:$D,
   _xlfn.XLOOKUP(
      AF$6,
      Actuals!$H$3:$BD$3,
      Actuals!$H:$BD
   )
)</f>
        <v>55</v>
      </c>
      <c r="AG21" s="292" cm="1">
        <f t="array" ref="AG21">_xlfn.XLOOKUP(
   $B$4&amp;" "&amp;$B21,
   Actuals!$D:$D,
   _xlfn.XLOOKUP(
      AG$6,
      Actuals!$H$3:$BD$3,
      Actuals!$H:$BD
   )
)</f>
        <v>55</v>
      </c>
      <c r="AH21" s="292" cm="1">
        <f t="array" ref="AH21">_xlfn.XLOOKUP(
   $B$4&amp;" "&amp;$B21,
   Actuals!$D:$D,
   _xlfn.XLOOKUP(
      AH$6,
      Actuals!$H$3:$BD$3,
      Actuals!$H:$BD
   )
)</f>
        <v>60</v>
      </c>
      <c r="AI21" s="292" cm="1">
        <f t="array" ref="AI21">_xlfn.XLOOKUP(
   $B$4&amp;" "&amp;$B21,
   Actuals!$D:$D,
   _xlfn.XLOOKUP(
      AI$6,
      Actuals!$H$3:$BD$3,
      Actuals!$H:$BD
   )
)</f>
        <v>64</v>
      </c>
      <c r="AJ21" s="292" cm="1">
        <f t="array" ref="AJ21">_xlfn.XLOOKUP(
   $B$4&amp;" "&amp;$B21,
   Actuals!$D:$D,
   _xlfn.XLOOKUP(
      AJ$6,
      Actuals!$H$3:$BD$3,
      Actuals!$H:$BD
   )
)</f>
        <v>68</v>
      </c>
      <c r="AK21" s="292" cm="1">
        <f t="array" ref="AK21">_xlfn.XLOOKUP(
   $B$4&amp;" "&amp;$B21,
   Actuals!$D:$D,
   _xlfn.XLOOKUP(
      AK$6,
      Actuals!$H$3:$BD$3,
      Actuals!$H:$BD
   )
)</f>
        <v>70</v>
      </c>
      <c r="AL21" s="292" cm="1">
        <f t="array" ref="AL21">_xlfn.XLOOKUP(
   $B$4&amp;" "&amp;$B21,
   Actuals!$D:$D,
   _xlfn.XLOOKUP(
      AL$6,
      Actuals!$H$3:$BD$3,
      Actuals!$H:$BD
   )
)</f>
        <v>71</v>
      </c>
      <c r="AM21" s="292" cm="1">
        <f t="array" ref="AM21">_xlfn.XLOOKUP(
   $B$4&amp;" "&amp;$B21,
   Actuals!$D:$D,
   _xlfn.XLOOKUP(
      AM$6,
      Actuals!$H$3:$BD$3,
      Actuals!$H:$BD
   )
)</f>
        <v>73</v>
      </c>
      <c r="AN21" s="292" cm="1">
        <f t="array" ref="AN21">_xlfn.XLOOKUP(
   $B$4&amp;" "&amp;$B21,
   Actuals!$D:$D,
   _xlfn.XLOOKUP(
      AN$6,
      Actuals!$H$3:$BD$3,
      Actuals!$H:$BD
   )
)</f>
        <v>80</v>
      </c>
      <c r="AO21" s="292" cm="1">
        <f t="array" ref="AO21">_xlfn.XLOOKUP(
   $B$4&amp;" "&amp;$B21,
   Actuals!$D:$D,
   _xlfn.XLOOKUP(
      AO$6,
      Actuals!$H$3:$BD$3,
      Actuals!$H:$BD
   )
)</f>
        <v>0</v>
      </c>
      <c r="AP21" s="292" cm="1">
        <f t="array" ref="AP21">_xlfn.XLOOKUP(
   $B$4&amp;" "&amp;$B21,
   Actuals!$D:$D,
   _xlfn.XLOOKUP(
      AP$6,
      Actuals!$H$3:$BD$3,
      Actuals!$H:$BD
   )
)</f>
        <v>0</v>
      </c>
      <c r="AQ21" s="292" cm="1">
        <f t="array" ref="AQ21">_xlfn.XLOOKUP(
   $B$4&amp;" "&amp;$B21,
   Actuals!$D:$D,
   _xlfn.XLOOKUP(
      AQ$6,
      Actuals!$H$3:$BD$3,
      Actuals!$H:$BD
   )
)</f>
        <v>0</v>
      </c>
      <c r="AR21" s="292" cm="1">
        <f t="array" ref="AR21">_xlfn.XLOOKUP(
   $B$4&amp;" "&amp;$B21,
   Actuals!$D:$D,
   _xlfn.XLOOKUP(
      AR$6,
      Actuals!$H$3:$BD$3,
      Actuals!$H:$BD
   )
)</f>
        <v>0</v>
      </c>
      <c r="AS21" s="292" cm="1">
        <f t="array" ref="AS21">_xlfn.XLOOKUP(
   $B$4&amp;" "&amp;$B21,
   Actuals!$D:$D,
   _xlfn.XLOOKUP(
      AS$6,
      Actuals!$H$3:$BD$3,
      Actuals!$H:$BD
   )
)</f>
        <v>0</v>
      </c>
      <c r="AT21" s="292" cm="1">
        <f t="array" ref="AT21">_xlfn.XLOOKUP(
   $B$4&amp;" "&amp;$B21,
   Actuals!$D:$D,
   _xlfn.XLOOKUP(
      AT$6,
      Actuals!$H$3:$BD$3,
      Actuals!$H:$BD
   )
)</f>
        <v>0</v>
      </c>
      <c r="AU21" s="292" cm="1">
        <f t="array" ref="AU21">_xlfn.XLOOKUP(
   $B$4&amp;" "&amp;$B21,
   Actuals!$D:$D,
   _xlfn.XLOOKUP(
      AU$6,
      Actuals!$H$3:$BD$3,
      Actuals!$H:$BD
   )
)</f>
        <v>0</v>
      </c>
      <c r="AV21" s="292" cm="1">
        <f t="array" ref="AV21">_xlfn.XLOOKUP(
   $B$4&amp;" "&amp;$B21,
   Actuals!$D:$D,
   _xlfn.XLOOKUP(
      AV$6,
      Actuals!$H$3:$BD$3,
      Actuals!$H:$BD
   )
)</f>
        <v>0</v>
      </c>
      <c r="AW21" s="292" cm="1">
        <f t="array" ref="AW21">_xlfn.XLOOKUP(
   $B$4&amp;" "&amp;$B21,
   Actuals!$D:$D,
   _xlfn.XLOOKUP(
      AW$6,
      Actuals!$H$3:$BD$3,
      Actuals!$H:$BD
   )
)</f>
        <v>0</v>
      </c>
      <c r="AX21" s="292" cm="1">
        <f t="array" ref="AX21">_xlfn.XLOOKUP(
   $B$4&amp;" "&amp;$B21,
   Actuals!$D:$D,
   _xlfn.XLOOKUP(
      AX$6,
      Actuals!$H$3:$BD$3,
      Actuals!$H:$BD
   )
)</f>
        <v>0</v>
      </c>
      <c r="AY21" s="292" cm="1">
        <f t="array" ref="AY21">_xlfn.XLOOKUP(
   $B$4&amp;" "&amp;$B21,
   Actuals!$D:$D,
   _xlfn.XLOOKUP(
      AY$6,
      Actuals!$H$3:$BD$3,
      Actuals!$H:$BD
   )
)</f>
        <v>0</v>
      </c>
      <c r="AZ21" s="292" cm="1">
        <f t="array" ref="AZ21">_xlfn.XLOOKUP(
   $B$4&amp;" "&amp;$B21,
   Actuals!$D:$D,
   _xlfn.XLOOKUP(
      AZ$6,
      Actuals!$H$3:$BD$3,
      Actuals!$H:$BD
   )
)</f>
        <v>0</v>
      </c>
      <c r="BA21" s="292"/>
      <c r="BB21" s="292" cm="1">
        <f t="array" ref="BB21">_xlfn.XLOOKUP(
   $B$4&amp;" "&amp;$B21,
   Actuals!$D:$D,
   _xlfn.XLOOKUP(
      BB$7,
      Actuals!$H$3:$BM$3,
      Actuals!$H:$BM
   )
)</f>
        <v>0</v>
      </c>
      <c r="BC21" s="292">
        <f>VLOOKUP($B$4&amp;" "&amp;$B21,Budget!$AG$4:$AL$132,$BB$5+1,FALSE)</f>
        <v>0</v>
      </c>
      <c r="BD21" s="292">
        <f>BB21-BC21</f>
        <v>0</v>
      </c>
      <c r="BE21" s="292"/>
      <c r="BF21" s="292" cm="1">
        <f t="array" ref="BF21">_xlfn.XLOOKUP(
   $B$4&amp;" "&amp;$B21,
   Actuals!$D:$D,
   _xlfn.XLOOKUP(
      BF$7,
      Actuals!$H$3:$BM$3,
      Actuals!$H:$BM
   )
)</f>
        <v>0</v>
      </c>
      <c r="BG21" s="292">
        <f>VLOOKUP($B$4&amp;" "&amp;$B21,Budget!$AG$4:$AL$132,BF$5+1,FALSE)</f>
        <v>0</v>
      </c>
      <c r="BH21" s="292">
        <f>BF21-BG21</f>
        <v>0</v>
      </c>
      <c r="BI21" s="292"/>
      <c r="BJ21" s="292" cm="1">
        <f t="array" ref="BJ21">_xlfn.XLOOKUP(
   $B$4&amp;" "&amp;$B21,
   Actuals!$D:$D,
   _xlfn.XLOOKUP(
      BJ$7,
      Actuals!$H$3:$BM$3,
      Actuals!$H:$BM
   )
)</f>
        <v>0</v>
      </c>
      <c r="BK21" s="292">
        <f>VLOOKUP($B$4&amp;" "&amp;$B21,Budget!$AG$4:$AL$132,BJ$5+1,FALSE)</f>
        <v>0</v>
      </c>
      <c r="BL21" s="292">
        <f>BJ21-BK21</f>
        <v>0</v>
      </c>
      <c r="BM21" s="292"/>
      <c r="BN21" s="292" cm="1">
        <f t="array" ref="BN21">_xlfn.XLOOKUP(
   $B$4&amp;" "&amp;$B21,
   Actuals!$D:$D,
   _xlfn.XLOOKUP(
      BN$7,
      Actuals!$H$3:$BM$3,
      Actuals!$H:$BM
   )
)</f>
        <v>0</v>
      </c>
      <c r="BO21" s="292">
        <f>VLOOKUP($B$4&amp;" "&amp;$B21,Budget!$AG$4:$AL$132,BN$5+1,FALSE)</f>
        <v>0</v>
      </c>
      <c r="BP21" s="292"/>
      <c r="BQ21" s="292"/>
      <c r="BR21" s="292" cm="1">
        <f t="array" aca="1" ref="BR21" ca="1">_xlfn.XLOOKUP(
   $B$4&amp;" "&amp;$B21,
   Actuals!$D:$D,
   _xlfn.XLOOKUP(
      BR$6,
      Actuals!$H$3:$BM$3,
      Actuals!$H:$BM
   )
)</f>
        <v>0</v>
      </c>
      <c r="BS21" s="292">
        <f ca="1">VLOOKUP($B$4&amp;" "&amp;$B21,Budget!$AG$4:$AL$132,6,FALSE)</f>
        <v>0</v>
      </c>
      <c r="BT21" s="292">
        <f ca="1">BR21-BS21</f>
        <v>0</v>
      </c>
      <c r="BU21" s="292"/>
      <c r="BV21" s="292" cm="1">
        <f t="array" ref="BV21">_xlfn.XLOOKUP(
   $B$4&amp;" "&amp;$B21,
   Actuals!$D:$D,
   _xlfn.XLOOKUP(
      BV$6,
      Actuals!$H$3:$BM$3,
      Actuals!$H:$BM
   )
)</f>
        <v>0</v>
      </c>
    </row>
    <row r="22" spans="1:74">
      <c r="A22" s="26"/>
      <c r="B22" s="26" t="s">
        <v>179</v>
      </c>
      <c r="C22" s="139" t="s">
        <v>47</v>
      </c>
      <c r="D22" s="171" t="str">
        <f>VLOOKUP($B$4&amp;" "&amp;$B22,Actuals!$D$4:$AG$131,3,FALSE)</f>
        <v>#</v>
      </c>
      <c r="E22" s="168" cm="1">
        <f t="array" ref="E22">_xlfn.XLOOKUP(
   $B$4&amp;" "&amp;$B22,
   Actuals!$D:$D,
   _xlfn.XLOOKUP(
      E$6,
      Actuals!$H$3:$BD$3,
      Actuals!$H:$BD
   )
)</f>
        <v>33</v>
      </c>
      <c r="F22" s="168" cm="1">
        <f t="array" ref="F22">_xlfn.XLOOKUP(
   $B$4&amp;" "&amp;$B22,
   Actuals!$D:$D,
   _xlfn.XLOOKUP(
      F$6,
      Actuals!$H$3:$BD$3,
      Actuals!$H:$BD
   )
)</f>
        <v>33</v>
      </c>
      <c r="G22" s="168" cm="1">
        <f t="array" ref="G22">_xlfn.XLOOKUP(
   $B$4&amp;" "&amp;$B22,
   Actuals!$D:$D,
   _xlfn.XLOOKUP(
      G$6,
      Actuals!$H$3:$BD$3,
      Actuals!$H:$BD
   )
)</f>
        <v>34</v>
      </c>
      <c r="H22" s="168" cm="1">
        <f t="array" ref="H22">_xlfn.XLOOKUP(
   $B$4&amp;" "&amp;$B22,
   Actuals!$D:$D,
   _xlfn.XLOOKUP(
      H$6,
      Actuals!$H$3:$BD$3,
      Actuals!$H:$BD
   )
)</f>
        <v>33</v>
      </c>
      <c r="I22" s="168" cm="1">
        <f t="array" ref="I22">_xlfn.XLOOKUP(
   $B$4&amp;" "&amp;$B22,
   Actuals!$D:$D,
   _xlfn.XLOOKUP(
      I$6,
      Actuals!$H$3:$BD$3,
      Actuals!$H:$BD
   )
)</f>
        <v>32</v>
      </c>
      <c r="J22" s="168" cm="1">
        <f t="array" ref="J22">_xlfn.XLOOKUP(
   $B$4&amp;" "&amp;$B22,
   Actuals!$D:$D,
   _xlfn.XLOOKUP(
      J$6,
      Actuals!$H$3:$BD$3,
      Actuals!$H:$BD
   )
)</f>
        <v>31</v>
      </c>
      <c r="K22" s="168" cm="1">
        <f t="array" ref="K22">_xlfn.XLOOKUP(
   $B$4&amp;" "&amp;$B22,
   Actuals!$D:$D,
   _xlfn.XLOOKUP(
      K$6,
      Actuals!$H$3:$BD$3,
      Actuals!$H:$BD
   )
)</f>
        <v>28</v>
      </c>
      <c r="L22" s="168" cm="1">
        <f t="array" ref="L22">_xlfn.XLOOKUP(
   $B$4&amp;" "&amp;$B22,
   Actuals!$D:$D,
   _xlfn.XLOOKUP(
      L$6,
      Actuals!$H$3:$BD$3,
      Actuals!$H:$BD
   )
)</f>
        <v>28</v>
      </c>
      <c r="M22" s="168" cm="1">
        <f t="array" ref="M22">_xlfn.XLOOKUP(
   $B$4&amp;" "&amp;$B22,
   Actuals!$D:$D,
   _xlfn.XLOOKUP(
      M$6,
      Actuals!$H$3:$BD$3,
      Actuals!$H:$BD
   )
)</f>
        <v>27</v>
      </c>
      <c r="N22" s="168" cm="1">
        <f t="array" ref="N22">_xlfn.XLOOKUP(
   $B$4&amp;" "&amp;$B22,
   Actuals!$D:$D,
   _xlfn.XLOOKUP(
      N$6,
      Actuals!$H$3:$BD$3,
      Actuals!$H:$BD
   )
)</f>
        <v>27</v>
      </c>
      <c r="O22" s="292" cm="1">
        <f t="array" ref="O22">_xlfn.XLOOKUP(
   $B$4&amp;" "&amp;$B22,
   Actuals!$D:$D,
   _xlfn.XLOOKUP(
      O$6,
      Actuals!$H$3:$BD$3,
      Actuals!$H:$BD
   )
)</f>
        <v>0</v>
      </c>
      <c r="P22" s="292" cm="1">
        <f t="array" ref="P22">_xlfn.XLOOKUP(
   $B$4&amp;" "&amp;$B22,
   Actuals!$D:$D,
   _xlfn.XLOOKUP(
      P$6,
      Actuals!$H$3:$BD$3,
      Actuals!$H:$BD
   )
)</f>
        <v>0</v>
      </c>
      <c r="Q22" s="292" cm="1">
        <f t="array" ref="Q22">_xlfn.XLOOKUP(
   $B$4&amp;" "&amp;$B22,
   Actuals!$D:$D,
   _xlfn.XLOOKUP(
      Q$6,
      Actuals!$H$3:$BD$3,
      Actuals!$H:$BD
   )
)</f>
        <v>0</v>
      </c>
      <c r="R22" s="292" cm="1">
        <f t="array" ref="R22">_xlfn.XLOOKUP(
   $B$4&amp;" "&amp;$B22,
   Actuals!$D:$D,
   _xlfn.XLOOKUP(
      R$6,
      Actuals!$H$3:$BD$3,
      Actuals!$H:$BD
   )
)</f>
        <v>0</v>
      </c>
      <c r="S22" s="292" cm="1">
        <f t="array" ref="S22">_xlfn.XLOOKUP(
   $B$4&amp;" "&amp;$B22,
   Actuals!$D:$D,
   _xlfn.XLOOKUP(
      S$6,
      Actuals!$H$3:$BD$3,
      Actuals!$H:$BD
   )
)</f>
        <v>0</v>
      </c>
      <c r="T22" s="292" cm="1">
        <f t="array" ref="T22">_xlfn.XLOOKUP(
   $B$4&amp;" "&amp;$B22,
   Actuals!$D:$D,
   _xlfn.XLOOKUP(
      T$6,
      Actuals!$H$3:$BD$3,
      Actuals!$H:$BD
   )
)</f>
        <v>0</v>
      </c>
      <c r="U22" s="292" cm="1">
        <f t="array" ref="U22">_xlfn.XLOOKUP(
   $B$4&amp;" "&amp;$B22,
   Actuals!$D:$D,
   _xlfn.XLOOKUP(
      U$6,
      Actuals!$H$3:$BD$3,
      Actuals!$H:$BD
   )
)</f>
        <v>0</v>
      </c>
      <c r="V22" s="292" cm="1">
        <f t="array" ref="V22">_xlfn.XLOOKUP(
   $B$4&amp;" "&amp;$B22,
   Actuals!$D:$D,
   _xlfn.XLOOKUP(
      V$6,
      Actuals!$H$3:$BD$3,
      Actuals!$H:$BD
   )
)</f>
        <v>0</v>
      </c>
      <c r="W22" s="292" cm="1">
        <f t="array" ref="W22">_xlfn.XLOOKUP(
   $B$4&amp;" "&amp;$B22,
   Actuals!$D:$D,
   _xlfn.XLOOKUP(
      W$6,
      Actuals!$H$3:$BD$3,
      Actuals!$H:$BD
   )
)</f>
        <v>0</v>
      </c>
      <c r="X22" s="292" cm="1">
        <f t="array" ref="X22">_xlfn.XLOOKUP(
   $B$4&amp;" "&amp;$B22,
   Actuals!$D:$D,
   _xlfn.XLOOKUP(
      X$6,
      Actuals!$H$3:$BD$3,
      Actuals!$H:$BD
   )
)</f>
        <v>0</v>
      </c>
      <c r="Y22" s="292" cm="1">
        <f t="array" ref="Y22">_xlfn.XLOOKUP(
   $B$4&amp;" "&amp;$B22,
   Actuals!$D:$D,
   _xlfn.XLOOKUP(
      Y$6,
      Actuals!$H$3:$BD$3,
      Actuals!$H:$BD
   )
)</f>
        <v>0</v>
      </c>
      <c r="Z22" s="292" cm="1">
        <f t="array" ref="Z22">_xlfn.XLOOKUP(
   $B$4&amp;" "&amp;$B22,
   Actuals!$D:$D,
   _xlfn.XLOOKUP(
      Z$6,
      Actuals!$H$3:$BD$3,
      Actuals!$H:$BD
   )
)</f>
        <v>0</v>
      </c>
      <c r="AA22" s="292" cm="1">
        <f t="array" ref="AA22">_xlfn.XLOOKUP(
   $B$4&amp;" "&amp;$B22,
   Actuals!$D:$D,
   _xlfn.XLOOKUP(
      AA$6,
      Actuals!$H$3:$BD$3,
      Actuals!$H:$BD
   )
)</f>
        <v>0</v>
      </c>
      <c r="AB22" s="292" cm="1">
        <f t="array" ref="AB22">_xlfn.XLOOKUP(
   $B$4&amp;" "&amp;$B22,
   Actuals!$D:$D,
   _xlfn.XLOOKUP(
      AB$6,
      Actuals!$H$3:$BD$3,
      Actuals!$H:$BD
   )
)</f>
        <v>0</v>
      </c>
      <c r="AC22" s="292" cm="1">
        <f t="array" ref="AC22">_xlfn.XLOOKUP(
   $B$4&amp;" "&amp;$B22,
   Actuals!$D:$D,
   _xlfn.XLOOKUP(
      AC$6,
      Actuals!$H$3:$BD$3,
      Actuals!$H:$BD
   )
)</f>
        <v>-619916</v>
      </c>
      <c r="AD22" s="292" cm="1">
        <f t="array" ref="AD22">_xlfn.XLOOKUP(
   $B$4&amp;" "&amp;$B22,
   Actuals!$D:$D,
   _xlfn.XLOOKUP(
      AD$6,
      Actuals!$H$3:$BD$3,
      Actuals!$H:$BD
   )
)</f>
        <v>-183076</v>
      </c>
      <c r="AE22" s="292" cm="1">
        <f t="array" ref="AE22">_xlfn.XLOOKUP(
   $B$4&amp;" "&amp;$B22,
   Actuals!$D:$D,
   _xlfn.XLOOKUP(
      AE$6,
      Actuals!$H$3:$BD$3,
      Actuals!$H:$BD
   )
)</f>
        <v>-72360</v>
      </c>
      <c r="AF22" s="292" cm="1">
        <f t="array" ref="AF22">_xlfn.XLOOKUP(
   $B$4&amp;" "&amp;$B22,
   Actuals!$D:$D,
   _xlfn.XLOOKUP(
      AF$6,
      Actuals!$H$3:$BD$3,
      Actuals!$H:$BD
   )
)</f>
        <v>0</v>
      </c>
      <c r="AG22" s="292" cm="1">
        <f t="array" ref="AG22">_xlfn.XLOOKUP(
   $B$4&amp;" "&amp;$B22,
   Actuals!$D:$D,
   _xlfn.XLOOKUP(
      AG$6,
      Actuals!$H$3:$BD$3,
      Actuals!$H:$BD
   )
)</f>
        <v>0</v>
      </c>
      <c r="AH22" s="292" cm="1">
        <f t="array" ref="AH22">_xlfn.XLOOKUP(
   $B$4&amp;" "&amp;$B22,
   Actuals!$D:$D,
   _xlfn.XLOOKUP(
      AH$6,
      Actuals!$H$3:$BD$3,
      Actuals!$H:$BD
   )
)</f>
        <v>0</v>
      </c>
      <c r="AI22" s="292" cm="1">
        <f t="array" ref="AI22">_xlfn.XLOOKUP(
   $B$4&amp;" "&amp;$B22,
   Actuals!$D:$D,
   _xlfn.XLOOKUP(
      AI$6,
      Actuals!$H$3:$BD$3,
      Actuals!$H:$BD
   )
)</f>
        <v>0</v>
      </c>
      <c r="AJ22" s="292" cm="1">
        <f t="array" ref="AJ22">_xlfn.XLOOKUP(
   $B$4&amp;" "&amp;$B22,
   Actuals!$D:$D,
   _xlfn.XLOOKUP(
      AJ$6,
      Actuals!$H$3:$BD$3,
      Actuals!$H:$BD
   )
)</f>
        <v>0</v>
      </c>
      <c r="AK22" s="292" cm="1">
        <f t="array" ref="AK22">_xlfn.XLOOKUP(
   $B$4&amp;" "&amp;$B22,
   Actuals!$D:$D,
   _xlfn.XLOOKUP(
      AK$6,
      Actuals!$H$3:$BD$3,
      Actuals!$H:$BD
   )
)</f>
        <v>-158934.5</v>
      </c>
      <c r="AL22" s="292" cm="1">
        <f t="array" ref="AL22">_xlfn.XLOOKUP(
   $B$4&amp;" "&amp;$B22,
   Actuals!$D:$D,
   _xlfn.XLOOKUP(
      AL$6,
      Actuals!$H$3:$BD$3,
      Actuals!$H:$BD
   )
)</f>
        <v>-22750</v>
      </c>
      <c r="AM22" s="292" cm="1">
        <f t="array" ref="AM22">_xlfn.XLOOKUP(
   $B$4&amp;" "&amp;$B22,
   Actuals!$D:$D,
   _xlfn.XLOOKUP(
      AM$6,
      Actuals!$H$3:$BD$3,
      Actuals!$H:$BD
   )
)</f>
        <v>-58080</v>
      </c>
      <c r="AN22" s="292" cm="1">
        <f t="array" ref="AN22">_xlfn.XLOOKUP(
   $B$4&amp;" "&amp;$B22,
   Actuals!$D:$D,
   _xlfn.XLOOKUP(
      AN$6,
      Actuals!$H$3:$BD$3,
      Actuals!$H:$BD
   )
)</f>
        <v>0</v>
      </c>
      <c r="AO22" s="292" cm="1">
        <f t="array" ref="AO22">_xlfn.XLOOKUP(
   $B$4&amp;" "&amp;$B22,
   Actuals!$D:$D,
   _xlfn.XLOOKUP(
      AO$6,
      Actuals!$H$3:$BD$3,
      Actuals!$H:$BD
   )
)</f>
        <v>0</v>
      </c>
      <c r="AP22" s="292" cm="1">
        <f t="array" ref="AP22">_xlfn.XLOOKUP(
   $B$4&amp;" "&amp;$B22,
   Actuals!$D:$D,
   _xlfn.XLOOKUP(
      AP$6,
      Actuals!$H$3:$BD$3,
      Actuals!$H:$BD
   )
)</f>
        <v>0</v>
      </c>
      <c r="AQ22" s="292" cm="1">
        <f t="array" ref="AQ22">_xlfn.XLOOKUP(
   $B$4&amp;" "&amp;$B22,
   Actuals!$D:$D,
   _xlfn.XLOOKUP(
      AQ$6,
      Actuals!$H$3:$BD$3,
      Actuals!$H:$BD
   )
)</f>
        <v>0</v>
      </c>
      <c r="AR22" s="292" cm="1">
        <f t="array" ref="AR22">_xlfn.XLOOKUP(
   $B$4&amp;" "&amp;$B22,
   Actuals!$D:$D,
   _xlfn.XLOOKUP(
      AR$6,
      Actuals!$H$3:$BD$3,
      Actuals!$H:$BD
   )
)</f>
        <v>0</v>
      </c>
      <c r="AS22" s="292" cm="1">
        <f t="array" ref="AS22">_xlfn.XLOOKUP(
   $B$4&amp;" "&amp;$B22,
   Actuals!$D:$D,
   _xlfn.XLOOKUP(
      AS$6,
      Actuals!$H$3:$BD$3,
      Actuals!$H:$BD
   )
)</f>
        <v>0</v>
      </c>
      <c r="AT22" s="292" cm="1">
        <f t="array" ref="AT22">_xlfn.XLOOKUP(
   $B$4&amp;" "&amp;$B22,
   Actuals!$D:$D,
   _xlfn.XLOOKUP(
      AT$6,
      Actuals!$H$3:$BD$3,
      Actuals!$H:$BD
   )
)</f>
        <v>0</v>
      </c>
      <c r="AU22" s="292" cm="1">
        <f t="array" ref="AU22">_xlfn.XLOOKUP(
   $B$4&amp;" "&amp;$B22,
   Actuals!$D:$D,
   _xlfn.XLOOKUP(
      AU$6,
      Actuals!$H$3:$BD$3,
      Actuals!$H:$BD
   )
)</f>
        <v>0</v>
      </c>
      <c r="AV22" s="292" cm="1">
        <f t="array" ref="AV22">_xlfn.XLOOKUP(
   $B$4&amp;" "&amp;$B22,
   Actuals!$D:$D,
   _xlfn.XLOOKUP(
      AV$6,
      Actuals!$H$3:$BD$3,
      Actuals!$H:$BD
   )
)</f>
        <v>0</v>
      </c>
      <c r="AW22" s="292" cm="1">
        <f t="array" ref="AW22">_xlfn.XLOOKUP(
   $B$4&amp;" "&amp;$B22,
   Actuals!$D:$D,
   _xlfn.XLOOKUP(
      AW$6,
      Actuals!$H$3:$BD$3,
      Actuals!$H:$BD
   )
)</f>
        <v>0</v>
      </c>
      <c r="AX22" s="292" cm="1">
        <f t="array" ref="AX22">_xlfn.XLOOKUP(
   $B$4&amp;" "&amp;$B22,
   Actuals!$D:$D,
   _xlfn.XLOOKUP(
      AX$6,
      Actuals!$H$3:$BD$3,
      Actuals!$H:$BD
   )
)</f>
        <v>0</v>
      </c>
      <c r="AY22" s="292" cm="1">
        <f t="array" ref="AY22">_xlfn.XLOOKUP(
   $B$4&amp;" "&amp;$B22,
   Actuals!$D:$D,
   _xlfn.XLOOKUP(
      AY$6,
      Actuals!$H$3:$BD$3,
      Actuals!$H:$BD
   )
)</f>
        <v>0</v>
      </c>
      <c r="AZ22" s="292" cm="1">
        <f t="array" ref="AZ22">_xlfn.XLOOKUP(
   $B$4&amp;" "&amp;$B22,
   Actuals!$D:$D,
   _xlfn.XLOOKUP(
      AZ$6,
      Actuals!$H$3:$BD$3,
      Actuals!$H:$BD
   )
)</f>
        <v>0</v>
      </c>
      <c r="BA22" s="292"/>
      <c r="BB22" s="292" cm="1">
        <f t="array" ref="BB22">_xlfn.XLOOKUP(
   $B$4&amp;" "&amp;$B22,
   Actuals!$D:$D,
   _xlfn.XLOOKUP(
      BB$7,
      Actuals!$H$3:$BM$3,
      Actuals!$H:$BM
   )
)</f>
        <v>0</v>
      </c>
      <c r="BC22" s="292">
        <f>VLOOKUP($B$4&amp;" "&amp;$B22,Budget!$AG$4:$AL$132,$BB$5+1,FALSE)</f>
        <v>0</v>
      </c>
      <c r="BD22" s="292">
        <f>BB22-BC22</f>
        <v>0</v>
      </c>
      <c r="BE22" s="292"/>
      <c r="BF22" s="292" cm="1">
        <f t="array" ref="BF22">_xlfn.XLOOKUP(
   $B$4&amp;" "&amp;$B22,
   Actuals!$D:$D,
   _xlfn.XLOOKUP(
      BF$7,
      Actuals!$H$3:$BM$3,
      Actuals!$H:$BM
   )
)</f>
        <v>0</v>
      </c>
      <c r="BG22" s="292">
        <f>VLOOKUP($B$4&amp;" "&amp;$B22,Budget!$AG$4:$AL$132,BF$5+1,FALSE)</f>
        <v>0</v>
      </c>
      <c r="BH22" s="292">
        <f>BF22-BG22</f>
        <v>0</v>
      </c>
      <c r="BI22" s="292"/>
      <c r="BJ22" s="292" cm="1">
        <f t="array" ref="BJ22">_xlfn.XLOOKUP(
   $B$4&amp;" "&amp;$B22,
   Actuals!$D:$D,
   _xlfn.XLOOKUP(
      BJ$7,
      Actuals!$H$3:$BM$3,
      Actuals!$H:$BM
   )
)</f>
        <v>0</v>
      </c>
      <c r="BK22" s="292">
        <f>VLOOKUP($B$4&amp;" "&amp;$B22,Budget!$AG$4:$AL$132,BJ$5+1,FALSE)</f>
        <v>0</v>
      </c>
      <c r="BL22" s="292">
        <f>BJ22-BK22</f>
        <v>0</v>
      </c>
      <c r="BM22" s="292"/>
      <c r="BN22" s="292" cm="1">
        <f t="array" ref="BN22">_xlfn.XLOOKUP(
   $B$4&amp;" "&amp;$B22,
   Actuals!$D:$D,
   _xlfn.XLOOKUP(
      BN$7,
      Actuals!$H$3:$BM$3,
      Actuals!$H:$BM
   )
)</f>
        <v>0</v>
      </c>
      <c r="BO22" s="292">
        <f>VLOOKUP($B$4&amp;" "&amp;$B22,Budget!$AG$4:$AL$132,BN$5+1,FALSE)</f>
        <v>0</v>
      </c>
      <c r="BP22" s="292"/>
      <c r="BQ22" s="292"/>
      <c r="BR22" s="292" cm="1">
        <f t="array" aca="1" ref="BR22" ca="1">_xlfn.XLOOKUP(
   $B$4&amp;" "&amp;$B22,
   Actuals!$D:$D,
   _xlfn.XLOOKUP(
      BR$6,
      Actuals!$H$3:$BM$3,
      Actuals!$H:$BM
   )
)</f>
        <v>0</v>
      </c>
      <c r="BS22" s="292">
        <f ca="1">VLOOKUP($B$4&amp;" "&amp;$B22,Budget!$AG$4:$AL$132,6,FALSE)</f>
        <v>0</v>
      </c>
      <c r="BT22" s="292">
        <f ca="1">BR22-BS22</f>
        <v>0</v>
      </c>
      <c r="BU22" s="292"/>
      <c r="BV22" s="292" cm="1">
        <f t="array" ref="BV22">_xlfn.XLOOKUP(
   $B$4&amp;" "&amp;$B22,
   Actuals!$D:$D,
   _xlfn.XLOOKUP(
      BV$6,
      Actuals!$H$3:$BM$3,
      Actuals!$H:$BM
   )
)</f>
        <v>0</v>
      </c>
    </row>
    <row r="23" spans="1:74">
      <c r="A23" s="26"/>
      <c r="B23" s="26" t="s">
        <v>180</v>
      </c>
      <c r="C23" s="139" t="s">
        <v>49</v>
      </c>
      <c r="D23" s="171" t="str">
        <f>VLOOKUP($B$4&amp;" "&amp;$B23,Actuals!$D$4:$AG$131,3,FALSE)</f>
        <v>#</v>
      </c>
      <c r="E23" s="168" cm="1">
        <f t="array" ref="E23">_xlfn.XLOOKUP(
   $B$4&amp;" "&amp;$B23,
   Actuals!$D:$D,
   _xlfn.XLOOKUP(
      E$6,
      Actuals!$H$3:$BD$3,
      Actuals!$H:$BD
   )
)</f>
        <v>1</v>
      </c>
      <c r="F23" s="168" cm="1">
        <f t="array" ref="F23">_xlfn.XLOOKUP(
   $B$4&amp;" "&amp;$B23,
   Actuals!$D:$D,
   _xlfn.XLOOKUP(
      F$6,
      Actuals!$H$3:$BD$3,
      Actuals!$H:$BD
   )
)</f>
        <v>0</v>
      </c>
      <c r="G23" s="168" cm="1">
        <f t="array" ref="G23">_xlfn.XLOOKUP(
   $B$4&amp;" "&amp;$B23,
   Actuals!$D:$D,
   _xlfn.XLOOKUP(
      G$6,
      Actuals!$H$3:$BD$3,
      Actuals!$H:$BD
   )
)</f>
        <v>0</v>
      </c>
      <c r="H23" s="168" cm="1">
        <f t="array" ref="H23">_xlfn.XLOOKUP(
   $B$4&amp;" "&amp;$B23,
   Actuals!$D:$D,
   _xlfn.XLOOKUP(
      H$6,
      Actuals!$H$3:$BD$3,
      Actuals!$H:$BD
   )
)</f>
        <v>1</v>
      </c>
      <c r="I23" s="168" cm="1">
        <f t="array" ref="I23">_xlfn.XLOOKUP(
   $B$4&amp;" "&amp;$B23,
   Actuals!$D:$D,
   _xlfn.XLOOKUP(
      I$6,
      Actuals!$H$3:$BD$3,
      Actuals!$H:$BD
   )
)</f>
        <v>0</v>
      </c>
      <c r="J23" s="168" cm="1">
        <f t="array" ref="J23">_xlfn.XLOOKUP(
   $B$4&amp;" "&amp;$B23,
   Actuals!$D:$D,
   _xlfn.XLOOKUP(
      J$6,
      Actuals!$H$3:$BD$3,
      Actuals!$H:$BD
   )
)</f>
        <v>1</v>
      </c>
      <c r="K23" s="168" cm="1">
        <f t="array" ref="K23">_xlfn.XLOOKUP(
   $B$4&amp;" "&amp;$B23,
   Actuals!$D:$D,
   _xlfn.XLOOKUP(
      K$6,
      Actuals!$H$3:$BD$3,
      Actuals!$H:$BD
   )
)</f>
        <v>2</v>
      </c>
      <c r="L23" s="168" cm="1">
        <f t="array" ref="L23">_xlfn.XLOOKUP(
   $B$4&amp;" "&amp;$B23,
   Actuals!$D:$D,
   _xlfn.XLOOKUP(
      L$6,
      Actuals!$H$3:$BD$3,
      Actuals!$H:$BD
   )
)</f>
        <v>0</v>
      </c>
      <c r="M23" s="168" cm="1">
        <f t="array" ref="M23">_xlfn.XLOOKUP(
   $B$4&amp;" "&amp;$B23,
   Actuals!$D:$D,
   _xlfn.XLOOKUP(
      M$6,
      Actuals!$H$3:$BD$3,
      Actuals!$H:$BD
   )
)</f>
        <v>0</v>
      </c>
      <c r="N23" s="168" cm="1">
        <f t="array" ref="N23">_xlfn.XLOOKUP(
   $B$4&amp;" "&amp;$B23,
   Actuals!$D:$D,
   _xlfn.XLOOKUP(
      N$6,
      Actuals!$H$3:$BD$3,
      Actuals!$H:$BD
   )
)</f>
        <v>0</v>
      </c>
      <c r="O23" s="292" cm="1">
        <f t="array" ref="O23">_xlfn.XLOOKUP(
   $B$4&amp;" "&amp;$B23,
   Actuals!$D:$D,
   _xlfn.XLOOKUP(
      O$6,
      Actuals!$H$3:$BD$3,
      Actuals!$H:$BD
   )
)</f>
        <v>0</v>
      </c>
      <c r="P23" s="292" cm="1">
        <f t="array" ref="P23">_xlfn.XLOOKUP(
   $B$4&amp;" "&amp;$B23,
   Actuals!$D:$D,
   _xlfn.XLOOKUP(
      P$6,
      Actuals!$H$3:$BD$3,
      Actuals!$H:$BD
   )
)</f>
        <v>0</v>
      </c>
      <c r="Q23" s="292" cm="1">
        <f t="array" ref="Q23">_xlfn.XLOOKUP(
   $B$4&amp;" "&amp;$B23,
   Actuals!$D:$D,
   _xlfn.XLOOKUP(
      Q$6,
      Actuals!$H$3:$BD$3,
      Actuals!$H:$BD
   )
)</f>
        <v>0</v>
      </c>
      <c r="R23" s="292" cm="1">
        <f t="array" ref="R23">_xlfn.XLOOKUP(
   $B$4&amp;" "&amp;$B23,
   Actuals!$D:$D,
   _xlfn.XLOOKUP(
      R$6,
      Actuals!$H$3:$BD$3,
      Actuals!$H:$BD
   )
)</f>
        <v>0</v>
      </c>
      <c r="S23" s="292" cm="1">
        <f t="array" ref="S23">_xlfn.XLOOKUP(
   $B$4&amp;" "&amp;$B23,
   Actuals!$D:$D,
   _xlfn.XLOOKUP(
      S$6,
      Actuals!$H$3:$BD$3,
      Actuals!$H:$BD
   )
)</f>
        <v>0</v>
      </c>
      <c r="T23" s="292" cm="1">
        <f t="array" ref="T23">_xlfn.XLOOKUP(
   $B$4&amp;" "&amp;$B23,
   Actuals!$D:$D,
   _xlfn.XLOOKUP(
      T$6,
      Actuals!$H$3:$BD$3,
      Actuals!$H:$BD
   )
)</f>
        <v>0</v>
      </c>
      <c r="U23" s="292" cm="1">
        <f t="array" ref="U23">_xlfn.XLOOKUP(
   $B$4&amp;" "&amp;$B23,
   Actuals!$D:$D,
   _xlfn.XLOOKUP(
      U$6,
      Actuals!$H$3:$BD$3,
      Actuals!$H:$BD
   )
)</f>
        <v>0</v>
      </c>
      <c r="V23" s="292" cm="1">
        <f t="array" ref="V23">_xlfn.XLOOKUP(
   $B$4&amp;" "&amp;$B23,
   Actuals!$D:$D,
   _xlfn.XLOOKUP(
      V$6,
      Actuals!$H$3:$BD$3,
      Actuals!$H:$BD
   )
)</f>
        <v>0</v>
      </c>
      <c r="W23" s="292" cm="1">
        <f t="array" ref="W23">_xlfn.XLOOKUP(
   $B$4&amp;" "&amp;$B23,
   Actuals!$D:$D,
   _xlfn.XLOOKUP(
      W$6,
      Actuals!$H$3:$BD$3,
      Actuals!$H:$BD
   )
)</f>
        <v>0</v>
      </c>
      <c r="X23" s="292" cm="1">
        <f t="array" ref="X23">_xlfn.XLOOKUP(
   $B$4&amp;" "&amp;$B23,
   Actuals!$D:$D,
   _xlfn.XLOOKUP(
      X$6,
      Actuals!$H$3:$BD$3,
      Actuals!$H:$BD
   )
)</f>
        <v>0</v>
      </c>
      <c r="Y23" s="292" cm="1">
        <f t="array" ref="Y23">_xlfn.XLOOKUP(
   $B$4&amp;" "&amp;$B23,
   Actuals!$D:$D,
   _xlfn.XLOOKUP(
      Y$6,
      Actuals!$H$3:$BD$3,
      Actuals!$H:$BD
   )
)</f>
        <v>0</v>
      </c>
      <c r="Z23" s="292" cm="1">
        <f t="array" ref="Z23">_xlfn.XLOOKUP(
   $B$4&amp;" "&amp;$B23,
   Actuals!$D:$D,
   _xlfn.XLOOKUP(
      Z$6,
      Actuals!$H$3:$BD$3,
      Actuals!$H:$BD
   )
)</f>
        <v>0</v>
      </c>
      <c r="AA23" s="292" cm="1">
        <f t="array" ref="AA23">_xlfn.XLOOKUP(
   $B$4&amp;" "&amp;$B23,
   Actuals!$D:$D,
   _xlfn.XLOOKUP(
      AA$6,
      Actuals!$H$3:$BD$3,
      Actuals!$H:$BD
   )
)</f>
        <v>0</v>
      </c>
      <c r="AB23" s="292" cm="1">
        <f t="array" ref="AB23">_xlfn.XLOOKUP(
   $B$4&amp;" "&amp;$B23,
   Actuals!$D:$D,
   _xlfn.XLOOKUP(
      AB$6,
      Actuals!$H$3:$BD$3,
      Actuals!$H:$BD
   )
)</f>
        <v>0</v>
      </c>
      <c r="AC23" s="292" cm="1">
        <f t="array" ref="AC23">_xlfn.XLOOKUP(
   $B$4&amp;" "&amp;$B23,
   Actuals!$D:$D,
   _xlfn.XLOOKUP(
      AC$6,
      Actuals!$H$3:$BD$3,
      Actuals!$H:$BD
   )
)</f>
        <v>1</v>
      </c>
      <c r="AD23" s="292" cm="1">
        <f t="array" ref="AD23">_xlfn.XLOOKUP(
   $B$4&amp;" "&amp;$B23,
   Actuals!$D:$D,
   _xlfn.XLOOKUP(
      AD$6,
      Actuals!$H$3:$BD$3,
      Actuals!$H:$BD
   )
)</f>
        <v>2</v>
      </c>
      <c r="AE23" s="292" cm="1">
        <f t="array" ref="AE23">_xlfn.XLOOKUP(
   $B$4&amp;" "&amp;$B23,
   Actuals!$D:$D,
   _xlfn.XLOOKUP(
      AE$6,
      Actuals!$H$3:$BD$3,
      Actuals!$H:$BD
   )
)</f>
        <v>0</v>
      </c>
      <c r="AF23" s="292" cm="1">
        <f t="array" ref="AF23">_xlfn.XLOOKUP(
   $B$4&amp;" "&amp;$B23,
   Actuals!$D:$D,
   _xlfn.XLOOKUP(
      AF$6,
      Actuals!$H$3:$BD$3,
      Actuals!$H:$BD
   )
)</f>
        <v>0</v>
      </c>
      <c r="AG23" s="292" cm="1">
        <f t="array" ref="AG23">_xlfn.XLOOKUP(
   $B$4&amp;" "&amp;$B23,
   Actuals!$D:$D,
   _xlfn.XLOOKUP(
      AG$6,
      Actuals!$H$3:$BD$3,
      Actuals!$H:$BD
   )
)</f>
        <v>0</v>
      </c>
      <c r="AH23" s="292" cm="1">
        <f t="array" ref="AH23">_xlfn.XLOOKUP(
   $B$4&amp;" "&amp;$B23,
   Actuals!$D:$D,
   _xlfn.XLOOKUP(
      AH$6,
      Actuals!$H$3:$BD$3,
      Actuals!$H:$BD
   )
)</f>
        <v>0</v>
      </c>
      <c r="AI23" s="292" cm="1">
        <f t="array" ref="AI23">_xlfn.XLOOKUP(
   $B$4&amp;" "&amp;$B23,
   Actuals!$D:$D,
   _xlfn.XLOOKUP(
      AI$6,
      Actuals!$H$3:$BD$3,
      Actuals!$H:$BD
   )
)</f>
        <v>1</v>
      </c>
      <c r="AJ23" s="292" cm="1">
        <f t="array" ref="AJ23">_xlfn.XLOOKUP(
   $B$4&amp;" "&amp;$B23,
   Actuals!$D:$D,
   _xlfn.XLOOKUP(
      AJ$6,
      Actuals!$H$3:$BD$3,
      Actuals!$H:$BD
   )
)</f>
        <v>1</v>
      </c>
      <c r="AK23" s="292" cm="1">
        <f t="array" ref="AK23">_xlfn.XLOOKUP(
   $B$4&amp;" "&amp;$B23,
   Actuals!$D:$D,
   _xlfn.XLOOKUP(
      AK$6,
      Actuals!$H$3:$BD$3,
      Actuals!$H:$BD
   )
)</f>
        <v>0</v>
      </c>
      <c r="AL23" s="292" cm="1">
        <f t="array" ref="AL23">_xlfn.XLOOKUP(
   $B$4&amp;" "&amp;$B23,
   Actuals!$D:$D,
   _xlfn.XLOOKUP(
      AL$6,
      Actuals!$H$3:$BD$3,
      Actuals!$H:$BD
   )
)</f>
        <v>0</v>
      </c>
      <c r="AM23" s="292" cm="1">
        <f t="array" ref="AM23">_xlfn.XLOOKUP(
   $B$4&amp;" "&amp;$B23,
   Actuals!$D:$D,
   _xlfn.XLOOKUP(
      AM$6,
      Actuals!$H$3:$BD$3,
      Actuals!$H:$BD
   )
)</f>
        <v>1</v>
      </c>
      <c r="AN23" s="292" cm="1">
        <f t="array" ref="AN23">_xlfn.XLOOKUP(
   $B$4&amp;" "&amp;$B23,
   Actuals!$D:$D,
   _xlfn.XLOOKUP(
      AN$6,
      Actuals!$H$3:$BD$3,
      Actuals!$H:$BD
   )
)</f>
        <v>0</v>
      </c>
      <c r="AO23" s="292" cm="1">
        <f t="array" ref="AO23">_xlfn.XLOOKUP(
   $B$4&amp;" "&amp;$B23,
   Actuals!$D:$D,
   _xlfn.XLOOKUP(
      AO$6,
      Actuals!$H$3:$BD$3,
      Actuals!$H:$BD
   )
)</f>
        <v>0</v>
      </c>
      <c r="AP23" s="292" cm="1">
        <f t="array" ref="AP23">_xlfn.XLOOKUP(
   $B$4&amp;" "&amp;$B23,
   Actuals!$D:$D,
   _xlfn.XLOOKUP(
      AP$6,
      Actuals!$H$3:$BD$3,
      Actuals!$H:$BD
   )
)</f>
        <v>0</v>
      </c>
      <c r="AQ23" s="292" cm="1">
        <f t="array" ref="AQ23">_xlfn.XLOOKUP(
   $B$4&amp;" "&amp;$B23,
   Actuals!$D:$D,
   _xlfn.XLOOKUP(
      AQ$6,
      Actuals!$H$3:$BD$3,
      Actuals!$H:$BD
   )
)</f>
        <v>0</v>
      </c>
      <c r="AR23" s="292" cm="1">
        <f t="array" ref="AR23">_xlfn.XLOOKUP(
   $B$4&amp;" "&amp;$B23,
   Actuals!$D:$D,
   _xlfn.XLOOKUP(
      AR$6,
      Actuals!$H$3:$BD$3,
      Actuals!$H:$BD
   )
)</f>
        <v>0</v>
      </c>
      <c r="AS23" s="292" cm="1">
        <f t="array" ref="AS23">_xlfn.XLOOKUP(
   $B$4&amp;" "&amp;$B23,
   Actuals!$D:$D,
   _xlfn.XLOOKUP(
      AS$6,
      Actuals!$H$3:$BD$3,
      Actuals!$H:$BD
   )
)</f>
        <v>0</v>
      </c>
      <c r="AT23" s="292" cm="1">
        <f t="array" ref="AT23">_xlfn.XLOOKUP(
   $B$4&amp;" "&amp;$B23,
   Actuals!$D:$D,
   _xlfn.XLOOKUP(
      AT$6,
      Actuals!$H$3:$BD$3,
      Actuals!$H:$BD
   )
)</f>
        <v>0</v>
      </c>
      <c r="AU23" s="292" cm="1">
        <f t="array" ref="AU23">_xlfn.XLOOKUP(
   $B$4&amp;" "&amp;$B23,
   Actuals!$D:$D,
   _xlfn.XLOOKUP(
      AU$6,
      Actuals!$H$3:$BD$3,
      Actuals!$H:$BD
   )
)</f>
        <v>0</v>
      </c>
      <c r="AV23" s="292" cm="1">
        <f t="array" ref="AV23">_xlfn.XLOOKUP(
   $B$4&amp;" "&amp;$B23,
   Actuals!$D:$D,
   _xlfn.XLOOKUP(
      AV$6,
      Actuals!$H$3:$BD$3,
      Actuals!$H:$BD
   )
)</f>
        <v>0</v>
      </c>
      <c r="AW23" s="292" cm="1">
        <f t="array" ref="AW23">_xlfn.XLOOKUP(
   $B$4&amp;" "&amp;$B23,
   Actuals!$D:$D,
   _xlfn.XLOOKUP(
      AW$6,
      Actuals!$H$3:$BD$3,
      Actuals!$H:$BD
   )
)</f>
        <v>0</v>
      </c>
      <c r="AX23" s="292" cm="1">
        <f t="array" ref="AX23">_xlfn.XLOOKUP(
   $B$4&amp;" "&amp;$B23,
   Actuals!$D:$D,
   _xlfn.XLOOKUP(
      AX$6,
      Actuals!$H$3:$BD$3,
      Actuals!$H:$BD
   )
)</f>
        <v>0</v>
      </c>
      <c r="AY23" s="292" cm="1">
        <f t="array" ref="AY23">_xlfn.XLOOKUP(
   $B$4&amp;" "&amp;$B23,
   Actuals!$D:$D,
   _xlfn.XLOOKUP(
      AY$6,
      Actuals!$H$3:$BD$3,
      Actuals!$H:$BD
   )
)</f>
        <v>0</v>
      </c>
      <c r="AZ23" s="292" cm="1">
        <f t="array" ref="AZ23">_xlfn.XLOOKUP(
   $B$4&amp;" "&amp;$B23,
   Actuals!$D:$D,
   _xlfn.XLOOKUP(
      AZ$6,
      Actuals!$H$3:$BD$3,
      Actuals!$H:$BD
   )
)</f>
        <v>0</v>
      </c>
      <c r="BA23" s="292"/>
      <c r="BB23" s="292" cm="1">
        <f t="array" ref="BB23">_xlfn.XLOOKUP(
   $B$4&amp;" "&amp;$B23,
   Actuals!$D:$D,
   _xlfn.XLOOKUP(
      BB$7,
      Actuals!$H$3:$BM$3,
      Actuals!$H:$BM
   )
)</f>
        <v>0</v>
      </c>
      <c r="BC23" s="292">
        <f>VLOOKUP($B$4&amp;" "&amp;$B23,Budget!$AG$4:$AL$132,$BB$5+1,FALSE)</f>
        <v>0</v>
      </c>
      <c r="BD23" s="292">
        <f>BB23-BC23</f>
        <v>0</v>
      </c>
      <c r="BE23" s="292"/>
      <c r="BF23" s="292" cm="1">
        <f t="array" ref="BF23">_xlfn.XLOOKUP(
   $B$4&amp;" "&amp;$B23,
   Actuals!$D:$D,
   _xlfn.XLOOKUP(
      BF$7,
      Actuals!$H$3:$BM$3,
      Actuals!$H:$BM
   )
)</f>
        <v>0</v>
      </c>
      <c r="BG23" s="292">
        <f>VLOOKUP($B$4&amp;" "&amp;$B23,Budget!$AG$4:$AL$132,BF$5+1,FALSE)</f>
        <v>0</v>
      </c>
      <c r="BH23" s="292">
        <f>BF23-BG23</f>
        <v>0</v>
      </c>
      <c r="BI23" s="292"/>
      <c r="BJ23" s="292" cm="1">
        <f t="array" ref="BJ23">_xlfn.XLOOKUP(
   $B$4&amp;" "&amp;$B23,
   Actuals!$D:$D,
   _xlfn.XLOOKUP(
      BJ$7,
      Actuals!$H$3:$BM$3,
      Actuals!$H:$BM
   )
)</f>
        <v>0</v>
      </c>
      <c r="BK23" s="292">
        <f>VLOOKUP($B$4&amp;" "&amp;$B23,Budget!$AG$4:$AL$132,BJ$5+1,FALSE)</f>
        <v>0</v>
      </c>
      <c r="BL23" s="292">
        <f>BJ23-BK23</f>
        <v>0</v>
      </c>
      <c r="BM23" s="292"/>
      <c r="BN23" s="292" cm="1">
        <f t="array" ref="BN23">_xlfn.XLOOKUP(
   $B$4&amp;" "&amp;$B23,
   Actuals!$D:$D,
   _xlfn.XLOOKUP(
      BN$7,
      Actuals!$H$3:$BM$3,
      Actuals!$H:$BM
   )
)</f>
        <v>0</v>
      </c>
      <c r="BO23" s="292">
        <f>VLOOKUP($B$4&amp;" "&amp;$B23,Budget!$AG$4:$AL$132,BN$5+1,FALSE)</f>
        <v>0</v>
      </c>
      <c r="BP23" s="292"/>
      <c r="BQ23" s="292"/>
      <c r="BR23" s="292" cm="1">
        <f t="array" aca="1" ref="BR23" ca="1">_xlfn.XLOOKUP(
   $B$4&amp;" "&amp;$B23,
   Actuals!$D:$D,
   _xlfn.XLOOKUP(
      BR$6,
      Actuals!$H$3:$BM$3,
      Actuals!$H:$BM
   )
)</f>
        <v>0</v>
      </c>
      <c r="BS23" s="292">
        <f ca="1">VLOOKUP($B$4&amp;" "&amp;$B23,Budget!$AG$4:$AL$132,6,FALSE)</f>
        <v>0</v>
      </c>
      <c r="BT23" s="292">
        <f ca="1">BR23-BS23</f>
        <v>0</v>
      </c>
      <c r="BU23" s="292"/>
      <c r="BV23" s="292" cm="1">
        <f t="array" ref="BV23">_xlfn.XLOOKUP(
   $B$4&amp;" "&amp;$B23,
   Actuals!$D:$D,
   _xlfn.XLOOKUP(
      BV$6,
      Actuals!$H$3:$BM$3,
      Actuals!$H:$BM
   )
)</f>
        <v>5</v>
      </c>
    </row>
    <row r="24" spans="1:74">
      <c r="A24" s="26"/>
      <c r="B24" s="131" t="s">
        <v>181</v>
      </c>
      <c r="C24" s="139" t="s">
        <v>49</v>
      </c>
      <c r="D24" s="171" t="str">
        <f>VLOOKUP($B$4&amp;" "&amp;$B24,Actuals!$D$4:$AG$131,3,FALSE)</f>
        <v>#</v>
      </c>
      <c r="E24" s="168" cm="1">
        <f t="array" ref="E24">_xlfn.XLOOKUP(
   $B$4&amp;" "&amp;$B24,
   Actuals!$D:$D,
   _xlfn.XLOOKUP(
      E$6,
      Actuals!$H$3:$BD$3,
      Actuals!$H:$BD
   )
)</f>
        <v>7</v>
      </c>
      <c r="F24" s="168" cm="1">
        <f t="array" ref="F24">_xlfn.XLOOKUP(
   $B$4&amp;" "&amp;$B24,
   Actuals!$D:$D,
   _xlfn.XLOOKUP(
      F$6,
      Actuals!$H$3:$BD$3,
      Actuals!$H:$BD
   )
)</f>
        <v>6</v>
      </c>
      <c r="G24" s="168" cm="1">
        <f t="array" ref="G24">_xlfn.XLOOKUP(
   $B$4&amp;" "&amp;$B24,
   Actuals!$D:$D,
   _xlfn.XLOOKUP(
      G$6,
      Actuals!$H$3:$BD$3,
      Actuals!$H:$BD
   )
)</f>
        <v>5</v>
      </c>
      <c r="H24" s="168" cm="1">
        <f t="array" ref="H24">_xlfn.XLOOKUP(
   $B$4&amp;" "&amp;$B24,
   Actuals!$D:$D,
   _xlfn.XLOOKUP(
      H$6,
      Actuals!$H$3:$BD$3,
      Actuals!$H:$BD
   )
)</f>
        <v>4</v>
      </c>
      <c r="I24" s="168" cm="1">
        <f t="array" ref="I24">_xlfn.XLOOKUP(
   $B$4&amp;" "&amp;$B24,
   Actuals!$D:$D,
   _xlfn.XLOOKUP(
      I$6,
      Actuals!$H$3:$BD$3,
      Actuals!$H:$BD
   )
)</f>
        <v>4</v>
      </c>
      <c r="J24" s="168" cm="1">
        <f t="array" ref="J24">_xlfn.XLOOKUP(
   $B$4&amp;" "&amp;$B24,
   Actuals!$D:$D,
   _xlfn.XLOOKUP(
      J$6,
      Actuals!$H$3:$BD$3,
      Actuals!$H:$BD
   )
)</f>
        <v>4</v>
      </c>
      <c r="K24" s="168" cm="1">
        <f t="array" ref="K24">_xlfn.XLOOKUP(
   $B$4&amp;" "&amp;$B24,
   Actuals!$D:$D,
   _xlfn.XLOOKUP(
      K$6,
      Actuals!$H$3:$BD$3,
      Actuals!$H:$BD
   )
)</f>
        <v>2</v>
      </c>
      <c r="L24" s="168" cm="1">
        <f t="array" ref="L24">_xlfn.XLOOKUP(
   $B$4&amp;" "&amp;$B24,
   Actuals!$D:$D,
   _xlfn.XLOOKUP(
      L$6,
      Actuals!$H$3:$BD$3,
      Actuals!$H:$BD
   )
)</f>
        <v>1</v>
      </c>
      <c r="M24" s="168" cm="1">
        <f t="array" ref="M24">_xlfn.XLOOKUP(
   $B$4&amp;" "&amp;$B24,
   Actuals!$D:$D,
   _xlfn.XLOOKUP(
      M$6,
      Actuals!$H$3:$BD$3,
      Actuals!$H:$BD
   )
)</f>
        <v>5</v>
      </c>
      <c r="N24" s="168" cm="1">
        <f t="array" ref="N24">_xlfn.XLOOKUP(
   $B$4&amp;" "&amp;$B24,
   Actuals!$D:$D,
   _xlfn.XLOOKUP(
      N$6,
      Actuals!$H$3:$BD$3,
      Actuals!$H:$BD
   )
)</f>
        <v>5</v>
      </c>
      <c r="O24" s="292" cm="1">
        <f t="array" ref="O24">_xlfn.XLOOKUP(
   $B$4&amp;" "&amp;$B24,
   Actuals!$D:$D,
   _xlfn.XLOOKUP(
      O$6,
      Actuals!$H$3:$BD$3,
      Actuals!$H:$BD
   )
)</f>
        <v>0</v>
      </c>
      <c r="P24" s="292" cm="1">
        <f t="array" ref="P24">_xlfn.XLOOKUP(
   $B$4&amp;" "&amp;$B24,
   Actuals!$D:$D,
   _xlfn.XLOOKUP(
      P$6,
      Actuals!$H$3:$BD$3,
      Actuals!$H:$BD
   )
)</f>
        <v>0</v>
      </c>
      <c r="Q24" s="292" cm="1">
        <f t="array" ref="Q24">_xlfn.XLOOKUP(
   $B$4&amp;" "&amp;$B24,
   Actuals!$D:$D,
   _xlfn.XLOOKUP(
      Q$6,
      Actuals!$H$3:$BD$3,
      Actuals!$H:$BD
   )
)</f>
        <v>0</v>
      </c>
      <c r="R24" s="292" cm="1">
        <f t="array" ref="R24">_xlfn.XLOOKUP(
   $B$4&amp;" "&amp;$B24,
   Actuals!$D:$D,
   _xlfn.XLOOKUP(
      R$6,
      Actuals!$H$3:$BD$3,
      Actuals!$H:$BD
   )
)</f>
        <v>0</v>
      </c>
      <c r="S24" s="292" cm="1">
        <f t="array" ref="S24">_xlfn.XLOOKUP(
   $B$4&amp;" "&amp;$B24,
   Actuals!$D:$D,
   _xlfn.XLOOKUP(
      S$6,
      Actuals!$H$3:$BD$3,
      Actuals!$H:$BD
   )
)</f>
        <v>0</v>
      </c>
      <c r="T24" s="292" cm="1">
        <f t="array" ref="T24">_xlfn.XLOOKUP(
   $B$4&amp;" "&amp;$B24,
   Actuals!$D:$D,
   _xlfn.XLOOKUP(
      T$6,
      Actuals!$H$3:$BD$3,
      Actuals!$H:$BD
   )
)</f>
        <v>0</v>
      </c>
      <c r="U24" s="292" cm="1">
        <f t="array" ref="U24">_xlfn.XLOOKUP(
   $B$4&amp;" "&amp;$B24,
   Actuals!$D:$D,
   _xlfn.XLOOKUP(
      U$6,
      Actuals!$H$3:$BD$3,
      Actuals!$H:$BD
   )
)</f>
        <v>0</v>
      </c>
      <c r="V24" s="292" cm="1">
        <f t="array" ref="V24">_xlfn.XLOOKUP(
   $B$4&amp;" "&amp;$B24,
   Actuals!$D:$D,
   _xlfn.XLOOKUP(
      V$6,
      Actuals!$H$3:$BD$3,
      Actuals!$H:$BD
   )
)</f>
        <v>0</v>
      </c>
      <c r="W24" s="292" cm="1">
        <f t="array" ref="W24">_xlfn.XLOOKUP(
   $B$4&amp;" "&amp;$B24,
   Actuals!$D:$D,
   _xlfn.XLOOKUP(
      W$6,
      Actuals!$H$3:$BD$3,
      Actuals!$H:$BD
   )
)</f>
        <v>0</v>
      </c>
      <c r="X24" s="292" cm="1">
        <f t="array" ref="X24">_xlfn.XLOOKUP(
   $B$4&amp;" "&amp;$B24,
   Actuals!$D:$D,
   _xlfn.XLOOKUP(
      X$6,
      Actuals!$H$3:$BD$3,
      Actuals!$H:$BD
   )
)</f>
        <v>0</v>
      </c>
      <c r="Y24" s="292" cm="1">
        <f t="array" ref="Y24">_xlfn.XLOOKUP(
   $B$4&amp;" "&amp;$B24,
   Actuals!$D:$D,
   _xlfn.XLOOKUP(
      Y$6,
      Actuals!$H$3:$BD$3,
      Actuals!$H:$BD
   )
)</f>
        <v>0</v>
      </c>
      <c r="Z24" s="292" cm="1">
        <f t="array" ref="Z24">_xlfn.XLOOKUP(
   $B$4&amp;" "&amp;$B24,
   Actuals!$D:$D,
   _xlfn.XLOOKUP(
      Z$6,
      Actuals!$H$3:$BD$3,
      Actuals!$H:$BD
   )
)</f>
        <v>0</v>
      </c>
      <c r="AA24" s="292" cm="1">
        <f t="array" ref="AA24">_xlfn.XLOOKUP(
   $B$4&amp;" "&amp;$B24,
   Actuals!$D:$D,
   _xlfn.XLOOKUP(
      AA$6,
      Actuals!$H$3:$BD$3,
      Actuals!$H:$BD
   )
)</f>
        <v>0</v>
      </c>
      <c r="AB24" s="292" cm="1">
        <f t="array" ref="AB24">_xlfn.XLOOKUP(
   $B$4&amp;" "&amp;$B24,
   Actuals!$D:$D,
   _xlfn.XLOOKUP(
      AB$6,
      Actuals!$H$3:$BD$3,
      Actuals!$H:$BD
   )
)</f>
        <v>0</v>
      </c>
      <c r="AC24" s="292" cm="1">
        <f t="array" ref="AC24">_xlfn.XLOOKUP(
   $B$4&amp;" "&amp;$B24,
   Actuals!$D:$D,
   _xlfn.XLOOKUP(
      AC$6,
      Actuals!$H$3:$BD$3,
      Actuals!$H:$BD
   )
)</f>
        <v>0</v>
      </c>
      <c r="AD24" s="292" cm="1">
        <f t="array" ref="AD24">_xlfn.XLOOKUP(
   $B$4&amp;" "&amp;$B24,
   Actuals!$D:$D,
   _xlfn.XLOOKUP(
      AD$6,
      Actuals!$H$3:$BD$3,
      Actuals!$H:$BD
   )
)</f>
        <v>0</v>
      </c>
      <c r="AE24" s="292" cm="1">
        <f t="array" ref="AE24">_xlfn.XLOOKUP(
   $B$4&amp;" "&amp;$B24,
   Actuals!$D:$D,
   _xlfn.XLOOKUP(
      AE$6,
      Actuals!$H$3:$BD$3,
      Actuals!$H:$BD
   )
)</f>
        <v>0</v>
      </c>
      <c r="AF24" s="292" cm="1">
        <f t="array" ref="AF24">_xlfn.XLOOKUP(
   $B$4&amp;" "&amp;$B24,
   Actuals!$D:$D,
   _xlfn.XLOOKUP(
      AF$6,
      Actuals!$H$3:$BD$3,
      Actuals!$H:$BD
   )
)</f>
        <v>0</v>
      </c>
      <c r="AG24" s="292" cm="1">
        <f t="array" ref="AG24">_xlfn.XLOOKUP(
   $B$4&amp;" "&amp;$B24,
   Actuals!$D:$D,
   _xlfn.XLOOKUP(
      AG$6,
      Actuals!$H$3:$BD$3,
      Actuals!$H:$BD
   )
)</f>
        <v>0</v>
      </c>
      <c r="AH24" s="292" cm="1">
        <f t="array" ref="AH24">_xlfn.XLOOKUP(
   $B$4&amp;" "&amp;$B24,
   Actuals!$D:$D,
   _xlfn.XLOOKUP(
      AH$6,
      Actuals!$H$3:$BD$3,
      Actuals!$H:$BD
   )
)</f>
        <v>0</v>
      </c>
      <c r="AI24" s="292" cm="1">
        <f t="array" ref="AI24">_xlfn.XLOOKUP(
   $B$4&amp;" "&amp;$B24,
   Actuals!$D:$D,
   _xlfn.XLOOKUP(
      AI$6,
      Actuals!$H$3:$BD$3,
      Actuals!$H:$BD
   )
)</f>
        <v>0</v>
      </c>
      <c r="AJ24" s="292" cm="1">
        <f t="array" ref="AJ24">_xlfn.XLOOKUP(
   $B$4&amp;" "&amp;$B24,
   Actuals!$D:$D,
   _xlfn.XLOOKUP(
      AJ$6,
      Actuals!$H$3:$BD$3,
      Actuals!$H:$BD
   )
)</f>
        <v>0</v>
      </c>
      <c r="AK24" s="292" cm="1">
        <f t="array" ref="AK24">_xlfn.XLOOKUP(
   $B$4&amp;" "&amp;$B24,
   Actuals!$D:$D,
   _xlfn.XLOOKUP(
      AK$6,
      Actuals!$H$3:$BD$3,
      Actuals!$H:$BD
   )
)</f>
        <v>0</v>
      </c>
      <c r="AL24" s="292" cm="1">
        <f t="array" ref="AL24">_xlfn.XLOOKUP(
   $B$4&amp;" "&amp;$B24,
   Actuals!$D:$D,
   _xlfn.XLOOKUP(
      AL$6,
      Actuals!$H$3:$BD$3,
      Actuals!$H:$BD
   )
)</f>
        <v>0</v>
      </c>
      <c r="AM24" s="292" cm="1">
        <f t="array" ref="AM24">_xlfn.XLOOKUP(
   $B$4&amp;" "&amp;$B24,
   Actuals!$D:$D,
   _xlfn.XLOOKUP(
      AM$6,
      Actuals!$H$3:$BD$3,
      Actuals!$H:$BD
   )
)</f>
        <v>0</v>
      </c>
      <c r="AN24" s="292" cm="1">
        <f t="array" ref="AN24">_xlfn.XLOOKUP(
   $B$4&amp;" "&amp;$B24,
   Actuals!$D:$D,
   _xlfn.XLOOKUP(
      AN$6,
      Actuals!$H$3:$BD$3,
      Actuals!$H:$BD
   )
)</f>
        <v>0</v>
      </c>
      <c r="AO24" s="292" cm="1">
        <f t="array" ref="AO24">_xlfn.XLOOKUP(
   $B$4&amp;" "&amp;$B24,
   Actuals!$D:$D,
   _xlfn.XLOOKUP(
      AO$6,
      Actuals!$H$3:$BD$3,
      Actuals!$H:$BD
   )
)</f>
        <v>0</v>
      </c>
      <c r="AP24" s="292" cm="1">
        <f t="array" ref="AP24">_xlfn.XLOOKUP(
   $B$4&amp;" "&amp;$B24,
   Actuals!$D:$D,
   _xlfn.XLOOKUP(
      AP$6,
      Actuals!$H$3:$BD$3,
      Actuals!$H:$BD
   )
)</f>
        <v>0</v>
      </c>
      <c r="AQ24" s="292" cm="1">
        <f t="array" ref="AQ24">_xlfn.XLOOKUP(
   $B$4&amp;" "&amp;$B24,
   Actuals!$D:$D,
   _xlfn.XLOOKUP(
      AQ$6,
      Actuals!$H$3:$BD$3,
      Actuals!$H:$BD
   )
)</f>
        <v>0</v>
      </c>
      <c r="AR24" s="292" cm="1">
        <f t="array" ref="AR24">_xlfn.XLOOKUP(
   $B$4&amp;" "&amp;$B24,
   Actuals!$D:$D,
   _xlfn.XLOOKUP(
      AR$6,
      Actuals!$H$3:$BD$3,
      Actuals!$H:$BD
   )
)</f>
        <v>0</v>
      </c>
      <c r="AS24" s="292" cm="1">
        <f t="array" ref="AS24">_xlfn.XLOOKUP(
   $B$4&amp;" "&amp;$B24,
   Actuals!$D:$D,
   _xlfn.XLOOKUP(
      AS$6,
      Actuals!$H$3:$BD$3,
      Actuals!$H:$BD
   )
)</f>
        <v>0</v>
      </c>
      <c r="AT24" s="292" cm="1">
        <f t="array" ref="AT24">_xlfn.XLOOKUP(
   $B$4&amp;" "&amp;$B24,
   Actuals!$D:$D,
   _xlfn.XLOOKUP(
      AT$6,
      Actuals!$H$3:$BD$3,
      Actuals!$H:$BD
   )
)</f>
        <v>0</v>
      </c>
      <c r="AU24" s="292" cm="1">
        <f t="array" ref="AU24">_xlfn.XLOOKUP(
   $B$4&amp;" "&amp;$B24,
   Actuals!$D:$D,
   _xlfn.XLOOKUP(
      AU$6,
      Actuals!$H$3:$BD$3,
      Actuals!$H:$BD
   )
)</f>
        <v>0</v>
      </c>
      <c r="AV24" s="292" cm="1">
        <f t="array" ref="AV24">_xlfn.XLOOKUP(
   $B$4&amp;" "&amp;$B24,
   Actuals!$D:$D,
   _xlfn.XLOOKUP(
      AV$6,
      Actuals!$H$3:$BD$3,
      Actuals!$H:$BD
   )
)</f>
        <v>0</v>
      </c>
      <c r="AW24" s="292" cm="1">
        <f t="array" ref="AW24">_xlfn.XLOOKUP(
   $B$4&amp;" "&amp;$B24,
   Actuals!$D:$D,
   _xlfn.XLOOKUP(
      AW$6,
      Actuals!$H$3:$BD$3,
      Actuals!$H:$BD
   )
)</f>
        <v>0</v>
      </c>
      <c r="AX24" s="292" cm="1">
        <f t="array" ref="AX24">_xlfn.XLOOKUP(
   $B$4&amp;" "&amp;$B24,
   Actuals!$D:$D,
   _xlfn.XLOOKUP(
      AX$6,
      Actuals!$H$3:$BD$3,
      Actuals!$H:$BD
   )
)</f>
        <v>0</v>
      </c>
      <c r="AY24" s="292" cm="1">
        <f t="array" ref="AY24">_xlfn.XLOOKUP(
   $B$4&amp;" "&amp;$B24,
   Actuals!$D:$D,
   _xlfn.XLOOKUP(
      AY$6,
      Actuals!$H$3:$BD$3,
      Actuals!$H:$BD
   )
)</f>
        <v>0</v>
      </c>
      <c r="AZ24" s="292" cm="1">
        <f t="array" ref="AZ24">_xlfn.XLOOKUP(
   $B$4&amp;" "&amp;$B24,
   Actuals!$D:$D,
   _xlfn.XLOOKUP(
      AZ$6,
      Actuals!$H$3:$BD$3,
      Actuals!$H:$BD
   )
)</f>
        <v>0</v>
      </c>
      <c r="BA24" s="292"/>
      <c r="BB24" s="292" cm="1">
        <f t="array" ref="BB24">_xlfn.XLOOKUP(
   $B$4&amp;" "&amp;$B24,
   Actuals!$D:$D,
   _xlfn.XLOOKUP(
      BB$7,
      Actuals!$H$3:$BM$3,
      Actuals!$H:$BM
   )
)</f>
        <v>0</v>
      </c>
      <c r="BC24" s="292">
        <f>VLOOKUP($B$4&amp;" "&amp;$B24,Budget!$AG$4:$AL$132,$BB$5+1,FALSE)</f>
        <v>0</v>
      </c>
      <c r="BD24" s="292">
        <f>BB24-BC24</f>
        <v>0</v>
      </c>
      <c r="BE24" s="292"/>
      <c r="BF24" s="292" cm="1">
        <f t="array" ref="BF24">_xlfn.XLOOKUP(
   $B$4&amp;" "&amp;$B24,
   Actuals!$D:$D,
   _xlfn.XLOOKUP(
      BF$7,
      Actuals!$H$3:$BM$3,
      Actuals!$H:$BM
   )
)</f>
        <v>0</v>
      </c>
      <c r="BG24" s="292">
        <f>VLOOKUP($B$4&amp;" "&amp;$B24,Budget!$AG$4:$AL$132,BF$5+1,FALSE)</f>
        <v>0</v>
      </c>
      <c r="BH24" s="292">
        <f>BF24-BG24</f>
        <v>0</v>
      </c>
      <c r="BI24" s="292"/>
      <c r="BJ24" s="292" cm="1">
        <f t="array" ref="BJ24">_xlfn.XLOOKUP(
   $B$4&amp;" "&amp;$B24,
   Actuals!$D:$D,
   _xlfn.XLOOKUP(
      BJ$7,
      Actuals!$H$3:$BM$3,
      Actuals!$H:$BM
   )
)</f>
        <v>0</v>
      </c>
      <c r="BK24" s="292">
        <f>VLOOKUP($B$4&amp;" "&amp;$B24,Budget!$AG$4:$AL$132,BJ$5+1,FALSE)</f>
        <v>0</v>
      </c>
      <c r="BL24" s="292">
        <f>BJ24-BK24</f>
        <v>0</v>
      </c>
      <c r="BM24" s="292"/>
      <c r="BN24" s="292" cm="1">
        <f t="array" ref="BN24">_xlfn.XLOOKUP(
   $B$4&amp;" "&amp;$B24,
   Actuals!$D:$D,
   _xlfn.XLOOKUP(
      BN$7,
      Actuals!$H$3:$BM$3,
      Actuals!$H:$BM
   )
)</f>
        <v>0</v>
      </c>
      <c r="BO24" s="292">
        <f>VLOOKUP($B$4&amp;" "&amp;$B24,Budget!$AG$4:$AL$132,BN$5+1,FALSE)</f>
        <v>0</v>
      </c>
      <c r="BP24" s="292"/>
      <c r="BQ24" s="292"/>
      <c r="BR24" s="292" cm="1">
        <f t="array" aca="1" ref="BR24" ca="1">_xlfn.XLOOKUP(
   $B$4&amp;" "&amp;$B24,
   Actuals!$D:$D,
   _xlfn.XLOOKUP(
      BR$6,
      Actuals!$H$3:$BM$3,
      Actuals!$H:$BM
   )
)</f>
        <v>0</v>
      </c>
      <c r="BS24" s="292">
        <f ca="1">VLOOKUP($B$4&amp;" "&amp;$B24,Budget!$AG$4:$AL$132,6,FALSE)</f>
        <v>0</v>
      </c>
      <c r="BT24" s="292">
        <f ca="1">BR24-BS24</f>
        <v>0</v>
      </c>
      <c r="BU24" s="292"/>
      <c r="BV24" s="292" cm="1">
        <f t="array" ref="BV24">_xlfn.XLOOKUP(
   $B$4&amp;" "&amp;$B24,
   Actuals!$D:$D,
   _xlfn.XLOOKUP(
      BV$6,
      Actuals!$H$3:$BM$3,
      Actuals!$H:$BM
   )
)</f>
        <v>0</v>
      </c>
    </row>
    <row r="25" spans="1:74">
      <c r="A25" s="26"/>
      <c r="B25" s="131" t="s">
        <v>182</v>
      </c>
      <c r="C25" s="139" t="s">
        <v>49</v>
      </c>
      <c r="D25" s="171" t="str">
        <f>VLOOKUP($B$4&amp;" "&amp;$B25,Actuals!$D$4:$AG$131,3,FALSE)</f>
        <v>#</v>
      </c>
      <c r="E25" s="168" cm="1">
        <f t="array" ref="E25">_xlfn.XLOOKUP(
   $B$4&amp;" "&amp;$B25,
   Actuals!$D:$D,
   _xlfn.XLOOKUP(
      E$6,
      Actuals!$H$3:$BD$3,
      Actuals!$H:$BD
   )
)</f>
        <v>12</v>
      </c>
      <c r="F25" s="168" cm="1">
        <f t="array" ref="F25">_xlfn.XLOOKUP(
   $B$4&amp;" "&amp;$B25,
   Actuals!$D:$D,
   _xlfn.XLOOKUP(
      F$6,
      Actuals!$H$3:$BD$3,
      Actuals!$H:$BD
   )
)</f>
        <v>7</v>
      </c>
      <c r="G25" s="168" cm="1">
        <f t="array" ref="G25">_xlfn.XLOOKUP(
   $B$4&amp;" "&amp;$B25,
   Actuals!$D:$D,
   _xlfn.XLOOKUP(
      G$6,
      Actuals!$H$3:$BD$3,
      Actuals!$H:$BD
   )
)</f>
        <v>4</v>
      </c>
      <c r="H25" s="168" cm="1">
        <f t="array" ref="H25">_xlfn.XLOOKUP(
   $B$4&amp;" "&amp;$B25,
   Actuals!$D:$D,
   _xlfn.XLOOKUP(
      H$6,
      Actuals!$H$3:$BD$3,
      Actuals!$H:$BD
   )
)</f>
        <v>3</v>
      </c>
      <c r="I25" s="168" cm="1">
        <f t="array" ref="I25">_xlfn.XLOOKUP(
   $B$4&amp;" "&amp;$B25,
   Actuals!$D:$D,
   _xlfn.XLOOKUP(
      I$6,
      Actuals!$H$3:$BD$3,
      Actuals!$H:$BD
   )
)</f>
        <v>6</v>
      </c>
      <c r="J25" s="168" cm="1">
        <f t="array" ref="J25">_xlfn.XLOOKUP(
   $B$4&amp;" "&amp;$B25,
   Actuals!$D:$D,
   _xlfn.XLOOKUP(
      J$6,
      Actuals!$H$3:$BD$3,
      Actuals!$H:$BD
   )
)</f>
        <v>6</v>
      </c>
      <c r="K25" s="168" cm="1">
        <f t="array" ref="K25">_xlfn.XLOOKUP(
   $B$4&amp;" "&amp;$B25,
   Actuals!$D:$D,
   _xlfn.XLOOKUP(
      K$6,
      Actuals!$H$3:$BD$3,
      Actuals!$H:$BD
   )
)</f>
        <v>2</v>
      </c>
      <c r="L25" s="168" cm="1">
        <f t="array" ref="L25">_xlfn.XLOOKUP(
   $B$4&amp;" "&amp;$B25,
   Actuals!$D:$D,
   _xlfn.XLOOKUP(
      L$6,
      Actuals!$H$3:$BD$3,
      Actuals!$H:$BD
   )
)</f>
        <v>1</v>
      </c>
      <c r="M25" s="168" cm="1">
        <f t="array" ref="M25">_xlfn.XLOOKUP(
   $B$4&amp;" "&amp;$B25,
   Actuals!$D:$D,
   _xlfn.XLOOKUP(
      M$6,
      Actuals!$H$3:$BD$3,
      Actuals!$H:$BD
   )
)</f>
        <v>6</v>
      </c>
      <c r="N25" s="168" cm="1">
        <f t="array" ref="N25">_xlfn.XLOOKUP(
   $B$4&amp;" "&amp;$B25,
   Actuals!$D:$D,
   _xlfn.XLOOKUP(
      N$6,
      Actuals!$H$3:$BD$3,
      Actuals!$H:$BD
   )
)</f>
        <v>5</v>
      </c>
      <c r="O25" s="292" cm="1">
        <f t="array" ref="O25">_xlfn.XLOOKUP(
   $B$4&amp;" "&amp;$B25,
   Actuals!$D:$D,
   _xlfn.XLOOKUP(
      O$6,
      Actuals!$H$3:$BD$3,
      Actuals!$H:$BD
   )
)</f>
        <v>0</v>
      </c>
      <c r="P25" s="292" cm="1">
        <f t="array" ref="P25">_xlfn.XLOOKUP(
   $B$4&amp;" "&amp;$B25,
   Actuals!$D:$D,
   _xlfn.XLOOKUP(
      P$6,
      Actuals!$H$3:$BD$3,
      Actuals!$H:$BD
   )
)</f>
        <v>0</v>
      </c>
      <c r="Q25" s="292" cm="1">
        <f t="array" ref="Q25">_xlfn.XLOOKUP(
   $B$4&amp;" "&amp;$B25,
   Actuals!$D:$D,
   _xlfn.XLOOKUP(
      Q$6,
      Actuals!$H$3:$BD$3,
      Actuals!$H:$BD
   )
)</f>
        <v>0</v>
      </c>
      <c r="R25" s="292" cm="1">
        <f t="array" ref="R25">_xlfn.XLOOKUP(
   $B$4&amp;" "&amp;$B25,
   Actuals!$D:$D,
   _xlfn.XLOOKUP(
      R$6,
      Actuals!$H$3:$BD$3,
      Actuals!$H:$BD
   )
)</f>
        <v>0</v>
      </c>
      <c r="S25" s="292" cm="1">
        <f t="array" ref="S25">_xlfn.XLOOKUP(
   $B$4&amp;" "&amp;$B25,
   Actuals!$D:$D,
   _xlfn.XLOOKUP(
      S$6,
      Actuals!$H$3:$BD$3,
      Actuals!$H:$BD
   )
)</f>
        <v>0</v>
      </c>
      <c r="T25" s="292" cm="1">
        <f t="array" ref="T25">_xlfn.XLOOKUP(
   $B$4&amp;" "&amp;$B25,
   Actuals!$D:$D,
   _xlfn.XLOOKUP(
      T$6,
      Actuals!$H$3:$BD$3,
      Actuals!$H:$BD
   )
)</f>
        <v>0</v>
      </c>
      <c r="U25" s="292" cm="1">
        <f t="array" ref="U25">_xlfn.XLOOKUP(
   $B$4&amp;" "&amp;$B25,
   Actuals!$D:$D,
   _xlfn.XLOOKUP(
      U$6,
      Actuals!$H$3:$BD$3,
      Actuals!$H:$BD
   )
)</f>
        <v>0</v>
      </c>
      <c r="V25" s="292" cm="1">
        <f t="array" ref="V25">_xlfn.XLOOKUP(
   $B$4&amp;" "&amp;$B25,
   Actuals!$D:$D,
   _xlfn.XLOOKUP(
      V$6,
      Actuals!$H$3:$BD$3,
      Actuals!$H:$BD
   )
)</f>
        <v>0</v>
      </c>
      <c r="W25" s="292" cm="1">
        <f t="array" ref="W25">_xlfn.XLOOKUP(
   $B$4&amp;" "&amp;$B25,
   Actuals!$D:$D,
   _xlfn.XLOOKUP(
      W$6,
      Actuals!$H$3:$BD$3,
      Actuals!$H:$BD
   )
)</f>
        <v>0</v>
      </c>
      <c r="X25" s="292" cm="1">
        <f t="array" ref="X25">_xlfn.XLOOKUP(
   $B$4&amp;" "&amp;$B25,
   Actuals!$D:$D,
   _xlfn.XLOOKUP(
      X$6,
      Actuals!$H$3:$BD$3,
      Actuals!$H:$BD
   )
)</f>
        <v>0</v>
      </c>
      <c r="Y25" s="292" cm="1">
        <f t="array" ref="Y25">_xlfn.XLOOKUP(
   $B$4&amp;" "&amp;$B25,
   Actuals!$D:$D,
   _xlfn.XLOOKUP(
      Y$6,
      Actuals!$H$3:$BD$3,
      Actuals!$H:$BD
   )
)</f>
        <v>0</v>
      </c>
      <c r="Z25" s="292" cm="1">
        <f t="array" ref="Z25">_xlfn.XLOOKUP(
   $B$4&amp;" "&amp;$B25,
   Actuals!$D:$D,
   _xlfn.XLOOKUP(
      Z$6,
      Actuals!$H$3:$BD$3,
      Actuals!$H:$BD
   )
)</f>
        <v>0</v>
      </c>
      <c r="AA25" s="292" cm="1">
        <f t="array" ref="AA25">_xlfn.XLOOKUP(
   $B$4&amp;" "&amp;$B25,
   Actuals!$D:$D,
   _xlfn.XLOOKUP(
      AA$6,
      Actuals!$H$3:$BD$3,
      Actuals!$H:$BD
   )
)</f>
        <v>0</v>
      </c>
      <c r="AB25" s="292" cm="1">
        <f t="array" ref="AB25">_xlfn.XLOOKUP(
   $B$4&amp;" "&amp;$B25,
   Actuals!$D:$D,
   _xlfn.XLOOKUP(
      AB$6,
      Actuals!$H$3:$BD$3,
      Actuals!$H:$BD
   )
)</f>
        <v>0</v>
      </c>
      <c r="AC25" s="292" cm="1">
        <f t="array" ref="AC25">_xlfn.XLOOKUP(
   $B$4&amp;" "&amp;$B25,
   Actuals!$D:$D,
   _xlfn.XLOOKUP(
      AC$6,
      Actuals!$H$3:$BD$3,
      Actuals!$H:$BD
   )
)</f>
        <v>4</v>
      </c>
      <c r="AD25" s="292" cm="1">
        <f t="array" ref="AD25">_xlfn.XLOOKUP(
   $B$4&amp;" "&amp;$B25,
   Actuals!$D:$D,
   _xlfn.XLOOKUP(
      AD$6,
      Actuals!$H$3:$BD$3,
      Actuals!$H:$BD
   )
)</f>
        <v>2</v>
      </c>
      <c r="AE25" s="292" cm="1">
        <f t="array" ref="AE25">_xlfn.XLOOKUP(
   $B$4&amp;" "&amp;$B25,
   Actuals!$D:$D,
   _xlfn.XLOOKUP(
      AE$6,
      Actuals!$H$3:$BD$3,
      Actuals!$H:$BD
   )
)</f>
        <v>1</v>
      </c>
      <c r="AF25" s="292" cm="1">
        <f t="array" ref="AF25">_xlfn.XLOOKUP(
   $B$4&amp;" "&amp;$B25,
   Actuals!$D:$D,
   _xlfn.XLOOKUP(
      AF$6,
      Actuals!$H$3:$BD$3,
      Actuals!$H:$BD
   )
)</f>
        <v>4</v>
      </c>
      <c r="AG25" s="292" cm="1">
        <f t="array" ref="AG25">_xlfn.XLOOKUP(
   $B$4&amp;" "&amp;$B25,
   Actuals!$D:$D,
   _xlfn.XLOOKUP(
      AG$6,
      Actuals!$H$3:$BD$3,
      Actuals!$H:$BD
   )
)</f>
        <v>2</v>
      </c>
      <c r="AH25" s="292" cm="1">
        <f t="array" ref="AH25">_xlfn.XLOOKUP(
   $B$4&amp;" "&amp;$B25,
   Actuals!$D:$D,
   _xlfn.XLOOKUP(
      AH$6,
      Actuals!$H$3:$BD$3,
      Actuals!$H:$BD
   )
)</f>
        <v>1</v>
      </c>
      <c r="AI25" s="292" cm="1">
        <f t="array" ref="AI25">_xlfn.XLOOKUP(
   $B$4&amp;" "&amp;$B25,
   Actuals!$D:$D,
   _xlfn.XLOOKUP(
      AI$6,
      Actuals!$H$3:$BD$3,
      Actuals!$H:$BD
   )
)</f>
        <v>2</v>
      </c>
      <c r="AJ25" s="292" cm="1">
        <f t="array" ref="AJ25">_xlfn.XLOOKUP(
   $B$4&amp;" "&amp;$B25,
   Actuals!$D:$D,
   _xlfn.XLOOKUP(
      AJ$6,
      Actuals!$H$3:$BD$3,
      Actuals!$H:$BD
   )
)</f>
        <v>3</v>
      </c>
      <c r="AK25" s="292" cm="1">
        <f t="array" ref="AK25">_xlfn.XLOOKUP(
   $B$4&amp;" "&amp;$B25,
   Actuals!$D:$D,
   _xlfn.XLOOKUP(
      AK$6,
      Actuals!$H$3:$BD$3,
      Actuals!$H:$BD
   )
)</f>
        <v>3</v>
      </c>
      <c r="AL25" s="292" cm="1">
        <f t="array" ref="AL25">_xlfn.XLOOKUP(
   $B$4&amp;" "&amp;$B25,
   Actuals!$D:$D,
   _xlfn.XLOOKUP(
      AL$6,
      Actuals!$H$3:$BD$3,
      Actuals!$H:$BD
   )
)</f>
        <v>7</v>
      </c>
      <c r="AM25" s="292" cm="1">
        <f t="array" ref="AM25">_xlfn.XLOOKUP(
   $B$4&amp;" "&amp;$B25,
   Actuals!$D:$D,
   _xlfn.XLOOKUP(
      AM$6,
      Actuals!$H$3:$BD$3,
      Actuals!$H:$BD
   )
)</f>
        <v>1</v>
      </c>
      <c r="AN25" s="292" cm="1">
        <f t="array" ref="AN25">_xlfn.XLOOKUP(
   $B$4&amp;" "&amp;$B25,
   Actuals!$D:$D,
   _xlfn.XLOOKUP(
      AN$6,
      Actuals!$H$3:$BD$3,
      Actuals!$H:$BD
   )
)</f>
        <v>1</v>
      </c>
      <c r="AO25" s="292" cm="1">
        <f t="array" ref="AO25">_xlfn.XLOOKUP(
   $B$4&amp;" "&amp;$B25,
   Actuals!$D:$D,
   _xlfn.XLOOKUP(
      AO$6,
      Actuals!$H$3:$BD$3,
      Actuals!$H:$BD
   )
)</f>
        <v>0</v>
      </c>
      <c r="AP25" s="292" cm="1">
        <f t="array" ref="AP25">_xlfn.XLOOKUP(
   $B$4&amp;" "&amp;$B25,
   Actuals!$D:$D,
   _xlfn.XLOOKUP(
      AP$6,
      Actuals!$H$3:$BD$3,
      Actuals!$H:$BD
   )
)</f>
        <v>0</v>
      </c>
      <c r="AQ25" s="292" cm="1">
        <f t="array" ref="AQ25">_xlfn.XLOOKUP(
   $B$4&amp;" "&amp;$B25,
   Actuals!$D:$D,
   _xlfn.XLOOKUP(
      AQ$6,
      Actuals!$H$3:$BD$3,
      Actuals!$H:$BD
   )
)</f>
        <v>0</v>
      </c>
      <c r="AR25" s="292" cm="1">
        <f t="array" ref="AR25">_xlfn.XLOOKUP(
   $B$4&amp;" "&amp;$B25,
   Actuals!$D:$D,
   _xlfn.XLOOKUP(
      AR$6,
      Actuals!$H$3:$BD$3,
      Actuals!$H:$BD
   )
)</f>
        <v>0</v>
      </c>
      <c r="AS25" s="292" cm="1">
        <f t="array" ref="AS25">_xlfn.XLOOKUP(
   $B$4&amp;" "&amp;$B25,
   Actuals!$D:$D,
   _xlfn.XLOOKUP(
      AS$6,
      Actuals!$H$3:$BD$3,
      Actuals!$H:$BD
   )
)</f>
        <v>0</v>
      </c>
      <c r="AT25" s="292" cm="1">
        <f t="array" ref="AT25">_xlfn.XLOOKUP(
   $B$4&amp;" "&amp;$B25,
   Actuals!$D:$D,
   _xlfn.XLOOKUP(
      AT$6,
      Actuals!$H$3:$BD$3,
      Actuals!$H:$BD
   )
)</f>
        <v>0</v>
      </c>
      <c r="AU25" s="292" cm="1">
        <f t="array" ref="AU25">_xlfn.XLOOKUP(
   $B$4&amp;" "&amp;$B25,
   Actuals!$D:$D,
   _xlfn.XLOOKUP(
      AU$6,
      Actuals!$H$3:$BD$3,
      Actuals!$H:$BD
   )
)</f>
        <v>0</v>
      </c>
      <c r="AV25" s="292" cm="1">
        <f t="array" ref="AV25">_xlfn.XLOOKUP(
   $B$4&amp;" "&amp;$B25,
   Actuals!$D:$D,
   _xlfn.XLOOKUP(
      AV$6,
      Actuals!$H$3:$BD$3,
      Actuals!$H:$BD
   )
)</f>
        <v>0</v>
      </c>
      <c r="AW25" s="292" cm="1">
        <f t="array" ref="AW25">_xlfn.XLOOKUP(
   $B$4&amp;" "&amp;$B25,
   Actuals!$D:$D,
   _xlfn.XLOOKUP(
      AW$6,
      Actuals!$H$3:$BD$3,
      Actuals!$H:$BD
   )
)</f>
        <v>0</v>
      </c>
      <c r="AX25" s="292" cm="1">
        <f t="array" ref="AX25">_xlfn.XLOOKUP(
   $B$4&amp;" "&amp;$B25,
   Actuals!$D:$D,
   _xlfn.XLOOKUP(
      AX$6,
      Actuals!$H$3:$BD$3,
      Actuals!$H:$BD
   )
)</f>
        <v>0</v>
      </c>
      <c r="AY25" s="292" cm="1">
        <f t="array" ref="AY25">_xlfn.XLOOKUP(
   $B$4&amp;" "&amp;$B25,
   Actuals!$D:$D,
   _xlfn.XLOOKUP(
      AY$6,
      Actuals!$H$3:$BD$3,
      Actuals!$H:$BD
   )
)</f>
        <v>0</v>
      </c>
      <c r="AZ25" s="292" cm="1">
        <f t="array" ref="AZ25">_xlfn.XLOOKUP(
   $B$4&amp;" "&amp;$B25,
   Actuals!$D:$D,
   _xlfn.XLOOKUP(
      AZ$6,
      Actuals!$H$3:$BD$3,
      Actuals!$H:$BD
   )
)</f>
        <v>0</v>
      </c>
      <c r="BA25" s="292"/>
      <c r="BB25" s="292" cm="1">
        <f t="array" ref="BB25">_xlfn.XLOOKUP(
   $B$4&amp;" "&amp;$B25,
   Actuals!$D:$D,
   _xlfn.XLOOKUP(
      BB$7,
      Actuals!$H$3:$BM$3,
      Actuals!$H:$BM
   )
)</f>
        <v>0</v>
      </c>
      <c r="BC25" s="292">
        <f>VLOOKUP($B$4&amp;" "&amp;$B25,Budget!$AG$4:$AL$132,$BB$5+1,FALSE)</f>
        <v>0</v>
      </c>
      <c r="BD25" s="292">
        <f>BB25-BC25</f>
        <v>0</v>
      </c>
      <c r="BE25" s="292"/>
      <c r="BF25" s="292" cm="1">
        <f t="array" ref="BF25">_xlfn.XLOOKUP(
   $B$4&amp;" "&amp;$B25,
   Actuals!$D:$D,
   _xlfn.XLOOKUP(
      BF$7,
      Actuals!$H$3:$BM$3,
      Actuals!$H:$BM
   )
)</f>
        <v>0</v>
      </c>
      <c r="BG25" s="292">
        <f>VLOOKUP($B$4&amp;" "&amp;$B25,Budget!$AG$4:$AL$132,BF$5+1,FALSE)</f>
        <v>0</v>
      </c>
      <c r="BH25" s="292">
        <f>BF25-BG25</f>
        <v>0</v>
      </c>
      <c r="BI25" s="292"/>
      <c r="BJ25" s="292" cm="1">
        <f t="array" ref="BJ25">_xlfn.XLOOKUP(
   $B$4&amp;" "&amp;$B25,
   Actuals!$D:$D,
   _xlfn.XLOOKUP(
      BJ$7,
      Actuals!$H$3:$BM$3,
      Actuals!$H:$BM
   )
)</f>
        <v>0</v>
      </c>
      <c r="BK25" s="292">
        <f>VLOOKUP($B$4&amp;" "&amp;$B25,Budget!$AG$4:$AL$132,BJ$5+1,FALSE)</f>
        <v>0</v>
      </c>
      <c r="BL25" s="292">
        <f>BJ25-BK25</f>
        <v>0</v>
      </c>
      <c r="BM25" s="292"/>
      <c r="BN25" s="292" cm="1">
        <f t="array" ref="BN25">_xlfn.XLOOKUP(
   $B$4&amp;" "&amp;$B25,
   Actuals!$D:$D,
   _xlfn.XLOOKUP(
      BN$7,
      Actuals!$H$3:$BM$3,
      Actuals!$H:$BM
   )
)</f>
        <v>0</v>
      </c>
      <c r="BO25" s="292">
        <f>VLOOKUP($B$4&amp;" "&amp;$B25,Budget!$AG$4:$AL$132,BN$5+1,FALSE)</f>
        <v>0</v>
      </c>
      <c r="BP25" s="292"/>
      <c r="BQ25" s="292"/>
      <c r="BR25" s="292" cm="1">
        <f t="array" aca="1" ref="BR25" ca="1">_xlfn.XLOOKUP(
   $B$4&amp;" "&amp;$B25,
   Actuals!$D:$D,
   _xlfn.XLOOKUP(
      BR$6,
      Actuals!$H$3:$BM$3,
      Actuals!$H:$BM
   )
)</f>
        <v>0</v>
      </c>
      <c r="BS25" s="292">
        <f ca="1">VLOOKUP($B$4&amp;" "&amp;$B25,Budget!$AG$4:$AL$132,6,FALSE)</f>
        <v>0</v>
      </c>
      <c r="BT25" s="292">
        <f ca="1">BR25-BS25</f>
        <v>0</v>
      </c>
      <c r="BU25" s="292"/>
      <c r="BV25" s="292" cm="1">
        <f t="array" ref="BV25">_xlfn.XLOOKUP(
   $B$4&amp;" "&amp;$B25,
   Actuals!$D:$D,
   _xlfn.XLOOKUP(
      BV$6,
      Actuals!$H$3:$BM$3,
      Actuals!$H:$BM
   )
)</f>
        <v>27</v>
      </c>
    </row>
    <row r="26" spans="1:74">
      <c r="A26" s="26"/>
      <c r="B26" s="131"/>
      <c r="C26" s="139"/>
      <c r="D26" s="171"/>
      <c r="O26" s="285"/>
      <c r="P26" s="285"/>
      <c r="Q26" s="285"/>
      <c r="R26" s="285"/>
      <c r="S26" s="285"/>
      <c r="T26" s="285"/>
      <c r="U26" s="285"/>
      <c r="V26" s="285"/>
      <c r="W26" s="285"/>
      <c r="X26" s="285"/>
      <c r="Y26" s="285"/>
      <c r="Z26" s="285"/>
      <c r="AA26" s="285"/>
      <c r="AB26" s="285"/>
      <c r="AC26" s="285"/>
      <c r="AD26" s="285"/>
      <c r="AE26" s="285"/>
      <c r="AF26" s="285"/>
      <c r="AG26" s="285"/>
      <c r="AH26" s="285"/>
      <c r="AI26" s="285"/>
      <c r="AJ26" s="285"/>
      <c r="AK26" s="285"/>
      <c r="AL26" s="285"/>
      <c r="AM26" s="285"/>
      <c r="AN26" s="285"/>
      <c r="AO26" s="285"/>
      <c r="AP26" s="285"/>
      <c r="AQ26" s="285"/>
      <c r="AR26" s="285"/>
      <c r="AS26" s="285"/>
      <c r="AT26" s="285"/>
      <c r="AU26" s="285"/>
      <c r="AV26" s="285"/>
      <c r="AW26" s="285"/>
      <c r="AX26" s="285"/>
      <c r="AY26" s="285"/>
      <c r="AZ26" s="285"/>
      <c r="BA26" s="285"/>
      <c r="BB26" s="285"/>
      <c r="BC26" s="285"/>
      <c r="BD26" s="285"/>
      <c r="BE26" s="285"/>
      <c r="BF26" s="285"/>
      <c r="BG26" s="285"/>
      <c r="BH26" s="285"/>
      <c r="BI26" s="285"/>
      <c r="BJ26" s="285"/>
      <c r="BK26" s="285"/>
      <c r="BL26" s="285"/>
      <c r="BM26" s="285"/>
      <c r="BN26" s="285"/>
      <c r="BO26" s="285"/>
      <c r="BP26" s="285"/>
      <c r="BQ26" s="285"/>
      <c r="BR26" s="285"/>
      <c r="BS26" s="285"/>
      <c r="BT26" s="285"/>
      <c r="BU26" s="285"/>
    </row>
    <row r="27" spans="1:74" ht="13">
      <c r="A27" s="26"/>
      <c r="B27" s="126" t="s">
        <v>183</v>
      </c>
      <c r="C27" s="138"/>
      <c r="D27" s="174"/>
      <c r="E27" s="127"/>
      <c r="F27" s="127"/>
      <c r="G27" s="127"/>
      <c r="H27" s="127"/>
      <c r="I27" s="127"/>
      <c r="J27" s="127"/>
      <c r="K27" s="127"/>
      <c r="L27" s="127"/>
      <c r="M27" s="127"/>
      <c r="N27" s="127"/>
      <c r="O27" s="321"/>
      <c r="P27" s="321"/>
      <c r="Q27" s="321"/>
      <c r="R27" s="321"/>
      <c r="S27" s="321"/>
      <c r="T27" s="321"/>
      <c r="U27" s="321"/>
      <c r="V27" s="321"/>
      <c r="W27" s="321"/>
      <c r="X27" s="321"/>
      <c r="Y27" s="321"/>
      <c r="Z27" s="321"/>
      <c r="AA27" s="321"/>
      <c r="AB27" s="321"/>
      <c r="AC27" s="321"/>
      <c r="AD27" s="321"/>
      <c r="AE27" s="321"/>
      <c r="AF27" s="321"/>
      <c r="AG27" s="321"/>
      <c r="AH27" s="321"/>
      <c r="AI27" s="321"/>
      <c r="AJ27" s="321"/>
      <c r="AK27" s="321"/>
      <c r="AL27" s="321"/>
      <c r="AM27" s="321"/>
      <c r="AN27" s="321"/>
      <c r="AO27" s="321"/>
      <c r="AP27" s="321"/>
      <c r="AQ27" s="321"/>
      <c r="AR27" s="321"/>
      <c r="AS27" s="321"/>
      <c r="AT27" s="321"/>
      <c r="AU27" s="321"/>
      <c r="AV27" s="321"/>
      <c r="AW27" s="321"/>
      <c r="AX27" s="321"/>
      <c r="AY27" s="321"/>
      <c r="AZ27" s="321"/>
      <c r="BA27" s="321"/>
      <c r="BB27" s="321"/>
      <c r="BC27" s="321"/>
      <c r="BD27" s="321"/>
      <c r="BE27" s="321"/>
      <c r="BF27" s="321"/>
      <c r="BG27" s="321"/>
      <c r="BH27" s="321"/>
      <c r="BI27" s="321"/>
      <c r="BJ27" s="321"/>
      <c r="BK27" s="321"/>
      <c r="BL27" s="321"/>
      <c r="BM27" s="321"/>
      <c r="BN27" s="321"/>
      <c r="BO27" s="321"/>
      <c r="BP27" s="321"/>
      <c r="BQ27" s="321"/>
      <c r="BR27" s="321"/>
      <c r="BS27" s="321"/>
      <c r="BT27" s="321"/>
      <c r="BU27" s="321"/>
      <c r="BV27" s="321"/>
    </row>
    <row r="28" spans="1:74">
      <c r="A28" s="26"/>
      <c r="B28" s="26" t="s">
        <v>184</v>
      </c>
      <c r="C28" s="139" t="s">
        <v>47</v>
      </c>
      <c r="D28" s="171" t="str">
        <f>VLOOKUP($B$4&amp;" "&amp;$B28,Actuals!$D$4:$AG$131,3,FALSE)</f>
        <v>#</v>
      </c>
      <c r="E28" s="220" cm="1">
        <f t="array" ref="E28">_xlfn.XLOOKUP(
   $B$4&amp;" "&amp;$B28,
   Actuals!$D:$D,
   _xlfn.XLOOKUP(
      E$6,
      Actuals!$H$3:$BD$3,
      Actuals!$H:$BD
   )
)</f>
        <v>973600</v>
      </c>
      <c r="F28" s="220" cm="1">
        <f t="array" ref="F28">_xlfn.XLOOKUP(
   $B$4&amp;" "&amp;$B28,
   Actuals!$D:$D,
   _xlfn.XLOOKUP(
      F$6,
      Actuals!$H$3:$BD$3,
      Actuals!$H:$BD
   )
)</f>
        <v>1471860</v>
      </c>
      <c r="G28" s="220" cm="1">
        <f t="array" ref="G28">_xlfn.XLOOKUP(
   $B$4&amp;" "&amp;$B28,
   Actuals!$D:$D,
   _xlfn.XLOOKUP(
      G$6,
      Actuals!$H$3:$BD$3,
      Actuals!$H:$BD
   )
)</f>
        <v>558879</v>
      </c>
      <c r="H28" s="220" cm="1">
        <f t="array" ref="H28">_xlfn.XLOOKUP(
   $B$4&amp;" "&amp;$B28,
   Actuals!$D:$D,
   _xlfn.XLOOKUP(
      H$6,
      Actuals!$H$3:$BD$3,
      Actuals!$H:$BD
   )
)</f>
        <v>125000</v>
      </c>
      <c r="I28" s="220" cm="1">
        <f t="array" ref="I28">_xlfn.XLOOKUP(
   $B$4&amp;" "&amp;$B28,
   Actuals!$D:$D,
   _xlfn.XLOOKUP(
      I$6,
      Actuals!$H$3:$BD$3,
      Actuals!$H:$BD
   )
)</f>
        <v>440450</v>
      </c>
      <c r="J28" s="220" cm="1">
        <f t="array" ref="J28">_xlfn.XLOOKUP(
   $B$4&amp;" "&amp;$B28,
   Actuals!$D:$D,
   _xlfn.XLOOKUP(
      J$6,
      Actuals!$H$3:$BD$3,
      Actuals!$H:$BD
   )
)</f>
        <v>764880</v>
      </c>
      <c r="K28" s="220" cm="1">
        <f t="array" ref="K28">_xlfn.XLOOKUP(
   $B$4&amp;" "&amp;$B28,
   Actuals!$D:$D,
   _xlfn.XLOOKUP(
      K$6,
      Actuals!$H$3:$BD$3,
      Actuals!$H:$BD
   )
)</f>
        <v>234053</v>
      </c>
      <c r="L28" s="220" cm="1">
        <f t="array" ref="L28">_xlfn.XLOOKUP(
   $B$4&amp;" "&amp;$B28,
   Actuals!$D:$D,
   _xlfn.XLOOKUP(
      L$6,
      Actuals!$H$3:$BD$3,
      Actuals!$H:$BD
   )
)</f>
        <v>104923</v>
      </c>
      <c r="M28" s="220" cm="1">
        <f t="array" ref="M28">_xlfn.XLOOKUP(
   $B$4&amp;" "&amp;$B28,
   Actuals!$D:$D,
   _xlfn.XLOOKUP(
      M$6,
      Actuals!$H$3:$BD$3,
      Actuals!$H:$BD
   )
)</f>
        <v>527397</v>
      </c>
      <c r="N28" s="220" cm="1">
        <f t="array" ref="N28">_xlfn.XLOOKUP(
   $B$4&amp;" "&amp;$B28,
   Actuals!$D:$D,
   _xlfn.XLOOKUP(
      N$6,
      Actuals!$H$3:$BD$3,
      Actuals!$H:$BD
   )
)</f>
        <v>396188</v>
      </c>
      <c r="O28" s="220" cm="1">
        <f t="array" ref="O28">_xlfn.XLOOKUP(
   $B$4&amp;" "&amp;$B28,
   Actuals!$D:$D,
   _xlfn.XLOOKUP(
      O$6,
      Actuals!$H$3:$BD$3,
      Actuals!$H:$BD
   )
)</f>
        <v>0</v>
      </c>
      <c r="P28" s="220" cm="1">
        <f t="array" ref="P28">_xlfn.XLOOKUP(
   $B$4&amp;" "&amp;$B28,
   Actuals!$D:$D,
   _xlfn.XLOOKUP(
      P$6,
      Actuals!$H$3:$BD$3,
      Actuals!$H:$BD
   )
)</f>
        <v>0</v>
      </c>
      <c r="Q28" s="220" cm="1">
        <f t="array" ref="Q28">_xlfn.XLOOKUP(
   $B$4&amp;" "&amp;$B28,
   Actuals!$D:$D,
   _xlfn.XLOOKUP(
      Q$6,
      Actuals!$H$3:$BD$3,
      Actuals!$H:$BD
   )
)</f>
        <v>0</v>
      </c>
      <c r="R28" s="220" cm="1">
        <f t="array" ref="R28">_xlfn.XLOOKUP(
   $B$4&amp;" "&amp;$B28,
   Actuals!$D:$D,
   _xlfn.XLOOKUP(
      R$6,
      Actuals!$H$3:$BD$3,
      Actuals!$H:$BD
   )
)</f>
        <v>0</v>
      </c>
      <c r="S28" s="220" cm="1">
        <f t="array" ref="S28">_xlfn.XLOOKUP(
   $B$4&amp;" "&amp;$B28,
   Actuals!$D:$D,
   _xlfn.XLOOKUP(
      S$6,
      Actuals!$H$3:$BD$3,
      Actuals!$H:$BD
   )
)</f>
        <v>0</v>
      </c>
      <c r="T28" s="220" cm="1">
        <f t="array" ref="T28">_xlfn.XLOOKUP(
   $B$4&amp;" "&amp;$B28,
   Actuals!$D:$D,
   _xlfn.XLOOKUP(
      T$6,
      Actuals!$H$3:$BD$3,
      Actuals!$H:$BD
   )
)</f>
        <v>0</v>
      </c>
      <c r="U28" s="220" cm="1">
        <f t="array" ref="U28">_xlfn.XLOOKUP(
   $B$4&amp;" "&amp;$B28,
   Actuals!$D:$D,
   _xlfn.XLOOKUP(
      U$6,
      Actuals!$H$3:$BD$3,
      Actuals!$H:$BD
   )
)</f>
        <v>0</v>
      </c>
      <c r="V28" s="220" cm="1">
        <f t="array" ref="V28">_xlfn.XLOOKUP(
   $B$4&amp;" "&amp;$B28,
   Actuals!$D:$D,
   _xlfn.XLOOKUP(
      V$6,
      Actuals!$H$3:$BD$3,
      Actuals!$H:$BD
   )
)</f>
        <v>0</v>
      </c>
      <c r="W28" s="220" cm="1">
        <f t="array" ref="W28">_xlfn.XLOOKUP(
   $B$4&amp;" "&amp;$B28,
   Actuals!$D:$D,
   _xlfn.XLOOKUP(
      W$6,
      Actuals!$H$3:$BD$3,
      Actuals!$H:$BD
   )
)</f>
        <v>0</v>
      </c>
      <c r="X28" s="220" cm="1">
        <f t="array" ref="X28">_xlfn.XLOOKUP(
   $B$4&amp;" "&amp;$B28,
   Actuals!$D:$D,
   _xlfn.XLOOKUP(
      X$6,
      Actuals!$H$3:$BD$3,
      Actuals!$H:$BD
   )
)</f>
        <v>0</v>
      </c>
      <c r="Y28" s="220" cm="1">
        <f t="array" ref="Y28">_xlfn.XLOOKUP(
   $B$4&amp;" "&amp;$B28,
   Actuals!$D:$D,
   _xlfn.XLOOKUP(
      Y$6,
      Actuals!$H$3:$BD$3,
      Actuals!$H:$BD
   )
)</f>
        <v>0</v>
      </c>
      <c r="Z28" s="220" cm="1">
        <f t="array" ref="Z28">_xlfn.XLOOKUP(
   $B$4&amp;" "&amp;$B28,
   Actuals!$D:$D,
   _xlfn.XLOOKUP(
      Z$6,
      Actuals!$H$3:$BD$3,
      Actuals!$H:$BD
   )
)</f>
        <v>0</v>
      </c>
      <c r="AA28" s="220" cm="1">
        <f t="array" ref="AA28">_xlfn.XLOOKUP(
   $B$4&amp;" "&amp;$B28,
   Actuals!$D:$D,
   _xlfn.XLOOKUP(
      AA$6,
      Actuals!$H$3:$BD$3,
      Actuals!$H:$BD
   )
)</f>
        <v>0</v>
      </c>
      <c r="AB28" s="220" cm="1">
        <f t="array" ref="AB28">_xlfn.XLOOKUP(
   $B$4&amp;" "&amp;$B28,
   Actuals!$D:$D,
   _xlfn.XLOOKUP(
      AB$6,
      Actuals!$H$3:$BD$3,
      Actuals!$H:$BD
   )
)</f>
        <v>0</v>
      </c>
      <c r="AC28" s="220" cm="1">
        <f t="array" ref="AC28">_xlfn.XLOOKUP(
   $B$4&amp;" "&amp;$B28,
   Actuals!$D:$D,
   _xlfn.XLOOKUP(
      AC$6,
      Actuals!$H$3:$BD$3,
      Actuals!$H:$BD
   )
)</f>
        <v>472000</v>
      </c>
      <c r="AD28" s="220" cm="1">
        <f t="array" ref="AD28">_xlfn.XLOOKUP(
   $B$4&amp;" "&amp;$B28,
   Actuals!$D:$D,
   _xlfn.XLOOKUP(
      AD$6,
      Actuals!$H$3:$BD$3,
      Actuals!$H:$BD
   )
)</f>
        <v>510385</v>
      </c>
      <c r="AE28" s="220" cm="1">
        <f t="array" ref="AE28">_xlfn.XLOOKUP(
   $B$4&amp;" "&amp;$B28,
   Actuals!$D:$D,
   _xlfn.XLOOKUP(
      AE$6,
      Actuals!$H$3:$BD$3,
      Actuals!$H:$BD
   )
)</f>
        <v>997130</v>
      </c>
      <c r="AF28" s="220" cm="1">
        <f t="array" ref="AF28">_xlfn.XLOOKUP(
   $B$4&amp;" "&amp;$B28,
   Actuals!$D:$D,
   _xlfn.XLOOKUP(
      AF$6,
      Actuals!$H$3:$BD$3,
      Actuals!$H:$BD
   )
)</f>
        <v>1556622</v>
      </c>
      <c r="AG28" s="220" cm="1">
        <f t="array" ref="AG28">_xlfn.XLOOKUP(
   $B$4&amp;" "&amp;$B28,
   Actuals!$D:$D,
   _xlfn.XLOOKUP(
      AG$6,
      Actuals!$H$3:$BD$3,
      Actuals!$H:$BD
   )
)</f>
        <v>923556</v>
      </c>
      <c r="AH28" s="220" cm="1">
        <f t="array" ref="AH28">_xlfn.XLOOKUP(
   $B$4&amp;" "&amp;$B28,
   Actuals!$D:$D,
   _xlfn.XLOOKUP(
      AH$6,
      Actuals!$H$3:$BD$3,
      Actuals!$H:$BD
   )
)</f>
        <v>156250</v>
      </c>
      <c r="AI28" s="220" cm="1">
        <f t="array" ref="AI28">_xlfn.XLOOKUP(
   $B$4&amp;" "&amp;$B28,
   Actuals!$D:$D,
   _xlfn.XLOOKUP(
      AI$6,
      Actuals!$H$3:$BD$3,
      Actuals!$H:$BD
   )
)</f>
        <v>377495</v>
      </c>
      <c r="AJ28" s="220" cm="1">
        <f t="array" ref="AJ28">_xlfn.XLOOKUP(
   $B$4&amp;" "&amp;$B28,
   Actuals!$D:$D,
   _xlfn.XLOOKUP(
      AJ$6,
      Actuals!$H$3:$BD$3,
      Actuals!$H:$BD
   )
)</f>
        <v>921653</v>
      </c>
      <c r="AK28" s="220" cm="1">
        <f t="array" ref="AK28">_xlfn.XLOOKUP(
   $B$4&amp;" "&amp;$B28,
   Actuals!$D:$D,
   _xlfn.XLOOKUP(
      AK$6,
      Actuals!$H$3:$BD$3,
      Actuals!$H:$BD
   )
)</f>
        <v>470850</v>
      </c>
      <c r="AL28" s="220" cm="1">
        <f t="array" ref="AL28">_xlfn.XLOOKUP(
   $B$4&amp;" "&amp;$B28,
   Actuals!$D:$D,
   _xlfn.XLOOKUP(
      AL$6,
      Actuals!$H$3:$BD$3,
      Actuals!$H:$BD
   )
)</f>
        <v>213330</v>
      </c>
      <c r="AM28" s="220" cm="1">
        <f t="array" ref="AM28">_xlfn.XLOOKUP(
   $B$4&amp;" "&amp;$B28,
   Actuals!$D:$D,
   _xlfn.XLOOKUP(
      AM$6,
      Actuals!$H$3:$BD$3,
      Actuals!$H:$BD
   )
)</f>
        <v>460800</v>
      </c>
      <c r="AN28" s="220" cm="1">
        <f t="array" ref="AN28">_xlfn.XLOOKUP(
   $B$4&amp;" "&amp;$B28,
   Actuals!$D:$D,
   _xlfn.XLOOKUP(
      AN$6,
      Actuals!$H$3:$BD$3,
      Actuals!$H:$BD
   )
)</f>
        <v>702522</v>
      </c>
      <c r="AO28" s="220" cm="1">
        <f t="array" ref="AO28">_xlfn.XLOOKUP(
   $B$4&amp;" "&amp;$B28,
   Actuals!$D:$D,
   _xlfn.XLOOKUP(
      AO$6,
      Actuals!$H$3:$BD$3,
      Actuals!$H:$BD
   )
)</f>
        <v>0</v>
      </c>
      <c r="AP28" s="220" cm="1">
        <f t="array" ref="AP28">_xlfn.XLOOKUP(
   $B$4&amp;" "&amp;$B28,
   Actuals!$D:$D,
   _xlfn.XLOOKUP(
      AP$6,
      Actuals!$H$3:$BD$3,
      Actuals!$H:$BD
   )
)</f>
        <v>0</v>
      </c>
      <c r="AQ28" s="220" cm="1">
        <f t="array" ref="AQ28">_xlfn.XLOOKUP(
   $B$4&amp;" "&amp;$B28,
   Actuals!$D:$D,
   _xlfn.XLOOKUP(
      AQ$6,
      Actuals!$H$3:$BD$3,
      Actuals!$H:$BD
   )
)</f>
        <v>0</v>
      </c>
      <c r="AR28" s="220" cm="1">
        <f t="array" ref="AR28">_xlfn.XLOOKUP(
   $B$4&amp;" "&amp;$B28,
   Actuals!$D:$D,
   _xlfn.XLOOKUP(
      AR$6,
      Actuals!$H$3:$BD$3,
      Actuals!$H:$BD
   )
)</f>
        <v>0</v>
      </c>
      <c r="AS28" s="220" cm="1">
        <f t="array" ref="AS28">_xlfn.XLOOKUP(
   $B$4&amp;" "&amp;$B28,
   Actuals!$D:$D,
   _xlfn.XLOOKUP(
      AS$6,
      Actuals!$H$3:$BD$3,
      Actuals!$H:$BD
   )
)</f>
        <v>0</v>
      </c>
      <c r="AT28" s="220" cm="1">
        <f t="array" ref="AT28">_xlfn.XLOOKUP(
   $B$4&amp;" "&amp;$B28,
   Actuals!$D:$D,
   _xlfn.XLOOKUP(
      AT$6,
      Actuals!$H$3:$BD$3,
      Actuals!$H:$BD
   )
)</f>
        <v>0</v>
      </c>
      <c r="AU28" s="220" cm="1">
        <f t="array" ref="AU28">_xlfn.XLOOKUP(
   $B$4&amp;" "&amp;$B28,
   Actuals!$D:$D,
   _xlfn.XLOOKUP(
      AU$6,
      Actuals!$H$3:$BD$3,
      Actuals!$H:$BD
   )
)</f>
        <v>0</v>
      </c>
      <c r="AV28" s="220" cm="1">
        <f t="array" ref="AV28">_xlfn.XLOOKUP(
   $B$4&amp;" "&amp;$B28,
   Actuals!$D:$D,
   _xlfn.XLOOKUP(
      AV$6,
      Actuals!$H$3:$BD$3,
      Actuals!$H:$BD
   )
)</f>
        <v>0</v>
      </c>
      <c r="AW28" s="220" cm="1">
        <f t="array" ref="AW28">_xlfn.XLOOKUP(
   $B$4&amp;" "&amp;$B28,
   Actuals!$D:$D,
   _xlfn.XLOOKUP(
      AW$6,
      Actuals!$H$3:$BD$3,
      Actuals!$H:$BD
   )
)</f>
        <v>0</v>
      </c>
      <c r="AX28" s="220" cm="1">
        <f t="array" ref="AX28">_xlfn.XLOOKUP(
   $B$4&amp;" "&amp;$B28,
   Actuals!$D:$D,
   _xlfn.XLOOKUP(
      AX$6,
      Actuals!$H$3:$BD$3,
      Actuals!$H:$BD
   )
)</f>
        <v>0</v>
      </c>
      <c r="AY28" s="220" cm="1">
        <f t="array" ref="AY28">_xlfn.XLOOKUP(
   $B$4&amp;" "&amp;$B28,
   Actuals!$D:$D,
   _xlfn.XLOOKUP(
      AY$6,
      Actuals!$H$3:$BD$3,
      Actuals!$H:$BD
   )
)</f>
        <v>0</v>
      </c>
      <c r="AZ28" s="220" cm="1">
        <f t="array" ref="AZ28">_xlfn.XLOOKUP(
   $B$4&amp;" "&amp;$B28,
   Actuals!$D:$D,
   _xlfn.XLOOKUP(
      AZ$6,
      Actuals!$H$3:$BD$3,
      Actuals!$H:$BD
   )
)</f>
        <v>0</v>
      </c>
      <c r="BA28" s="220"/>
      <c r="BB28" s="220" cm="1">
        <f t="array" ref="BB28">_xlfn.XLOOKUP(
   $B$4&amp;" "&amp;$B28,
   Actuals!$D:$D,
   _xlfn.XLOOKUP(
      BB$7,
      Actuals!$H$3:$BM$3,
      Actuals!$H:$BM
   )
)</f>
        <v>0</v>
      </c>
      <c r="BC28" s="220">
        <f>VLOOKUP($B$4&amp;" "&amp;$B28,Budget!$AG$4:$AL$132,$BB$5+1,FALSE)</f>
        <v>3477308</v>
      </c>
      <c r="BD28" s="220">
        <f>BB28-BC28</f>
        <v>-3477308</v>
      </c>
      <c r="BE28" s="220"/>
      <c r="BF28" s="220" cm="1">
        <f t="array" ref="BF28">_xlfn.XLOOKUP(
   $B$4&amp;" "&amp;$B28,
   Actuals!$D:$D,
   _xlfn.XLOOKUP(
      BF$7,
      Actuals!$H$3:$BM$3,
      Actuals!$H:$BM
   )
)</f>
        <v>0</v>
      </c>
      <c r="BG28" s="220">
        <f>VLOOKUP($B$4&amp;" "&amp;$B28,Budget!$AG$4:$AL$132,BF$5+1,FALSE)</f>
        <v>1455398</v>
      </c>
      <c r="BH28" s="220"/>
      <c r="BI28" s="220"/>
      <c r="BJ28" s="220" cm="1">
        <f t="array" ref="BJ28">_xlfn.XLOOKUP(
   $B$4&amp;" "&amp;$B28,
   Actuals!$D:$D,
   _xlfn.XLOOKUP(
      BJ$7,
      Actuals!$H$3:$BM$3,
      Actuals!$H:$BM
   )
)</f>
        <v>0</v>
      </c>
      <c r="BK28" s="220">
        <f>VLOOKUP($B$4&amp;" "&amp;$B28,Budget!$AG$4:$AL$132,BJ$5+1,FALSE)</f>
        <v>1605833</v>
      </c>
      <c r="BL28" s="220"/>
      <c r="BM28" s="220"/>
      <c r="BN28" s="220" cm="1">
        <f t="array" ref="BN28">_xlfn.XLOOKUP(
   $B$4&amp;" "&amp;$B28,
   Actuals!$D:$D,
   _xlfn.XLOOKUP(
      BN$7,
      Actuals!$H$3:$BM$3,
      Actuals!$H:$BM
   )
)</f>
        <v>0</v>
      </c>
      <c r="BO28" s="220">
        <f>VLOOKUP($B$4&amp;" "&amp;$B28,Budget!$AG$4:$AL$132,BN$5+1,FALSE)</f>
        <v>1699722</v>
      </c>
      <c r="BP28" s="220"/>
      <c r="BQ28" s="220"/>
      <c r="BR28" s="220" cm="1">
        <f t="array" aca="1" ref="BR28" ca="1">_xlfn.XLOOKUP(
   $B$4&amp;" "&amp;$B28,
   Actuals!$D:$D,
   _xlfn.XLOOKUP(
      BR$6,
      Actuals!$H$3:$BM$3,
      Actuals!$H:$BM
   )
)</f>
        <v>0</v>
      </c>
      <c r="BS28" s="220">
        <f ca="1">VLOOKUP($B$4&amp;" "&amp;$B28,Budget!$AG$4:$AL$132,6,FALSE)</f>
        <v>7777408</v>
      </c>
      <c r="BT28" s="220">
        <f ca="1">BR28-BS28</f>
        <v>-7777408</v>
      </c>
      <c r="BU28" s="220"/>
      <c r="BV28" s="220" cm="1">
        <f t="array" ref="BV28">_xlfn.XLOOKUP(
   $B$4&amp;" "&amp;$B28,
   Actuals!$D:$D,
   _xlfn.XLOOKUP(
      BV$6,
      Actuals!$H$3:$BM$3,
      Actuals!$H:$BM
   )
)</f>
        <v>7290593</v>
      </c>
    </row>
    <row r="29" spans="1:74">
      <c r="A29" s="26"/>
      <c r="B29" s="26" t="s">
        <v>185</v>
      </c>
      <c r="C29" s="139" t="s">
        <v>47</v>
      </c>
      <c r="D29" s="171" t="str">
        <f>VLOOKUP($B$4&amp;" "&amp;$B29,Actuals!$D$4:$AG$131,3,FALSE)</f>
        <v>#</v>
      </c>
      <c r="E29" s="301" cm="1">
        <f t="array" ref="E29">_xlfn.XLOOKUP(
   $B$4&amp;" "&amp;$B29,
   Actuals!$D:$D,
   _xlfn.XLOOKUP(
      E$6,
      Actuals!$H$3:$BD$3,
      Actuals!$H:$BD
   )
)</f>
        <v>0.14797218378278973</v>
      </c>
      <c r="F29" s="301" cm="1">
        <f t="array" ref="F29">_xlfn.XLOOKUP(
   $B$4&amp;" "&amp;$B29,
   Actuals!$D:$D,
   _xlfn.XLOOKUP(
      F$6,
      Actuals!$H$3:$BD$3,
      Actuals!$H:$BD
   )
)</f>
        <v>0.22370001892207977</v>
      </c>
      <c r="G29" s="301" cm="1">
        <f t="array" ref="G29">_xlfn.XLOOKUP(
   $B$4&amp;" "&amp;$B29,
   Actuals!$D:$D,
   _xlfn.XLOOKUP(
      G$6,
      Actuals!$H$3:$BD$3,
      Actuals!$H:$BD
   )
)</f>
        <v>8.4940988188518626E-2</v>
      </c>
      <c r="H29" s="301" cm="1">
        <f t="array" ref="H29">_xlfn.XLOOKUP(
   $B$4&amp;" "&amp;$B29,
   Actuals!$D:$D,
   _xlfn.XLOOKUP(
      H$6,
      Actuals!$H$3:$BD$3,
      Actuals!$H:$BD
   )
)</f>
        <v>1.8998072075645762E-2</v>
      </c>
      <c r="I29" s="301" cm="1">
        <f t="array" ref="I29">_xlfn.XLOOKUP(
   $B$4&amp;" "&amp;$B29,
   Actuals!$D:$D,
   _xlfn.XLOOKUP(
      I$6,
      Actuals!$H$3:$BD$3,
      Actuals!$H:$BD
   )
)</f>
        <v>6.6941606765745412E-2</v>
      </c>
      <c r="J29" s="303" cm="1">
        <f t="array" ref="J29">_xlfn.XLOOKUP(
   $B$4&amp;" "&amp;$B29,
   Actuals!$D:$D,
   _xlfn.XLOOKUP(
      J$6,
      Actuals!$H$3:$BD$3,
      Actuals!$H:$BD
   )
)</f>
        <v>0.11624996295375946</v>
      </c>
      <c r="K29" s="301" cm="1">
        <f t="array" ref="K29">_xlfn.XLOOKUP(
   $B$4&amp;" "&amp;$B29,
   Actuals!$D:$D,
   _xlfn.XLOOKUP(
      K$6,
      Actuals!$H$3:$BD$3,
      Actuals!$H:$BD
   )
)</f>
        <v>3.557244610816894E-2</v>
      </c>
      <c r="L29" s="301" cm="1">
        <f t="array" ref="L29">_xlfn.XLOOKUP(
   $B$4&amp;" "&amp;$B29,
   Actuals!$D:$D,
   _xlfn.XLOOKUP(
      L$6,
      Actuals!$H$3:$BD$3,
      Actuals!$H:$BD
   )
)</f>
        <v>1.5946677731143843E-2</v>
      </c>
      <c r="M29" s="303" cm="1">
        <f t="array" ref="M29">_xlfn.XLOOKUP(
   $B$4&amp;" "&amp;$B29,
   Actuals!$D:$D,
   _xlfn.XLOOKUP(
      M$6,
      Actuals!$H$3:$BD$3,
      Actuals!$H:$BD
   )
)</f>
        <v>8.0156209747834786E-2</v>
      </c>
      <c r="N29" s="303" cm="1">
        <f t="array" ref="N29">_xlfn.XLOOKUP(
   $B$4&amp;" "&amp;$B29,
   Actuals!$D:$D,
   _xlfn.XLOOKUP(
      N$6,
      Actuals!$H$3:$BD$3,
      Actuals!$H:$BD
   )
)</f>
        <v>6.0214465436047547E-2</v>
      </c>
      <c r="O29" s="303" cm="1">
        <f t="array" ref="O29">_xlfn.XLOOKUP(
   $B$4&amp;" "&amp;$B29,
   Actuals!$D:$D,
   _xlfn.XLOOKUP(
      O$6,
      Actuals!$H$3:$BD$3,
      Actuals!$H:$BD
   )
)</f>
        <v>0</v>
      </c>
      <c r="P29" s="303" cm="1">
        <f t="array" ref="P29">_xlfn.XLOOKUP(
   $B$4&amp;" "&amp;$B29,
   Actuals!$D:$D,
   _xlfn.XLOOKUP(
      P$6,
      Actuals!$H$3:$BD$3,
      Actuals!$H:$BD
   )
)</f>
        <v>0</v>
      </c>
      <c r="Q29" s="303" cm="1">
        <f t="array" ref="Q29">_xlfn.XLOOKUP(
   $B$4&amp;" "&amp;$B29,
   Actuals!$D:$D,
   _xlfn.XLOOKUP(
      Q$6,
      Actuals!$H$3:$BD$3,
      Actuals!$H:$BD
   )
)</f>
        <v>0</v>
      </c>
      <c r="R29" s="303" cm="1">
        <f t="array" ref="R29">_xlfn.XLOOKUP(
   $B$4&amp;" "&amp;$B29,
   Actuals!$D:$D,
   _xlfn.XLOOKUP(
      R$6,
      Actuals!$H$3:$BD$3,
      Actuals!$H:$BD
   )
)</f>
        <v>0</v>
      </c>
      <c r="S29" s="303" cm="1">
        <f t="array" ref="S29">_xlfn.XLOOKUP(
   $B$4&amp;" "&amp;$B29,
   Actuals!$D:$D,
   _xlfn.XLOOKUP(
      S$6,
      Actuals!$H$3:$BD$3,
      Actuals!$H:$BD
   )
)</f>
        <v>0</v>
      </c>
      <c r="T29" s="303" cm="1">
        <f t="array" ref="T29">_xlfn.XLOOKUP(
   $B$4&amp;" "&amp;$B29,
   Actuals!$D:$D,
   _xlfn.XLOOKUP(
      T$6,
      Actuals!$H$3:$BD$3,
      Actuals!$H:$BD
   )
)</f>
        <v>0</v>
      </c>
      <c r="U29" s="303" cm="1">
        <f t="array" ref="U29">_xlfn.XLOOKUP(
   $B$4&amp;" "&amp;$B29,
   Actuals!$D:$D,
   _xlfn.XLOOKUP(
      U$6,
      Actuals!$H$3:$BD$3,
      Actuals!$H:$BD
   )
)</f>
        <v>0</v>
      </c>
      <c r="V29" s="303" cm="1">
        <f t="array" ref="V29">_xlfn.XLOOKUP(
   $B$4&amp;" "&amp;$B29,
   Actuals!$D:$D,
   _xlfn.XLOOKUP(
      V$6,
      Actuals!$H$3:$BD$3,
      Actuals!$H:$BD
   )
)</f>
        <v>0</v>
      </c>
      <c r="W29" s="303" cm="1">
        <f t="array" ref="W29">_xlfn.XLOOKUP(
   $B$4&amp;" "&amp;$B29,
   Actuals!$D:$D,
   _xlfn.XLOOKUP(
      W$6,
      Actuals!$H$3:$BD$3,
      Actuals!$H:$BD
   )
)</f>
        <v>0</v>
      </c>
      <c r="X29" s="303" cm="1">
        <f t="array" ref="X29">_xlfn.XLOOKUP(
   $B$4&amp;" "&amp;$B29,
   Actuals!$D:$D,
   _xlfn.XLOOKUP(
      X$6,
      Actuals!$H$3:$BD$3,
      Actuals!$H:$BD
   )
)</f>
        <v>0</v>
      </c>
      <c r="Y29" s="303" cm="1">
        <f t="array" ref="Y29">_xlfn.XLOOKUP(
   $B$4&amp;" "&amp;$B29,
   Actuals!$D:$D,
   _xlfn.XLOOKUP(
      Y$6,
      Actuals!$H$3:$BD$3,
      Actuals!$H:$BD
   )
)</f>
        <v>0</v>
      </c>
      <c r="Z29" s="303" cm="1">
        <f t="array" ref="Z29">_xlfn.XLOOKUP(
   $B$4&amp;" "&amp;$B29,
   Actuals!$D:$D,
   _xlfn.XLOOKUP(
      Z$6,
      Actuals!$H$3:$BD$3,
      Actuals!$H:$BD
   )
)</f>
        <v>0</v>
      </c>
      <c r="AA29" s="303" cm="1">
        <f t="array" ref="AA29">_xlfn.XLOOKUP(
   $B$4&amp;" "&amp;$B29,
   Actuals!$D:$D,
   _xlfn.XLOOKUP(
      AA$6,
      Actuals!$H$3:$BD$3,
      Actuals!$H:$BD
   )
)</f>
        <v>0</v>
      </c>
      <c r="AB29" s="303" cm="1">
        <f t="array" ref="AB29">_xlfn.XLOOKUP(
   $B$4&amp;" "&amp;$B29,
   Actuals!$D:$D,
   _xlfn.XLOOKUP(
      AB$6,
      Actuals!$H$3:$BD$3,
      Actuals!$H:$BD
   )
)</f>
        <v>0</v>
      </c>
      <c r="AC29" s="303" cm="1">
        <f t="array" ref="AC29">_xlfn.XLOOKUP(
   $B$4&amp;" "&amp;$B29,
   Actuals!$D:$D,
   _xlfn.XLOOKUP(
      AC$6,
      Actuals!$H$3:$BD$3,
      Actuals!$H:$BD
   )
)</f>
        <v>7.1736720157638406E-2</v>
      </c>
      <c r="AD29" s="303" cm="1">
        <f t="array" ref="AD29">_xlfn.XLOOKUP(
   $B$4&amp;" "&amp;$B29,
   Actuals!$D:$D,
   _xlfn.XLOOKUP(
      AD$6,
      Actuals!$H$3:$BD$3,
      Actuals!$H:$BD
   )
)</f>
        <v>7.7570648130627709E-2</v>
      </c>
      <c r="AE29" s="303" cm="1">
        <f t="array" ref="AE29">_xlfn.XLOOKUP(
   $B$4&amp;" "&amp;$B29,
   Actuals!$D:$D,
   _xlfn.XLOOKUP(
      AE$6,
      Actuals!$H$3:$BD$3,
      Actuals!$H:$BD
   )
)</f>
        <v>0.12820852397096821</v>
      </c>
      <c r="AF29" s="303" cm="1">
        <f t="array" ref="AF29">_xlfn.XLOOKUP(
   $B$4&amp;" "&amp;$B29,
   Actuals!$D:$D,
   _xlfn.XLOOKUP(
      AF$6,
      Actuals!$H$3:$BD$3,
      Actuals!$H:$BD
   )
)</f>
        <v>0.20014662982834383</v>
      </c>
      <c r="AG29" s="303" cm="1">
        <f t="array" ref="AG29">_xlfn.XLOOKUP(
   $B$4&amp;" "&amp;$B29,
   Actuals!$D:$D,
   _xlfn.XLOOKUP(
      AG$6,
      Actuals!$H$3:$BD$3,
      Actuals!$H:$BD
   )
)</f>
        <v>0.11874855993153503</v>
      </c>
      <c r="AH29" s="303" cm="1">
        <f t="array" ref="AH29">_xlfn.XLOOKUP(
   $B$4&amp;" "&amp;$B29,
   Actuals!$D:$D,
   _xlfn.XLOOKUP(
      AH$6,
      Actuals!$H$3:$BD$3,
      Actuals!$H:$BD
   )
)</f>
        <v>2.0090240861736969E-2</v>
      </c>
      <c r="AI29" s="303" cm="1">
        <f t="array" ref="AI29">_xlfn.XLOOKUP(
   $B$4&amp;" "&amp;$B29,
   Actuals!$D:$D,
   _xlfn.XLOOKUP(
      AI$6,
      Actuals!$H$3:$BD$3,
      Actuals!$H:$BD
   )
)</f>
        <v>4.8537379034248943E-2</v>
      </c>
      <c r="AJ29" s="303" cm="1">
        <f t="array" ref="AJ29">_xlfn.XLOOKUP(
   $B$4&amp;" "&amp;$B29,
   Actuals!$D:$D,
   _xlfn.XLOOKUP(
      AJ$6,
      Actuals!$H$3:$BD$3,
      Actuals!$H:$BD
   )
)</f>
        <v>0.11850387687003176</v>
      </c>
      <c r="AK29" s="303" cm="1">
        <f t="array" ref="AK29">_xlfn.XLOOKUP(
   $B$4&amp;" "&amp;$B29,
   Actuals!$D:$D,
   _xlfn.XLOOKUP(
      AK$6,
      Actuals!$H$3:$BD$3,
      Actuals!$H:$BD
   )
)</f>
        <v>6.0540735422392654E-2</v>
      </c>
      <c r="AL29" s="303" cm="1">
        <f t="array" ref="AL29">_xlfn.XLOOKUP(
   $B$4&amp;" "&amp;$B29,
   Actuals!$D:$D,
   _xlfn.XLOOKUP(
      AL$6,
      Actuals!$H$3:$BD$3,
      Actuals!$H:$BD
   )
)</f>
        <v>2.7429446931419826E-2</v>
      </c>
      <c r="AM29" s="303" cm="1">
        <f t="array" ref="AM29">_xlfn.XLOOKUP(
   $B$4&amp;" "&amp;$B29,
   Actuals!$D:$D,
   _xlfn.XLOOKUP(
      AM$6,
      Actuals!$H$3:$BD$3,
      Actuals!$H:$BD
   )
)</f>
        <v>5.9248531130165732E-2</v>
      </c>
      <c r="AN29" s="303" cm="1">
        <f t="array" ref="AN29">_xlfn.XLOOKUP(
   $B$4&amp;" "&amp;$B29,
   Actuals!$D:$D,
   _xlfn.XLOOKUP(
      AN$6,
      Actuals!$H$3:$BD$3,
      Actuals!$H:$BD
   )
)</f>
        <v>9.0328551620282749E-2</v>
      </c>
      <c r="AO29" s="303" cm="1">
        <f t="array" ref="AO29">_xlfn.XLOOKUP(
   $B$4&amp;" "&amp;$B29,
   Actuals!$D:$D,
   _xlfn.XLOOKUP(
      AO$6,
      Actuals!$H$3:$BD$3,
      Actuals!$H:$BD
   )
)</f>
        <v>0</v>
      </c>
      <c r="AP29" s="303" cm="1">
        <f t="array" ref="AP29">_xlfn.XLOOKUP(
   $B$4&amp;" "&amp;$B29,
   Actuals!$D:$D,
   _xlfn.XLOOKUP(
      AP$6,
      Actuals!$H$3:$BD$3,
      Actuals!$H:$BD
   )
)</f>
        <v>0</v>
      </c>
      <c r="AQ29" s="303" cm="1">
        <f t="array" ref="AQ29">_xlfn.XLOOKUP(
   $B$4&amp;" "&amp;$B29,
   Actuals!$D:$D,
   _xlfn.XLOOKUP(
      AQ$6,
      Actuals!$H$3:$BD$3,
      Actuals!$H:$BD
   )
)</f>
        <v>0</v>
      </c>
      <c r="AR29" s="303" cm="1">
        <f t="array" ref="AR29">_xlfn.XLOOKUP(
   $B$4&amp;" "&amp;$B29,
   Actuals!$D:$D,
   _xlfn.XLOOKUP(
      AR$6,
      Actuals!$H$3:$BD$3,
      Actuals!$H:$BD
   )
)</f>
        <v>0</v>
      </c>
      <c r="AS29" s="303" cm="1">
        <f t="array" ref="AS29">_xlfn.XLOOKUP(
   $B$4&amp;" "&amp;$B29,
   Actuals!$D:$D,
   _xlfn.XLOOKUP(
      AS$6,
      Actuals!$H$3:$BD$3,
      Actuals!$H:$BD
   )
)</f>
        <v>0</v>
      </c>
      <c r="AT29" s="303" cm="1">
        <f t="array" ref="AT29">_xlfn.XLOOKUP(
   $B$4&amp;" "&amp;$B29,
   Actuals!$D:$D,
   _xlfn.XLOOKUP(
      AT$6,
      Actuals!$H$3:$BD$3,
      Actuals!$H:$BD
   )
)</f>
        <v>0</v>
      </c>
      <c r="AU29" s="303" cm="1">
        <f t="array" ref="AU29">_xlfn.XLOOKUP(
   $B$4&amp;" "&amp;$B29,
   Actuals!$D:$D,
   _xlfn.XLOOKUP(
      AU$6,
      Actuals!$H$3:$BD$3,
      Actuals!$H:$BD
   )
)</f>
        <v>0</v>
      </c>
      <c r="AV29" s="303" cm="1">
        <f t="array" ref="AV29">_xlfn.XLOOKUP(
   $B$4&amp;" "&amp;$B29,
   Actuals!$D:$D,
   _xlfn.XLOOKUP(
      AV$6,
      Actuals!$H$3:$BD$3,
      Actuals!$H:$BD
   )
)</f>
        <v>0</v>
      </c>
      <c r="AW29" s="303" cm="1">
        <f t="array" ref="AW29">_xlfn.XLOOKUP(
   $B$4&amp;" "&amp;$B29,
   Actuals!$D:$D,
   _xlfn.XLOOKUP(
      AW$6,
      Actuals!$H$3:$BD$3,
      Actuals!$H:$BD
   )
)</f>
        <v>0</v>
      </c>
      <c r="AX29" s="303" cm="1">
        <f t="array" ref="AX29">_xlfn.XLOOKUP(
   $B$4&amp;" "&amp;$B29,
   Actuals!$D:$D,
   _xlfn.XLOOKUP(
      AX$6,
      Actuals!$H$3:$BD$3,
      Actuals!$H:$BD
   )
)</f>
        <v>0</v>
      </c>
      <c r="AY29" s="303" cm="1">
        <f t="array" ref="AY29">_xlfn.XLOOKUP(
   $B$4&amp;" "&amp;$B29,
   Actuals!$D:$D,
   _xlfn.XLOOKUP(
      AY$6,
      Actuals!$H$3:$BD$3,
      Actuals!$H:$BD
   )
)</f>
        <v>0</v>
      </c>
      <c r="AZ29" s="303" cm="1">
        <f t="array" ref="AZ29">_xlfn.XLOOKUP(
   $B$4&amp;" "&amp;$B29,
   Actuals!$D:$D,
   _xlfn.XLOOKUP(
      AZ$6,
      Actuals!$H$3:$BD$3,
      Actuals!$H:$BD
   )
)</f>
        <v>0</v>
      </c>
      <c r="BA29" s="303"/>
      <c r="BB29" s="303" cm="1">
        <f t="array" ref="BB29">_xlfn.XLOOKUP(
   $B$4&amp;" "&amp;$B29,
   Actuals!$D:$D,
   _xlfn.XLOOKUP(
      BB$7,
      Actuals!$H$3:$BM$3,
      Actuals!$H:$BM
   )
)</f>
        <v>0</v>
      </c>
      <c r="BC29" s="303">
        <f>VLOOKUP($B$4&amp;" "&amp;$B29,Budget!$AG$4:$AL$132,$BB$5+1,FALSE)</f>
        <v>0.42414667710452408</v>
      </c>
      <c r="BD29" s="303">
        <f>BB29-BC29</f>
        <v>-0.42414667710452408</v>
      </c>
      <c r="BE29" s="303"/>
      <c r="BF29" s="303" cm="1">
        <f t="array" ref="BF29">_xlfn.XLOOKUP(
   $B$4&amp;" "&amp;$B29,
   Actuals!$D:$D,
   _xlfn.XLOOKUP(
      BF$7,
      Actuals!$H$3:$BM$3,
      Actuals!$H:$BM
   )
)</f>
        <v>0</v>
      </c>
      <c r="BG29" s="303">
        <f>VLOOKUP($B$4&amp;" "&amp;$B29,Budget!$AG$4:$AL$132,BF$5+1,FALSE)</f>
        <v>0.17752302228176797</v>
      </c>
      <c r="BH29" s="303"/>
      <c r="BI29" s="303"/>
      <c r="BJ29" s="303" cm="1">
        <f t="array" ref="BJ29">_xlfn.XLOOKUP(
   $B$4&amp;" "&amp;$B29,
   Actuals!$D:$D,
   _xlfn.XLOOKUP(
      BJ$7,
      Actuals!$H$3:$BM$3,
      Actuals!$H:$BM
   )
)</f>
        <v>0</v>
      </c>
      <c r="BK29" s="303">
        <f>VLOOKUP($B$4&amp;" "&amp;$B29,Budget!$AG$4:$AL$132,BJ$5+1,FALSE)</f>
        <v>0.19587241939304462</v>
      </c>
      <c r="BL29" s="303"/>
      <c r="BM29" s="303"/>
      <c r="BN29" s="303" cm="1">
        <f t="array" ref="BN29">_xlfn.XLOOKUP(
   $B$4&amp;" "&amp;$B29,
   Actuals!$D:$D,
   _xlfn.XLOOKUP(
      BN$7,
      Actuals!$H$3:$BM$3,
      Actuals!$H:$BM
   )
)</f>
        <v>0</v>
      </c>
      <c r="BO29" s="303">
        <f>VLOOKUP($B$4&amp;" "&amp;$B29,Budget!$AG$4:$AL$132,BN$5+1,FALSE)</f>
        <v>0.20732458508175169</v>
      </c>
      <c r="BP29" s="303"/>
      <c r="BQ29" s="303"/>
      <c r="BR29" s="303" cm="1">
        <f t="array" aca="1" ref="BR29" ca="1">_xlfn.XLOOKUP(
   $B$4&amp;" "&amp;$B29,
   Actuals!$D:$D,
   _xlfn.XLOOKUP(
      BR$6,
      Actuals!$H$3:$BM$3,
      Actuals!$H:$BM
   )
)</f>
        <v>0</v>
      </c>
      <c r="BS29" s="303">
        <f ca="1">VLOOKUP($B$4&amp;" "&amp;$B29,Budget!$AG$4:$AL$132,6,FALSE)</f>
        <v>0.94865388964283359</v>
      </c>
      <c r="BT29" s="303">
        <f ca="1">BR29-BS29</f>
        <v>-0.94865388964283359</v>
      </c>
      <c r="BU29" s="303"/>
      <c r="BV29" s="303" cm="1">
        <f t="array" ref="BV29">_xlfn.XLOOKUP(
   $B$4&amp;" "&amp;$B29,
   Actuals!$D:$D,
   _xlfn.XLOOKUP(
      BV$6,
      Actuals!$H$3:$BM$3,
      Actuals!$H:$BM
   )
)</f>
        <v>0.94935312373175329</v>
      </c>
    </row>
    <row r="30" spans="1:74">
      <c r="A30" s="26"/>
      <c r="B30" s="26" t="s">
        <v>186</v>
      </c>
      <c r="C30" s="139" t="s">
        <v>47</v>
      </c>
      <c r="D30" s="171" t="str">
        <f>VLOOKUP($B$4&amp;" "&amp;$B30,Actuals!$D$4:$AG$131,3,FALSE)</f>
        <v>#</v>
      </c>
      <c r="E30" s="220" cm="1">
        <f t="array" ref="E30">_xlfn.XLOOKUP(
   $B$4&amp;" "&amp;$B30,
   Actuals!$D:$D,
   _xlfn.XLOOKUP(
      E$6,
      Actuals!$H$3:$BD$3,
      Actuals!$H:$BD
   )
)</f>
        <v>994612</v>
      </c>
      <c r="F30" s="220" cm="1">
        <f t="array" ref="F30">_xlfn.XLOOKUP(
   $B$4&amp;" "&amp;$B30,
   Actuals!$D:$D,
   _xlfn.XLOOKUP(
      F$6,
      Actuals!$H$3:$BD$3,
      Actuals!$H:$BD
   )
)</f>
        <v>1544953</v>
      </c>
      <c r="G30" s="220" cm="1">
        <f t="array" ref="G30">_xlfn.XLOOKUP(
   $B$4&amp;" "&amp;$B30,
   Actuals!$D:$D,
   _xlfn.XLOOKUP(
      G$6,
      Actuals!$H$3:$BD$3,
      Actuals!$H:$BD
   )
)</f>
        <v>856556</v>
      </c>
      <c r="H30" s="220" cm="1">
        <f t="array" ref="H30">_xlfn.XLOOKUP(
   $B$4&amp;" "&amp;$B30,
   Actuals!$D:$D,
   _xlfn.XLOOKUP(
      H$6,
      Actuals!$H$3:$BD$3,
      Actuals!$H:$BD
   )
)</f>
        <v>156250</v>
      </c>
      <c r="I30" s="220" cm="1">
        <f t="array" ref="I30">_xlfn.XLOOKUP(
   $B$4&amp;" "&amp;$B30,
   Actuals!$D:$D,
   _xlfn.XLOOKUP(
      I$6,
      Actuals!$H$3:$BD$3,
      Actuals!$H:$BD
   )
)</f>
        <v>576985</v>
      </c>
      <c r="J30" s="220" cm="1">
        <f t="array" ref="J30">_xlfn.XLOOKUP(
   $B$4&amp;" "&amp;$B30,
   Actuals!$D:$D,
   _xlfn.XLOOKUP(
      J$6,
      Actuals!$H$3:$BD$3,
      Actuals!$H:$BD
   )
)</f>
        <v>600528</v>
      </c>
      <c r="K30" s="220" cm="1">
        <f t="array" ref="K30">_xlfn.XLOOKUP(
   $B$4&amp;" "&amp;$B30,
   Actuals!$D:$D,
   _xlfn.XLOOKUP(
      K$6,
      Actuals!$H$3:$BD$3,
      Actuals!$H:$BD
   )
)</f>
        <v>146250</v>
      </c>
      <c r="L30" s="220" cm="1">
        <f t="array" ref="L30">_xlfn.XLOOKUP(
   $B$4&amp;" "&amp;$B30,
   Actuals!$D:$D,
   _xlfn.XLOOKUP(
      L$6,
      Actuals!$H$3:$BD$3,
      Actuals!$H:$BD
   )
)</f>
        <v>85000</v>
      </c>
      <c r="M30" s="220" cm="1">
        <f t="array" ref="M30">_xlfn.XLOOKUP(
   $B$4&amp;" "&amp;$B30,
   Actuals!$D:$D,
   _xlfn.XLOOKUP(
      M$6,
      Actuals!$H$3:$BD$3,
      Actuals!$H:$BD
   )
)</f>
        <v>412315</v>
      </c>
      <c r="N30" s="220" cm="1">
        <f t="array" ref="N30">_xlfn.XLOOKUP(
   $B$4&amp;" "&amp;$B30,
   Actuals!$D:$D,
   _xlfn.XLOOKUP(
      N$6,
      Actuals!$H$3:$BD$3,
      Actuals!$H:$BD
   )
)</f>
        <v>643247</v>
      </c>
      <c r="O30" s="220" cm="1">
        <f t="array" ref="O30">_xlfn.XLOOKUP(
   $B$4&amp;" "&amp;$B30,
   Actuals!$D:$D,
   _xlfn.XLOOKUP(
      O$6,
      Actuals!$H$3:$BD$3,
      Actuals!$H:$BD
   )
)</f>
        <v>0</v>
      </c>
      <c r="P30" s="220" cm="1">
        <f t="array" ref="P30">_xlfn.XLOOKUP(
   $B$4&amp;" "&amp;$B30,
   Actuals!$D:$D,
   _xlfn.XLOOKUP(
      P$6,
      Actuals!$H$3:$BD$3,
      Actuals!$H:$BD
   )
)</f>
        <v>0</v>
      </c>
      <c r="Q30" s="220" cm="1">
        <f t="array" ref="Q30">_xlfn.XLOOKUP(
   $B$4&amp;" "&amp;$B30,
   Actuals!$D:$D,
   _xlfn.XLOOKUP(
      Q$6,
      Actuals!$H$3:$BD$3,
      Actuals!$H:$BD
   )
)</f>
        <v>0</v>
      </c>
      <c r="R30" s="220" cm="1">
        <f t="array" ref="R30">_xlfn.XLOOKUP(
   $B$4&amp;" "&amp;$B30,
   Actuals!$D:$D,
   _xlfn.XLOOKUP(
      R$6,
      Actuals!$H$3:$BD$3,
      Actuals!$H:$BD
   )
)</f>
        <v>0</v>
      </c>
      <c r="S30" s="220" cm="1">
        <f t="array" ref="S30">_xlfn.XLOOKUP(
   $B$4&amp;" "&amp;$B30,
   Actuals!$D:$D,
   _xlfn.XLOOKUP(
      S$6,
      Actuals!$H$3:$BD$3,
      Actuals!$H:$BD
   )
)</f>
        <v>0</v>
      </c>
      <c r="T30" s="220" cm="1">
        <f t="array" ref="T30">_xlfn.XLOOKUP(
   $B$4&amp;" "&amp;$B30,
   Actuals!$D:$D,
   _xlfn.XLOOKUP(
      T$6,
      Actuals!$H$3:$BD$3,
      Actuals!$H:$BD
   )
)</f>
        <v>0</v>
      </c>
      <c r="U30" s="220" cm="1">
        <f t="array" ref="U30">_xlfn.XLOOKUP(
   $B$4&amp;" "&amp;$B30,
   Actuals!$D:$D,
   _xlfn.XLOOKUP(
      U$6,
      Actuals!$H$3:$BD$3,
      Actuals!$H:$BD
   )
)</f>
        <v>0</v>
      </c>
      <c r="V30" s="220" cm="1">
        <f t="array" ref="V30">_xlfn.XLOOKUP(
   $B$4&amp;" "&amp;$B30,
   Actuals!$D:$D,
   _xlfn.XLOOKUP(
      V$6,
      Actuals!$H$3:$BD$3,
      Actuals!$H:$BD
   )
)</f>
        <v>0</v>
      </c>
      <c r="W30" s="220" cm="1">
        <f t="array" ref="W30">_xlfn.XLOOKUP(
   $B$4&amp;" "&amp;$B30,
   Actuals!$D:$D,
   _xlfn.XLOOKUP(
      W$6,
      Actuals!$H$3:$BD$3,
      Actuals!$H:$BD
   )
)</f>
        <v>0</v>
      </c>
      <c r="X30" s="220" cm="1">
        <f t="array" ref="X30">_xlfn.XLOOKUP(
   $B$4&amp;" "&amp;$B30,
   Actuals!$D:$D,
   _xlfn.XLOOKUP(
      X$6,
      Actuals!$H$3:$BD$3,
      Actuals!$H:$BD
   )
)</f>
        <v>0</v>
      </c>
      <c r="Y30" s="220" cm="1">
        <f t="array" ref="Y30">_xlfn.XLOOKUP(
   $B$4&amp;" "&amp;$B30,
   Actuals!$D:$D,
   _xlfn.XLOOKUP(
      Y$6,
      Actuals!$H$3:$BD$3,
      Actuals!$H:$BD
   )
)</f>
        <v>0</v>
      </c>
      <c r="Z30" s="220" cm="1">
        <f t="array" ref="Z30">_xlfn.XLOOKUP(
   $B$4&amp;" "&amp;$B30,
   Actuals!$D:$D,
   _xlfn.XLOOKUP(
      Z$6,
      Actuals!$H$3:$BD$3,
      Actuals!$H:$BD
   )
)</f>
        <v>0</v>
      </c>
      <c r="AA30" s="220" cm="1">
        <f t="array" ref="AA30">_xlfn.XLOOKUP(
   $B$4&amp;" "&amp;$B30,
   Actuals!$D:$D,
   _xlfn.XLOOKUP(
      AA$6,
      Actuals!$H$3:$BD$3,
      Actuals!$H:$BD
   )
)</f>
        <v>0</v>
      </c>
      <c r="AB30" s="220" cm="1">
        <f t="array" ref="AB30">_xlfn.XLOOKUP(
   $B$4&amp;" "&amp;$B30,
   Actuals!$D:$D,
   _xlfn.XLOOKUP(
      AB$6,
      Actuals!$H$3:$BD$3,
      Actuals!$H:$BD
   )
)</f>
        <v>0</v>
      </c>
      <c r="AC30" s="220" cm="1">
        <f t="array" ref="AC30">_xlfn.XLOOKUP(
   $B$4&amp;" "&amp;$B30,
   Actuals!$D:$D,
   _xlfn.XLOOKUP(
      AC$6,
      Actuals!$H$3:$BD$3,
      Actuals!$H:$BD
   )
)</f>
        <v>0</v>
      </c>
      <c r="AD30" s="220" cm="1">
        <f t="array" ref="AD30">_xlfn.XLOOKUP(
   $B$4&amp;" "&amp;$B30,
   Actuals!$D:$D,
   _xlfn.XLOOKUP(
      AD$6,
      Actuals!$H$3:$BD$3,
      Actuals!$H:$BD
   )
)</f>
        <v>0</v>
      </c>
      <c r="AE30" s="220" cm="1">
        <f t="array" ref="AE30">_xlfn.XLOOKUP(
   $B$4&amp;" "&amp;$B30,
   Actuals!$D:$D,
   _xlfn.XLOOKUP(
      AE$6,
      Actuals!$H$3:$BD$3,
      Actuals!$H:$BD
   )
)</f>
        <v>0</v>
      </c>
      <c r="AF30" s="220" cm="1">
        <f t="array" ref="AF30">_xlfn.XLOOKUP(
   $B$4&amp;" "&amp;$B30,
   Actuals!$D:$D,
   _xlfn.XLOOKUP(
      AF$6,
      Actuals!$H$3:$BD$3,
      Actuals!$H:$BD
   )
)</f>
        <v>0</v>
      </c>
      <c r="AG30" s="220" cm="1">
        <f t="array" ref="AG30">_xlfn.XLOOKUP(
   $B$4&amp;" "&amp;$B30,
   Actuals!$D:$D,
   _xlfn.XLOOKUP(
      AG$6,
      Actuals!$H$3:$BD$3,
      Actuals!$H:$BD
   )
)</f>
        <v>0</v>
      </c>
      <c r="AH30" s="220" cm="1">
        <f t="array" ref="AH30">_xlfn.XLOOKUP(
   $B$4&amp;" "&amp;$B30,
   Actuals!$D:$D,
   _xlfn.XLOOKUP(
      AH$6,
      Actuals!$H$3:$BD$3,
      Actuals!$H:$BD
   )
)</f>
        <v>0</v>
      </c>
      <c r="AI30" s="220" cm="1">
        <f t="array" ref="AI30">_xlfn.XLOOKUP(
   $B$4&amp;" "&amp;$B30,
   Actuals!$D:$D,
   _xlfn.XLOOKUP(
      AI$6,
      Actuals!$H$3:$BD$3,
      Actuals!$H:$BD
   )
)</f>
        <v>0</v>
      </c>
      <c r="AJ30" s="220" cm="1">
        <f t="array" ref="AJ30">_xlfn.XLOOKUP(
   $B$4&amp;" "&amp;$B30,
   Actuals!$D:$D,
   _xlfn.XLOOKUP(
      AJ$6,
      Actuals!$H$3:$BD$3,
      Actuals!$H:$BD
   )
)</f>
        <v>0</v>
      </c>
      <c r="AK30" s="220" cm="1">
        <f t="array" ref="AK30">_xlfn.XLOOKUP(
   $B$4&amp;" "&amp;$B30,
   Actuals!$D:$D,
   _xlfn.XLOOKUP(
      AK$6,
      Actuals!$H$3:$BD$3,
      Actuals!$H:$BD
   )
)</f>
        <v>0</v>
      </c>
      <c r="AL30" s="220" cm="1">
        <f t="array" ref="AL30">_xlfn.XLOOKUP(
   $B$4&amp;" "&amp;$B30,
   Actuals!$D:$D,
   _xlfn.XLOOKUP(
      AL$6,
      Actuals!$H$3:$BD$3,
      Actuals!$H:$BD
   )
)</f>
        <v>0</v>
      </c>
      <c r="AM30" s="220" cm="1">
        <f t="array" ref="AM30">_xlfn.XLOOKUP(
   $B$4&amp;" "&amp;$B30,
   Actuals!$D:$D,
   _xlfn.XLOOKUP(
      AM$6,
      Actuals!$H$3:$BD$3,
      Actuals!$H:$BD
   )
)</f>
        <v>0</v>
      </c>
      <c r="AN30" s="220" cm="1">
        <f t="array" ref="AN30">_xlfn.XLOOKUP(
   $B$4&amp;" "&amp;$B30,
   Actuals!$D:$D,
   _xlfn.XLOOKUP(
      AN$6,
      Actuals!$H$3:$BD$3,
      Actuals!$H:$BD
   )
)</f>
        <v>0</v>
      </c>
      <c r="AO30" s="220" cm="1">
        <f t="array" ref="AO30">_xlfn.XLOOKUP(
   $B$4&amp;" "&amp;$B30,
   Actuals!$D:$D,
   _xlfn.XLOOKUP(
      AO$6,
      Actuals!$H$3:$BD$3,
      Actuals!$H:$BD
   )
)</f>
        <v>0</v>
      </c>
      <c r="AP30" s="220" cm="1">
        <f t="array" ref="AP30">_xlfn.XLOOKUP(
   $B$4&amp;" "&amp;$B30,
   Actuals!$D:$D,
   _xlfn.XLOOKUP(
      AP$6,
      Actuals!$H$3:$BD$3,
      Actuals!$H:$BD
   )
)</f>
        <v>0</v>
      </c>
      <c r="AQ30" s="220" cm="1">
        <f t="array" ref="AQ30">_xlfn.XLOOKUP(
   $B$4&amp;" "&amp;$B30,
   Actuals!$D:$D,
   _xlfn.XLOOKUP(
      AQ$6,
      Actuals!$H$3:$BD$3,
      Actuals!$H:$BD
   )
)</f>
        <v>0</v>
      </c>
      <c r="AR30" s="220" cm="1">
        <f t="array" ref="AR30">_xlfn.XLOOKUP(
   $B$4&amp;" "&amp;$B30,
   Actuals!$D:$D,
   _xlfn.XLOOKUP(
      AR$6,
      Actuals!$H$3:$BD$3,
      Actuals!$H:$BD
   )
)</f>
        <v>0</v>
      </c>
      <c r="AS30" s="220" cm="1">
        <f t="array" ref="AS30">_xlfn.XLOOKUP(
   $B$4&amp;" "&amp;$B30,
   Actuals!$D:$D,
   _xlfn.XLOOKUP(
      AS$6,
      Actuals!$H$3:$BD$3,
      Actuals!$H:$BD
   )
)</f>
        <v>0</v>
      </c>
      <c r="AT30" s="220" cm="1">
        <f t="array" ref="AT30">_xlfn.XLOOKUP(
   $B$4&amp;" "&amp;$B30,
   Actuals!$D:$D,
   _xlfn.XLOOKUP(
      AT$6,
      Actuals!$H$3:$BD$3,
      Actuals!$H:$BD
   )
)</f>
        <v>0</v>
      </c>
      <c r="AU30" s="220" cm="1">
        <f t="array" ref="AU30">_xlfn.XLOOKUP(
   $B$4&amp;" "&amp;$B30,
   Actuals!$D:$D,
   _xlfn.XLOOKUP(
      AU$6,
      Actuals!$H$3:$BD$3,
      Actuals!$H:$BD
   )
)</f>
        <v>0</v>
      </c>
      <c r="AV30" s="220" cm="1">
        <f t="array" ref="AV30">_xlfn.XLOOKUP(
   $B$4&amp;" "&amp;$B30,
   Actuals!$D:$D,
   _xlfn.XLOOKUP(
      AV$6,
      Actuals!$H$3:$BD$3,
      Actuals!$H:$BD
   )
)</f>
        <v>0</v>
      </c>
      <c r="AW30" s="220" cm="1">
        <f t="array" ref="AW30">_xlfn.XLOOKUP(
   $B$4&amp;" "&amp;$B30,
   Actuals!$D:$D,
   _xlfn.XLOOKUP(
      AW$6,
      Actuals!$H$3:$BD$3,
      Actuals!$H:$BD
   )
)</f>
        <v>0</v>
      </c>
      <c r="AX30" s="220" cm="1">
        <f t="array" ref="AX30">_xlfn.XLOOKUP(
   $B$4&amp;" "&amp;$B30,
   Actuals!$D:$D,
   _xlfn.XLOOKUP(
      AX$6,
      Actuals!$H$3:$BD$3,
      Actuals!$H:$BD
   )
)</f>
        <v>0</v>
      </c>
      <c r="AY30" s="220" cm="1">
        <f t="array" ref="AY30">_xlfn.XLOOKUP(
   $B$4&amp;" "&amp;$B30,
   Actuals!$D:$D,
   _xlfn.XLOOKUP(
      AY$6,
      Actuals!$H$3:$BD$3,
      Actuals!$H:$BD
   )
)</f>
        <v>0</v>
      </c>
      <c r="AZ30" s="220" cm="1">
        <f t="array" ref="AZ30">_xlfn.XLOOKUP(
   $B$4&amp;" "&amp;$B30,
   Actuals!$D:$D,
   _xlfn.XLOOKUP(
      AZ$6,
      Actuals!$H$3:$BD$3,
      Actuals!$H:$BD
   )
)</f>
        <v>0</v>
      </c>
      <c r="BA30" s="220"/>
      <c r="BB30" s="220" cm="1">
        <f t="array" ref="BB30">_xlfn.XLOOKUP(
   $B$4&amp;" "&amp;$B30,
   Actuals!$D:$D,
   _xlfn.XLOOKUP(
      BB$7,
      Actuals!$H$3:$BM$3,
      Actuals!$H:$BM
   )
)</f>
        <v>0</v>
      </c>
      <c r="BC30" s="220">
        <f>VLOOKUP($B$4&amp;" "&amp;$B30,Budget!$AG$4:$AL$132,$BB$5+1,FALSE)</f>
        <v>0</v>
      </c>
      <c r="BD30" s="220">
        <f>BB30-BC30</f>
        <v>0</v>
      </c>
      <c r="BE30" s="220"/>
      <c r="BF30" s="220" cm="1">
        <f t="array" ref="BF30">_xlfn.XLOOKUP(
   $B$4&amp;" "&amp;$B30,
   Actuals!$D:$D,
   _xlfn.XLOOKUP(
      BF$7,
      Actuals!$H$3:$BM$3,
      Actuals!$H:$BM
   )
)</f>
        <v>0</v>
      </c>
      <c r="BG30" s="220">
        <f>VLOOKUP($B$4&amp;" "&amp;$B30,Budget!$AG$4:$AL$132,BF$5+1,FALSE)</f>
        <v>0</v>
      </c>
      <c r="BH30" s="220"/>
      <c r="BI30" s="220"/>
      <c r="BJ30" s="220" cm="1">
        <f t="array" ref="BJ30">_xlfn.XLOOKUP(
   $B$4&amp;" "&amp;$B30,
   Actuals!$D:$D,
   _xlfn.XLOOKUP(
      BJ$7,
      Actuals!$H$3:$BM$3,
      Actuals!$H:$BM
   )
)</f>
        <v>0</v>
      </c>
      <c r="BK30" s="220">
        <f>VLOOKUP($B$4&amp;" "&amp;$B30,Budget!$AG$4:$AL$132,BJ$5+1,FALSE)</f>
        <v>0</v>
      </c>
      <c r="BL30" s="220"/>
      <c r="BM30" s="220"/>
      <c r="BN30" s="220" cm="1">
        <f t="array" ref="BN30">_xlfn.XLOOKUP(
   $B$4&amp;" "&amp;$B30,
   Actuals!$D:$D,
   _xlfn.XLOOKUP(
      BN$7,
      Actuals!$H$3:$BM$3,
      Actuals!$H:$BM
   )
)</f>
        <v>0</v>
      </c>
      <c r="BO30" s="220">
        <f>VLOOKUP($B$4&amp;" "&amp;$B30,Budget!$AG$4:$AL$132,BN$5+1,FALSE)</f>
        <v>0</v>
      </c>
      <c r="BP30" s="220"/>
      <c r="BQ30" s="220"/>
      <c r="BR30" s="220" cm="1">
        <f t="array" aca="1" ref="BR30" ca="1">_xlfn.XLOOKUP(
   $B$4&amp;" "&amp;$B30,
   Actuals!$D:$D,
   _xlfn.XLOOKUP(
      BR$6,
      Actuals!$H$3:$BM$3,
      Actuals!$H:$BM
   )
)</f>
        <v>0</v>
      </c>
      <c r="BS30" s="220">
        <f ca="1">VLOOKUP($B$4&amp;" "&amp;$B30,Budget!$AG$4:$AL$132,6,FALSE)</f>
        <v>0</v>
      </c>
      <c r="BT30" s="220">
        <f ca="1">BR30-BS30</f>
        <v>0</v>
      </c>
      <c r="BU30" s="220"/>
      <c r="BV30" s="220" cm="1">
        <f t="array" ref="BV30">_xlfn.XLOOKUP(
   $B$4&amp;" "&amp;$B30,
   Actuals!$D:$D,
   _xlfn.XLOOKUP(
      BV$6,
      Actuals!$H$3:$BM$3,
      Actuals!$H:$BM
   )
)</f>
        <v>0</v>
      </c>
    </row>
    <row r="31" spans="1:74">
      <c r="A31" s="26"/>
      <c r="B31" s="26" t="s">
        <v>187</v>
      </c>
      <c r="C31" s="139" t="s">
        <v>47</v>
      </c>
      <c r="D31" s="171" t="str">
        <f>VLOOKUP($B$4&amp;" "&amp;$B31,Actuals!$D$4:$AG$131,3,FALSE)</f>
        <v>#</v>
      </c>
      <c r="E31" s="301" cm="1">
        <f t="array" ref="E31">_xlfn.XLOOKUP(
   $B$4&amp;" "&amp;$B31,
   Actuals!$D:$D,
   _xlfn.XLOOKUP(
      E$6,
      Actuals!$H$3:$BD$3,
      Actuals!$H:$BD
   )
)</f>
        <v>1.0215817584223501</v>
      </c>
      <c r="F31" s="301" cm="1">
        <f t="array" ref="F31">_xlfn.XLOOKUP(
   $B$4&amp;" "&amp;$B31,
   Actuals!$D:$D,
   _xlfn.XLOOKUP(
      F$6,
      Actuals!$H$3:$BD$3,
      Actuals!$H:$BD
   )
)</f>
        <v>1.0496602937779409</v>
      </c>
      <c r="G31" s="301" cm="1">
        <f t="array" ref="G31">_xlfn.XLOOKUP(
   $B$4&amp;" "&amp;$B31,
   Actuals!$D:$D,
   _xlfn.XLOOKUP(
      G$6,
      Actuals!$H$3:$BD$3,
      Actuals!$H:$BD
   )
)</f>
        <v>1.5326322871319193</v>
      </c>
      <c r="H31" s="301" cm="1">
        <f t="array" ref="H31">_xlfn.XLOOKUP(
   $B$4&amp;" "&amp;$B31,
   Actuals!$D:$D,
   _xlfn.XLOOKUP(
      H$6,
      Actuals!$H$3:$BD$3,
      Actuals!$H:$BD
   )
)</f>
        <v>1.25</v>
      </c>
      <c r="I31" s="301" cm="1">
        <f t="array" ref="I31">_xlfn.XLOOKUP(
   $B$4&amp;" "&amp;$B31,
   Actuals!$D:$D,
   _xlfn.XLOOKUP(
      I$6,
      Actuals!$H$3:$BD$3,
      Actuals!$H:$BD
   )
)</f>
        <v>1.309989783176297</v>
      </c>
      <c r="J31" s="303" cm="1">
        <f t="array" ref="J31">_xlfn.XLOOKUP(
   $B$4&amp;" "&amp;$B31,
   Actuals!$D:$D,
   _xlfn.XLOOKUP(
      J$6,
      Actuals!$H$3:$BD$3,
      Actuals!$H:$BD
   )
)</f>
        <v>0.78512707875745213</v>
      </c>
      <c r="K31" s="301" cm="1">
        <f t="array" ref="K31">_xlfn.XLOOKUP(
   $B$4&amp;" "&amp;$B31,
   Actuals!$D:$D,
   _xlfn.XLOOKUP(
      K$6,
      Actuals!$H$3:$BD$3,
      Actuals!$H:$BD
   )
)</f>
        <v>0.62485847222637603</v>
      </c>
      <c r="L31" s="301" cm="1">
        <f t="array" ref="L31">_xlfn.XLOOKUP(
   $B$4&amp;" "&amp;$B31,
   Actuals!$D:$D,
   _xlfn.XLOOKUP(
      L$6,
      Actuals!$H$3:$BD$3,
      Actuals!$H:$BD
   )
)</f>
        <v>0.81011789598086215</v>
      </c>
      <c r="M31" s="303" cm="1">
        <f t="array" ref="M31">_xlfn.XLOOKUP(
   $B$4&amp;" "&amp;$B31,
   Actuals!$D:$D,
   _xlfn.XLOOKUP(
      M$6,
      Actuals!$H$3:$BD$3,
      Actuals!$H:$BD
   )
)</f>
        <v>0.78179246374173539</v>
      </c>
      <c r="N31" s="303" cm="1">
        <f t="array" ref="N31">_xlfn.XLOOKUP(
   $B$4&amp;" "&amp;$B31,
   Actuals!$D:$D,
   _xlfn.XLOOKUP(
      N$6,
      Actuals!$H$3:$BD$3,
      Actuals!$H:$BD
   )
)</f>
        <v>1.6235903157087039</v>
      </c>
      <c r="O31" s="303" t="str" cm="1">
        <f t="array" ref="O31">_xlfn.XLOOKUP(
   $B$4&amp;" "&amp;$B31,
   Actuals!$D:$D,
   _xlfn.XLOOKUP(
      O$6,
      Actuals!$H$3:$BD$3,
      Actuals!$H:$BD
   )
)</f>
        <v>-</v>
      </c>
      <c r="P31" s="303" t="str" cm="1">
        <f t="array" ref="P31">_xlfn.XLOOKUP(
   $B$4&amp;" "&amp;$B31,
   Actuals!$D:$D,
   _xlfn.XLOOKUP(
      P$6,
      Actuals!$H$3:$BD$3,
      Actuals!$H:$BD
   )
)</f>
        <v>-</v>
      </c>
      <c r="Q31" s="303" t="str" cm="1">
        <f t="array" ref="Q31">_xlfn.XLOOKUP(
   $B$4&amp;" "&amp;$B31,
   Actuals!$D:$D,
   _xlfn.XLOOKUP(
      Q$6,
      Actuals!$H$3:$BD$3,
      Actuals!$H:$BD
   )
)</f>
        <v>-</v>
      </c>
      <c r="R31" s="303" t="str" cm="1">
        <f t="array" ref="R31">_xlfn.XLOOKUP(
   $B$4&amp;" "&amp;$B31,
   Actuals!$D:$D,
   _xlfn.XLOOKUP(
      R$6,
      Actuals!$H$3:$BD$3,
      Actuals!$H:$BD
   )
)</f>
        <v>-</v>
      </c>
      <c r="S31" s="303" t="str" cm="1">
        <f t="array" ref="S31">_xlfn.XLOOKUP(
   $B$4&amp;" "&amp;$B31,
   Actuals!$D:$D,
   _xlfn.XLOOKUP(
      S$6,
      Actuals!$H$3:$BD$3,
      Actuals!$H:$BD
   )
)</f>
        <v>-</v>
      </c>
      <c r="T31" s="303" t="str" cm="1">
        <f t="array" ref="T31">_xlfn.XLOOKUP(
   $B$4&amp;" "&amp;$B31,
   Actuals!$D:$D,
   _xlfn.XLOOKUP(
      T$6,
      Actuals!$H$3:$BD$3,
      Actuals!$H:$BD
   )
)</f>
        <v>-</v>
      </c>
      <c r="U31" s="303" t="str" cm="1">
        <f t="array" ref="U31">_xlfn.XLOOKUP(
   $B$4&amp;" "&amp;$B31,
   Actuals!$D:$D,
   _xlfn.XLOOKUP(
      U$6,
      Actuals!$H$3:$BD$3,
      Actuals!$H:$BD
   )
)</f>
        <v>-</v>
      </c>
      <c r="V31" s="303" t="str" cm="1">
        <f t="array" ref="V31">_xlfn.XLOOKUP(
   $B$4&amp;" "&amp;$B31,
   Actuals!$D:$D,
   _xlfn.XLOOKUP(
      V$6,
      Actuals!$H$3:$BD$3,
      Actuals!$H:$BD
   )
)</f>
        <v>-</v>
      </c>
      <c r="W31" s="303" t="str" cm="1">
        <f t="array" ref="W31">_xlfn.XLOOKUP(
   $B$4&amp;" "&amp;$B31,
   Actuals!$D:$D,
   _xlfn.XLOOKUP(
      W$6,
      Actuals!$H$3:$BD$3,
      Actuals!$H:$BD
   )
)</f>
        <v>-</v>
      </c>
      <c r="X31" s="303" t="str" cm="1">
        <f t="array" ref="X31">_xlfn.XLOOKUP(
   $B$4&amp;" "&amp;$B31,
   Actuals!$D:$D,
   _xlfn.XLOOKUP(
      X$6,
      Actuals!$H$3:$BD$3,
      Actuals!$H:$BD
   )
)</f>
        <v>-</v>
      </c>
      <c r="Y31" s="303" t="str" cm="1">
        <f t="array" ref="Y31">_xlfn.XLOOKUP(
   $B$4&amp;" "&amp;$B31,
   Actuals!$D:$D,
   _xlfn.XLOOKUP(
      Y$6,
      Actuals!$H$3:$BD$3,
      Actuals!$H:$BD
   )
)</f>
        <v>-</v>
      </c>
      <c r="Z31" s="303" t="str" cm="1">
        <f t="array" ref="Z31">_xlfn.XLOOKUP(
   $B$4&amp;" "&amp;$B31,
   Actuals!$D:$D,
   _xlfn.XLOOKUP(
      Z$6,
      Actuals!$H$3:$BD$3,
      Actuals!$H:$BD
   )
)</f>
        <v>-</v>
      </c>
      <c r="AA31" s="303" t="str" cm="1">
        <f t="array" ref="AA31">_xlfn.XLOOKUP(
   $B$4&amp;" "&amp;$B31,
   Actuals!$D:$D,
   _xlfn.XLOOKUP(
      AA$6,
      Actuals!$H$3:$BD$3,
      Actuals!$H:$BD
   )
)</f>
        <v>-</v>
      </c>
      <c r="AB31" s="303" t="str" cm="1">
        <f t="array" ref="AB31">_xlfn.XLOOKUP(
   $B$4&amp;" "&amp;$B31,
   Actuals!$D:$D,
   _xlfn.XLOOKUP(
      AB$6,
      Actuals!$H$3:$BD$3,
      Actuals!$H:$BD
   )
)</f>
        <v>-</v>
      </c>
      <c r="AC31" s="303" t="str" cm="1">
        <f t="array" ref="AC31">_xlfn.XLOOKUP(
   $B$4&amp;" "&amp;$B31,
   Actuals!$D:$D,
   _xlfn.XLOOKUP(
      AC$6,
      Actuals!$H$3:$BD$3,
      Actuals!$H:$BD
   )
)</f>
        <v>-</v>
      </c>
      <c r="AD31" s="303" t="str" cm="1">
        <f t="array" ref="AD31">_xlfn.XLOOKUP(
   $B$4&amp;" "&amp;$B31,
   Actuals!$D:$D,
   _xlfn.XLOOKUP(
      AD$6,
      Actuals!$H$3:$BD$3,
      Actuals!$H:$BD
   )
)</f>
        <v>-</v>
      </c>
      <c r="AE31" s="303" t="str" cm="1">
        <f t="array" ref="AE31">_xlfn.XLOOKUP(
   $B$4&amp;" "&amp;$B31,
   Actuals!$D:$D,
   _xlfn.XLOOKUP(
      AE$6,
      Actuals!$H$3:$BD$3,
      Actuals!$H:$BD
   )
)</f>
        <v>-</v>
      </c>
      <c r="AF31" s="303" t="str" cm="1">
        <f t="array" ref="AF31">_xlfn.XLOOKUP(
   $B$4&amp;" "&amp;$B31,
   Actuals!$D:$D,
   _xlfn.XLOOKUP(
      AF$6,
      Actuals!$H$3:$BD$3,
      Actuals!$H:$BD
   )
)</f>
        <v>-</v>
      </c>
      <c r="AG31" s="303" t="str" cm="1">
        <f t="array" ref="AG31">_xlfn.XLOOKUP(
   $B$4&amp;" "&amp;$B31,
   Actuals!$D:$D,
   _xlfn.XLOOKUP(
      AG$6,
      Actuals!$H$3:$BD$3,
      Actuals!$H:$BD
   )
)</f>
        <v>-</v>
      </c>
      <c r="AH31" s="303" t="str" cm="1">
        <f t="array" ref="AH31">_xlfn.XLOOKUP(
   $B$4&amp;" "&amp;$B31,
   Actuals!$D:$D,
   _xlfn.XLOOKUP(
      AH$6,
      Actuals!$H$3:$BD$3,
      Actuals!$H:$BD
   )
)</f>
        <v>-</v>
      </c>
      <c r="AI31" s="303" t="str" cm="1">
        <f t="array" ref="AI31">_xlfn.XLOOKUP(
   $B$4&amp;" "&amp;$B31,
   Actuals!$D:$D,
   _xlfn.XLOOKUP(
      AI$6,
      Actuals!$H$3:$BD$3,
      Actuals!$H:$BD
   )
)</f>
        <v>-</v>
      </c>
      <c r="AJ31" s="303" t="str" cm="1">
        <f t="array" ref="AJ31">_xlfn.XLOOKUP(
   $B$4&amp;" "&amp;$B31,
   Actuals!$D:$D,
   _xlfn.XLOOKUP(
      AJ$6,
      Actuals!$H$3:$BD$3,
      Actuals!$H:$BD
   )
)</f>
        <v>-</v>
      </c>
      <c r="AK31" s="303" t="str" cm="1">
        <f t="array" ref="AK31">_xlfn.XLOOKUP(
   $B$4&amp;" "&amp;$B31,
   Actuals!$D:$D,
   _xlfn.XLOOKUP(
      AK$6,
      Actuals!$H$3:$BD$3,
      Actuals!$H:$BD
   )
)</f>
        <v>-</v>
      </c>
      <c r="AL31" s="303" t="str" cm="1">
        <f t="array" ref="AL31">_xlfn.XLOOKUP(
   $B$4&amp;" "&amp;$B31,
   Actuals!$D:$D,
   _xlfn.XLOOKUP(
      AL$6,
      Actuals!$H$3:$BD$3,
      Actuals!$H:$BD
   )
)</f>
        <v>-</v>
      </c>
      <c r="AM31" s="303" t="str" cm="1">
        <f t="array" ref="AM31">_xlfn.XLOOKUP(
   $B$4&amp;" "&amp;$B31,
   Actuals!$D:$D,
   _xlfn.XLOOKUP(
      AM$6,
      Actuals!$H$3:$BD$3,
      Actuals!$H:$BD
   )
)</f>
        <v>-</v>
      </c>
      <c r="AN31" s="303" t="str" cm="1">
        <f t="array" ref="AN31">_xlfn.XLOOKUP(
   $B$4&amp;" "&amp;$B31,
   Actuals!$D:$D,
   _xlfn.XLOOKUP(
      AN$6,
      Actuals!$H$3:$BD$3,
      Actuals!$H:$BD
   )
)</f>
        <v>-</v>
      </c>
      <c r="AO31" s="303" t="str" cm="1">
        <f t="array" ref="AO31">_xlfn.XLOOKUP(
   $B$4&amp;" "&amp;$B31,
   Actuals!$D:$D,
   _xlfn.XLOOKUP(
      AO$6,
      Actuals!$H$3:$BD$3,
      Actuals!$H:$BD
   )
)</f>
        <v>-</v>
      </c>
      <c r="AP31" s="303" t="str" cm="1">
        <f t="array" ref="AP31">_xlfn.XLOOKUP(
   $B$4&amp;" "&amp;$B31,
   Actuals!$D:$D,
   _xlfn.XLOOKUP(
      AP$6,
      Actuals!$H$3:$BD$3,
      Actuals!$H:$BD
   )
)</f>
        <v>-</v>
      </c>
      <c r="AQ31" s="303" t="str" cm="1">
        <f t="array" ref="AQ31">_xlfn.XLOOKUP(
   $B$4&amp;" "&amp;$B31,
   Actuals!$D:$D,
   _xlfn.XLOOKUP(
      AQ$6,
      Actuals!$H$3:$BD$3,
      Actuals!$H:$BD
   )
)</f>
        <v>-</v>
      </c>
      <c r="AR31" s="303" t="str" cm="1">
        <f t="array" ref="AR31">_xlfn.XLOOKUP(
   $B$4&amp;" "&amp;$B31,
   Actuals!$D:$D,
   _xlfn.XLOOKUP(
      AR$6,
      Actuals!$H$3:$BD$3,
      Actuals!$H:$BD
   )
)</f>
        <v>-</v>
      </c>
      <c r="AS31" s="303" t="str" cm="1">
        <f t="array" ref="AS31">_xlfn.XLOOKUP(
   $B$4&amp;" "&amp;$B31,
   Actuals!$D:$D,
   _xlfn.XLOOKUP(
      AS$6,
      Actuals!$H$3:$BD$3,
      Actuals!$H:$BD
   )
)</f>
        <v>-</v>
      </c>
      <c r="AT31" s="303" t="str" cm="1">
        <f t="array" ref="AT31">_xlfn.XLOOKUP(
   $B$4&amp;" "&amp;$B31,
   Actuals!$D:$D,
   _xlfn.XLOOKUP(
      AT$6,
      Actuals!$H$3:$BD$3,
      Actuals!$H:$BD
   )
)</f>
        <v>-</v>
      </c>
      <c r="AU31" s="303" t="str" cm="1">
        <f t="array" ref="AU31">_xlfn.XLOOKUP(
   $B$4&amp;" "&amp;$B31,
   Actuals!$D:$D,
   _xlfn.XLOOKUP(
      AU$6,
      Actuals!$H$3:$BD$3,
      Actuals!$H:$BD
   )
)</f>
        <v>-</v>
      </c>
      <c r="AV31" s="303" t="str" cm="1">
        <f t="array" ref="AV31">_xlfn.XLOOKUP(
   $B$4&amp;" "&amp;$B31,
   Actuals!$D:$D,
   _xlfn.XLOOKUP(
      AV$6,
      Actuals!$H$3:$BD$3,
      Actuals!$H:$BD
   )
)</f>
        <v>-</v>
      </c>
      <c r="AW31" s="303" t="str" cm="1">
        <f t="array" ref="AW31">_xlfn.XLOOKUP(
   $B$4&amp;" "&amp;$B31,
   Actuals!$D:$D,
   _xlfn.XLOOKUP(
      AW$6,
      Actuals!$H$3:$BD$3,
      Actuals!$H:$BD
   )
)</f>
        <v>-</v>
      </c>
      <c r="AX31" s="303" t="str" cm="1">
        <f t="array" ref="AX31">_xlfn.XLOOKUP(
   $B$4&amp;" "&amp;$B31,
   Actuals!$D:$D,
   _xlfn.XLOOKUP(
      AX$6,
      Actuals!$H$3:$BD$3,
      Actuals!$H:$BD
   )
)</f>
        <v>-</v>
      </c>
      <c r="AY31" s="303" t="str" cm="1">
        <f t="array" ref="AY31">_xlfn.XLOOKUP(
   $B$4&amp;" "&amp;$B31,
   Actuals!$D:$D,
   _xlfn.XLOOKUP(
      AY$6,
      Actuals!$H$3:$BD$3,
      Actuals!$H:$BD
   )
)</f>
        <v>-</v>
      </c>
      <c r="AZ31" s="303" t="str" cm="1">
        <f t="array" ref="AZ31">_xlfn.XLOOKUP(
   $B$4&amp;" "&amp;$B31,
   Actuals!$D:$D,
   _xlfn.XLOOKUP(
      AZ$6,
      Actuals!$H$3:$BD$3,
      Actuals!$H:$BD
   )
)</f>
        <v>-</v>
      </c>
      <c r="BA31" s="303"/>
      <c r="BB31" s="303" t="str" cm="1">
        <f t="array" ref="BB31">_xlfn.XLOOKUP(
   $B$4&amp;" "&amp;$B31,
   Actuals!$D:$D,
   _xlfn.XLOOKUP(
      BB$7,
      Actuals!$H$3:$BM$3,
      Actuals!$H:$BM
   )
)</f>
        <v>-</v>
      </c>
      <c r="BC31" s="303">
        <f>VLOOKUP($B$4&amp;" "&amp;$B31,Budget!$AG$4:$AL$132,$BB$5+1,FALSE)</f>
        <v>0</v>
      </c>
      <c r="BD31" s="303" t="e">
        <f>BB31-BC31</f>
        <v>#VALUE!</v>
      </c>
      <c r="BE31" s="303"/>
      <c r="BF31" s="303" t="str" cm="1">
        <f t="array" ref="BF31">_xlfn.XLOOKUP(
   $B$4&amp;" "&amp;$B31,
   Actuals!$D:$D,
   _xlfn.XLOOKUP(
      BF$7,
      Actuals!$H$3:$BM$3,
      Actuals!$H:$BM
   )
)</f>
        <v>-</v>
      </c>
      <c r="BG31" s="303">
        <f>VLOOKUP($B$4&amp;" "&amp;$B31,Budget!$AG$4:$AL$132,BF$5+1,FALSE)</f>
        <v>0</v>
      </c>
      <c r="BH31" s="303"/>
      <c r="BI31" s="303"/>
      <c r="BJ31" s="303" t="str" cm="1">
        <f t="array" ref="BJ31">_xlfn.XLOOKUP(
   $B$4&amp;" "&amp;$B31,
   Actuals!$D:$D,
   _xlfn.XLOOKUP(
      BJ$7,
      Actuals!$H$3:$BM$3,
      Actuals!$H:$BM
   )
)</f>
        <v>-</v>
      </c>
      <c r="BK31" s="303">
        <f>VLOOKUP($B$4&amp;" "&amp;$B31,Budget!$AG$4:$AL$132,BJ$5+1,FALSE)</f>
        <v>0</v>
      </c>
      <c r="BL31" s="303"/>
      <c r="BM31" s="303"/>
      <c r="BN31" s="303" t="str" cm="1">
        <f t="array" ref="BN31">_xlfn.XLOOKUP(
   $B$4&amp;" "&amp;$B31,
   Actuals!$D:$D,
   _xlfn.XLOOKUP(
      BN$7,
      Actuals!$H$3:$BM$3,
      Actuals!$H:$BM
   )
)</f>
        <v>-</v>
      </c>
      <c r="BO31" s="303">
        <f>VLOOKUP($B$4&amp;" "&amp;$B31,Budget!$AG$4:$AL$132,BN$5+1,FALSE)</f>
        <v>0</v>
      </c>
      <c r="BP31" s="303"/>
      <c r="BQ31" s="303"/>
      <c r="BR31" s="303" t="str" cm="1">
        <f t="array" aca="1" ref="BR31" ca="1">_xlfn.XLOOKUP(
   $B$4&amp;" "&amp;$B31,
   Actuals!$D:$D,
   _xlfn.XLOOKUP(
      BR$6,
      Actuals!$H$3:$BM$3,
      Actuals!$H:$BM
   )
)</f>
        <v>-</v>
      </c>
      <c r="BS31" s="303">
        <f ca="1">VLOOKUP($B$4&amp;" "&amp;$B31,Budget!$AG$4:$AL$132,6,FALSE)</f>
        <v>0</v>
      </c>
      <c r="BT31" s="303" t="e">
        <f ca="1">BR31-BS31</f>
        <v>#VALUE!</v>
      </c>
      <c r="BU31" s="303"/>
      <c r="BV31" s="303" t="str" cm="1">
        <f t="array" ref="BV31">_xlfn.XLOOKUP(
   $B$4&amp;" "&amp;$B31,
   Actuals!$D:$D,
   _xlfn.XLOOKUP(
      BV$6,
      Actuals!$H$3:$BM$3,
      Actuals!$H:$BM
   )
)</f>
        <v/>
      </c>
    </row>
    <row r="32" spans="1:74">
      <c r="A32" s="26"/>
      <c r="C32" s="139"/>
      <c r="D32" s="171"/>
      <c r="E32" s="168"/>
      <c r="F32" s="168"/>
      <c r="G32" s="168"/>
      <c r="H32" s="168"/>
      <c r="I32" s="168"/>
      <c r="J32" s="168"/>
      <c r="K32" s="168"/>
      <c r="L32" s="168"/>
      <c r="M32" s="168"/>
      <c r="N32" s="168"/>
      <c r="O32" s="292"/>
      <c r="P32" s="292"/>
      <c r="Q32" s="292"/>
      <c r="R32" s="292"/>
      <c r="S32" s="292"/>
      <c r="T32" s="292"/>
      <c r="U32" s="292"/>
      <c r="V32" s="292"/>
      <c r="W32" s="292"/>
      <c r="X32" s="292"/>
      <c r="Y32" s="292"/>
      <c r="Z32" s="292"/>
      <c r="AA32" s="292"/>
      <c r="AB32" s="292"/>
      <c r="AC32" s="292"/>
      <c r="AD32" s="292"/>
      <c r="AE32" s="292"/>
      <c r="AF32" s="292"/>
      <c r="AG32" s="292"/>
      <c r="AH32" s="292"/>
      <c r="AI32" s="292"/>
      <c r="AJ32" s="292"/>
      <c r="AK32" s="292"/>
      <c r="AL32" s="292"/>
      <c r="AM32" s="292"/>
      <c r="AN32" s="292"/>
      <c r="AO32" s="292"/>
      <c r="AP32" s="292"/>
      <c r="AQ32" s="292"/>
      <c r="AR32" s="292"/>
      <c r="AS32" s="292"/>
      <c r="AT32" s="292"/>
      <c r="AU32" s="292"/>
      <c r="AV32" s="292"/>
      <c r="AW32" s="292"/>
      <c r="AX32" s="292"/>
      <c r="AY32" s="292"/>
      <c r="AZ32" s="292"/>
      <c r="BA32" s="292"/>
      <c r="BB32" s="292"/>
      <c r="BC32" s="292"/>
      <c r="BD32" s="292"/>
      <c r="BE32" s="292"/>
      <c r="BF32" s="292"/>
      <c r="BG32" s="292"/>
      <c r="BH32" s="292"/>
      <c r="BI32" s="292"/>
      <c r="BJ32" s="292"/>
      <c r="BK32" s="292"/>
      <c r="BL32" s="292"/>
      <c r="BM32" s="292"/>
      <c r="BN32" s="292"/>
      <c r="BO32" s="292"/>
      <c r="BP32" s="292"/>
      <c r="BQ32" s="292"/>
      <c r="BR32" s="292"/>
      <c r="BS32" s="292"/>
      <c r="BT32" s="292"/>
      <c r="BU32" s="292"/>
      <c r="BV32" s="292"/>
    </row>
    <row r="33" spans="1:77" ht="13">
      <c r="A33" s="26"/>
      <c r="B33" s="126" t="s">
        <v>188</v>
      </c>
      <c r="C33" s="138"/>
      <c r="D33" s="174"/>
      <c r="E33" s="127"/>
      <c r="F33" s="127"/>
      <c r="G33" s="127"/>
      <c r="H33" s="127"/>
      <c r="I33" s="127"/>
      <c r="J33" s="127"/>
      <c r="K33" s="127"/>
      <c r="L33" s="127"/>
      <c r="M33" s="127"/>
      <c r="N33" s="127"/>
      <c r="O33" s="321"/>
      <c r="P33" s="321"/>
      <c r="Q33" s="321"/>
      <c r="R33" s="321"/>
      <c r="S33" s="321"/>
      <c r="T33" s="321"/>
      <c r="U33" s="321"/>
      <c r="V33" s="321"/>
      <c r="W33" s="321"/>
      <c r="X33" s="321"/>
      <c r="Y33" s="321"/>
      <c r="Z33" s="321"/>
      <c r="AA33" s="321"/>
      <c r="AB33" s="321"/>
      <c r="AC33" s="321"/>
      <c r="AD33" s="321"/>
      <c r="AE33" s="321"/>
      <c r="AF33" s="321"/>
      <c r="AG33" s="321"/>
      <c r="AH33" s="321"/>
      <c r="AI33" s="321"/>
      <c r="AJ33" s="321"/>
      <c r="AK33" s="321"/>
      <c r="AL33" s="321"/>
      <c r="AM33" s="321"/>
      <c r="AN33" s="321"/>
      <c r="AO33" s="321"/>
      <c r="AP33" s="321"/>
      <c r="AQ33" s="321"/>
      <c r="AR33" s="321"/>
      <c r="AS33" s="321"/>
      <c r="AT33" s="321"/>
      <c r="AU33" s="321"/>
      <c r="AV33" s="321"/>
      <c r="AW33" s="321"/>
      <c r="AX33" s="321"/>
      <c r="AY33" s="321"/>
      <c r="AZ33" s="321"/>
      <c r="BA33" s="321"/>
      <c r="BB33" s="321"/>
      <c r="BC33" s="321"/>
      <c r="BD33" s="321"/>
      <c r="BE33" s="321"/>
      <c r="BF33" s="321"/>
      <c r="BG33" s="321"/>
      <c r="BH33" s="321"/>
      <c r="BI33" s="321"/>
      <c r="BJ33" s="321"/>
      <c r="BK33" s="321"/>
      <c r="BL33" s="321"/>
      <c r="BM33" s="321"/>
      <c r="BN33" s="321"/>
      <c r="BO33" s="321"/>
      <c r="BP33" s="321"/>
      <c r="BQ33" s="321"/>
      <c r="BR33" s="321"/>
      <c r="BS33" s="321"/>
      <c r="BT33" s="321"/>
      <c r="BU33" s="321"/>
      <c r="BV33" s="321"/>
      <c r="BW33" s="26"/>
      <c r="BX33" s="26"/>
      <c r="BY33" s="26"/>
    </row>
    <row r="34" spans="1:77">
      <c r="A34" s="26"/>
      <c r="B34" s="26" t="s">
        <v>189</v>
      </c>
      <c r="C34" s="139" t="s">
        <v>47</v>
      </c>
      <c r="D34" s="171" t="str">
        <f>VLOOKUP($B$4&amp;" "&amp;$B34,Actuals!$D$4:$AG$131,3,FALSE)</f>
        <v>#</v>
      </c>
      <c r="E34" s="168" cm="1">
        <f t="array" ref="E34">_xlfn.XLOOKUP(
   $B$4&amp;" "&amp;$B34,
   Actuals!$D:$D,
   _xlfn.XLOOKUP(
      E$6,
      Actuals!$H$3:$BD$3,
      Actuals!$H:$BD
   )
)</f>
        <v>33</v>
      </c>
      <c r="F34" s="168" cm="1">
        <f t="array" ref="F34">_xlfn.XLOOKUP(
   $B$4&amp;" "&amp;$B34,
   Actuals!$D:$D,
   _xlfn.XLOOKUP(
      F$6,
      Actuals!$H$3:$BD$3,
      Actuals!$H:$BD
   )
)</f>
        <v>33</v>
      </c>
      <c r="G34" s="168" cm="1">
        <f t="array" ref="G34">_xlfn.XLOOKUP(
   $B$4&amp;" "&amp;$B34,
   Actuals!$D:$D,
   _xlfn.XLOOKUP(
      G$6,
      Actuals!$H$3:$BD$3,
      Actuals!$H:$BD
   )
)</f>
        <v>34</v>
      </c>
      <c r="H34" s="168" cm="1">
        <f t="array" ref="H34">_xlfn.XLOOKUP(
   $B$4&amp;" "&amp;$B34,
   Actuals!$D:$D,
   _xlfn.XLOOKUP(
      H$6,
      Actuals!$H$3:$BD$3,
      Actuals!$H:$BD
   )
)</f>
        <v>33</v>
      </c>
      <c r="I34" s="168" cm="1">
        <f t="array" ref="I34">_xlfn.XLOOKUP(
   $B$4&amp;" "&amp;$B34,
   Actuals!$D:$D,
   _xlfn.XLOOKUP(
      I$6,
      Actuals!$H$3:$BD$3,
      Actuals!$H:$BD
   )
)</f>
        <v>32</v>
      </c>
      <c r="J34" s="168" cm="1">
        <f t="array" ref="J34">_xlfn.XLOOKUP(
   $B$4&amp;" "&amp;$B34,
   Actuals!$D:$D,
   _xlfn.XLOOKUP(
      J$6,
      Actuals!$H$3:$BD$3,
      Actuals!$H:$BD
   )
)</f>
        <v>31</v>
      </c>
      <c r="K34" s="168" cm="1">
        <f t="array" ref="K34">_xlfn.XLOOKUP(
   $B$4&amp;" "&amp;$B34,
   Actuals!$D:$D,
   _xlfn.XLOOKUP(
      K$6,
      Actuals!$H$3:$BD$3,
      Actuals!$H:$BD
   )
)</f>
        <v>28</v>
      </c>
      <c r="L34" s="168" cm="1">
        <f t="array" ref="L34">_xlfn.XLOOKUP(
   $B$4&amp;" "&amp;$B34,
   Actuals!$D:$D,
   _xlfn.XLOOKUP(
      L$6,
      Actuals!$H$3:$BD$3,
      Actuals!$H:$BD
   )
)</f>
        <v>30</v>
      </c>
      <c r="M34" s="168" cm="1">
        <f t="array" ref="M34">_xlfn.XLOOKUP(
   $B$4&amp;" "&amp;$B34,
   Actuals!$D:$D,
   _xlfn.XLOOKUP(
      M$6,
      Actuals!$H$3:$BD$3,
      Actuals!$H:$BD
   )
)</f>
        <v>27</v>
      </c>
      <c r="N34" s="168" cm="1">
        <f t="array" ref="N34">_xlfn.XLOOKUP(
   $B$4&amp;" "&amp;$B34,
   Actuals!$D:$D,
   _xlfn.XLOOKUP(
      N$6,
      Actuals!$H$3:$BD$3,
      Actuals!$H:$BD
   )
)</f>
        <v>27</v>
      </c>
      <c r="O34" s="292" cm="1">
        <f t="array" ref="O34">_xlfn.XLOOKUP(
   $B$4&amp;" "&amp;$B34,
   Actuals!$D:$D,
   _xlfn.XLOOKUP(
      O$6,
      Actuals!$H$3:$BD$3,
      Actuals!$H:$BD
   )
)</f>
        <v>0</v>
      </c>
      <c r="P34" s="292" cm="1">
        <f t="array" ref="P34">_xlfn.XLOOKUP(
   $B$4&amp;" "&amp;$B34,
   Actuals!$D:$D,
   _xlfn.XLOOKUP(
      P$6,
      Actuals!$H$3:$BD$3,
      Actuals!$H:$BD
   )
)</f>
        <v>0</v>
      </c>
      <c r="Q34" s="292" cm="1">
        <f t="array" ref="Q34">_xlfn.XLOOKUP(
   $B$4&amp;" "&amp;$B34,
   Actuals!$D:$D,
   _xlfn.XLOOKUP(
      Q$6,
      Actuals!$H$3:$BD$3,
      Actuals!$H:$BD
   )
)</f>
        <v>0</v>
      </c>
      <c r="R34" s="292" cm="1">
        <f t="array" ref="R34">_xlfn.XLOOKUP(
   $B$4&amp;" "&amp;$B34,
   Actuals!$D:$D,
   _xlfn.XLOOKUP(
      R$6,
      Actuals!$H$3:$BD$3,
      Actuals!$H:$BD
   )
)</f>
        <v>0</v>
      </c>
      <c r="S34" s="292" cm="1">
        <f t="array" ref="S34">_xlfn.XLOOKUP(
   $B$4&amp;" "&amp;$B34,
   Actuals!$D:$D,
   _xlfn.XLOOKUP(
      S$6,
      Actuals!$H$3:$BD$3,
      Actuals!$H:$BD
   )
)</f>
        <v>0</v>
      </c>
      <c r="T34" s="292" cm="1">
        <f t="array" ref="T34">_xlfn.XLOOKUP(
   $B$4&amp;" "&amp;$B34,
   Actuals!$D:$D,
   _xlfn.XLOOKUP(
      T$6,
      Actuals!$H$3:$BD$3,
      Actuals!$H:$BD
   )
)</f>
        <v>0</v>
      </c>
      <c r="U34" s="292" cm="1">
        <f t="array" ref="U34">_xlfn.XLOOKUP(
   $B$4&amp;" "&amp;$B34,
   Actuals!$D:$D,
   _xlfn.XLOOKUP(
      U$6,
      Actuals!$H$3:$BD$3,
      Actuals!$H:$BD
   )
)</f>
        <v>0</v>
      </c>
      <c r="V34" s="292" cm="1">
        <f t="array" ref="V34">_xlfn.XLOOKUP(
   $B$4&amp;" "&amp;$B34,
   Actuals!$D:$D,
   _xlfn.XLOOKUP(
      V$6,
      Actuals!$H$3:$BD$3,
      Actuals!$H:$BD
   )
)</f>
        <v>0</v>
      </c>
      <c r="W34" s="292" cm="1">
        <f t="array" ref="W34">_xlfn.XLOOKUP(
   $B$4&amp;" "&amp;$B34,
   Actuals!$D:$D,
   _xlfn.XLOOKUP(
      W$6,
      Actuals!$H$3:$BD$3,
      Actuals!$H:$BD
   )
)</f>
        <v>0</v>
      </c>
      <c r="X34" s="292" cm="1">
        <f t="array" ref="X34">_xlfn.XLOOKUP(
   $B$4&amp;" "&amp;$B34,
   Actuals!$D:$D,
   _xlfn.XLOOKUP(
      X$6,
      Actuals!$H$3:$BD$3,
      Actuals!$H:$BD
   )
)</f>
        <v>0</v>
      </c>
      <c r="Y34" s="292" cm="1">
        <f t="array" ref="Y34">_xlfn.XLOOKUP(
   $B$4&amp;" "&amp;$B34,
   Actuals!$D:$D,
   _xlfn.XLOOKUP(
      Y$6,
      Actuals!$H$3:$BD$3,
      Actuals!$H:$BD
   )
)</f>
        <v>0</v>
      </c>
      <c r="Z34" s="292" cm="1">
        <f t="array" ref="Z34">_xlfn.XLOOKUP(
   $B$4&amp;" "&amp;$B34,
   Actuals!$D:$D,
   _xlfn.XLOOKUP(
      Z$6,
      Actuals!$H$3:$BD$3,
      Actuals!$H:$BD
   )
)</f>
        <v>0</v>
      </c>
      <c r="AA34" s="292" cm="1">
        <f t="array" ref="AA34">_xlfn.XLOOKUP(
   $B$4&amp;" "&amp;$B34,
   Actuals!$D:$D,
   _xlfn.XLOOKUP(
      AA$6,
      Actuals!$H$3:$BD$3,
      Actuals!$H:$BD
   )
)</f>
        <v>0</v>
      </c>
      <c r="AB34" s="292" cm="1">
        <f t="array" ref="AB34">_xlfn.XLOOKUP(
   $B$4&amp;" "&amp;$B34,
   Actuals!$D:$D,
   _xlfn.XLOOKUP(
      AB$6,
      Actuals!$H$3:$BD$3,
      Actuals!$H:$BD
   )
)</f>
        <v>0</v>
      </c>
      <c r="AC34" s="292" cm="1">
        <f t="array" ref="AC34">_xlfn.XLOOKUP(
   $B$4&amp;" "&amp;$B34,
   Actuals!$D:$D,
   _xlfn.XLOOKUP(
      AC$6,
      Actuals!$H$3:$BD$3,
      Actuals!$H:$BD
   )
)</f>
        <v>0</v>
      </c>
      <c r="AD34" s="292" cm="1">
        <f t="array" ref="AD34">_xlfn.XLOOKUP(
   $B$4&amp;" "&amp;$B34,
   Actuals!$D:$D,
   _xlfn.XLOOKUP(
      AD$6,
      Actuals!$H$3:$BD$3,
      Actuals!$H:$BD
   )
)</f>
        <v>0</v>
      </c>
      <c r="AE34" s="292" cm="1">
        <f t="array" ref="AE34">_xlfn.XLOOKUP(
   $B$4&amp;" "&amp;$B34,
   Actuals!$D:$D,
   _xlfn.XLOOKUP(
      AE$6,
      Actuals!$H$3:$BD$3,
      Actuals!$H:$BD
   )
)</f>
        <v>0</v>
      </c>
      <c r="AF34" s="292" cm="1">
        <f t="array" ref="AF34">_xlfn.XLOOKUP(
   $B$4&amp;" "&amp;$B34,
   Actuals!$D:$D,
   _xlfn.XLOOKUP(
      AF$6,
      Actuals!$H$3:$BD$3,
      Actuals!$H:$BD
   )
)</f>
        <v>0</v>
      </c>
      <c r="AG34" s="292" cm="1">
        <f t="array" ref="AG34">_xlfn.XLOOKUP(
   $B$4&amp;" "&amp;$B34,
   Actuals!$D:$D,
   _xlfn.XLOOKUP(
      AG$6,
      Actuals!$H$3:$BD$3,
      Actuals!$H:$BD
   )
)</f>
        <v>0</v>
      </c>
      <c r="AH34" s="292" cm="1">
        <f t="array" ref="AH34">_xlfn.XLOOKUP(
   $B$4&amp;" "&amp;$B34,
   Actuals!$D:$D,
   _xlfn.XLOOKUP(
      AH$6,
      Actuals!$H$3:$BD$3,
      Actuals!$H:$BD
   )
)</f>
        <v>0</v>
      </c>
      <c r="AI34" s="292" cm="1">
        <f t="array" ref="AI34">_xlfn.XLOOKUP(
   $B$4&amp;" "&amp;$B34,
   Actuals!$D:$D,
   _xlfn.XLOOKUP(
      AI$6,
      Actuals!$H$3:$BD$3,
      Actuals!$H:$BD
   )
)</f>
        <v>0</v>
      </c>
      <c r="AJ34" s="292" cm="1">
        <f t="array" ref="AJ34">_xlfn.XLOOKUP(
   $B$4&amp;" "&amp;$B34,
   Actuals!$D:$D,
   _xlfn.XLOOKUP(
      AJ$6,
      Actuals!$H$3:$BD$3,
      Actuals!$H:$BD
   )
)</f>
        <v>0</v>
      </c>
      <c r="AK34" s="292" cm="1">
        <f t="array" ref="AK34">_xlfn.XLOOKUP(
   $B$4&amp;" "&amp;$B34,
   Actuals!$D:$D,
   _xlfn.XLOOKUP(
      AK$6,
      Actuals!$H$3:$BD$3,
      Actuals!$H:$BD
   )
)</f>
        <v>0</v>
      </c>
      <c r="AL34" s="292" cm="1">
        <f t="array" ref="AL34">_xlfn.XLOOKUP(
   $B$4&amp;" "&amp;$B34,
   Actuals!$D:$D,
   _xlfn.XLOOKUP(
      AL$6,
      Actuals!$H$3:$BD$3,
      Actuals!$H:$BD
   )
)</f>
        <v>0</v>
      </c>
      <c r="AM34" s="292" cm="1">
        <f t="array" ref="AM34">_xlfn.XLOOKUP(
   $B$4&amp;" "&amp;$B34,
   Actuals!$D:$D,
   _xlfn.XLOOKUP(
      AM$6,
      Actuals!$H$3:$BD$3,
      Actuals!$H:$BD
   )
)</f>
        <v>0</v>
      </c>
      <c r="AN34" s="292" cm="1">
        <f t="array" ref="AN34">_xlfn.XLOOKUP(
   $B$4&amp;" "&amp;$B34,
   Actuals!$D:$D,
   _xlfn.XLOOKUP(
      AN$6,
      Actuals!$H$3:$BD$3,
      Actuals!$H:$BD
   )
)</f>
        <v>0</v>
      </c>
      <c r="AO34" s="292" cm="1">
        <f t="array" ref="AO34">_xlfn.XLOOKUP(
   $B$4&amp;" "&amp;$B34,
   Actuals!$D:$D,
   _xlfn.XLOOKUP(
      AO$6,
      Actuals!$H$3:$BD$3,
      Actuals!$H:$BD
   )
)</f>
        <v>0</v>
      </c>
      <c r="AP34" s="292" cm="1">
        <f t="array" ref="AP34">_xlfn.XLOOKUP(
   $B$4&amp;" "&amp;$B34,
   Actuals!$D:$D,
   _xlfn.XLOOKUP(
      AP$6,
      Actuals!$H$3:$BD$3,
      Actuals!$H:$BD
   )
)</f>
        <v>0</v>
      </c>
      <c r="AQ34" s="292" cm="1">
        <f t="array" ref="AQ34">_xlfn.XLOOKUP(
   $B$4&amp;" "&amp;$B34,
   Actuals!$D:$D,
   _xlfn.XLOOKUP(
      AQ$6,
      Actuals!$H$3:$BD$3,
      Actuals!$H:$BD
   )
)</f>
        <v>0</v>
      </c>
      <c r="AR34" s="292" cm="1">
        <f t="array" ref="AR34">_xlfn.XLOOKUP(
   $B$4&amp;" "&amp;$B34,
   Actuals!$D:$D,
   _xlfn.XLOOKUP(
      AR$6,
      Actuals!$H$3:$BD$3,
      Actuals!$H:$BD
   )
)</f>
        <v>0</v>
      </c>
      <c r="AS34" s="292" cm="1">
        <f t="array" ref="AS34">_xlfn.XLOOKUP(
   $B$4&amp;" "&amp;$B34,
   Actuals!$D:$D,
   _xlfn.XLOOKUP(
      AS$6,
      Actuals!$H$3:$BD$3,
      Actuals!$H:$BD
   )
)</f>
        <v>0</v>
      </c>
      <c r="AT34" s="292" cm="1">
        <f t="array" ref="AT34">_xlfn.XLOOKUP(
   $B$4&amp;" "&amp;$B34,
   Actuals!$D:$D,
   _xlfn.XLOOKUP(
      AT$6,
      Actuals!$H$3:$BD$3,
      Actuals!$H:$BD
   )
)</f>
        <v>0</v>
      </c>
      <c r="AU34" s="292" cm="1">
        <f t="array" ref="AU34">_xlfn.XLOOKUP(
   $B$4&amp;" "&amp;$B34,
   Actuals!$D:$D,
   _xlfn.XLOOKUP(
      AU$6,
      Actuals!$H$3:$BD$3,
      Actuals!$H:$BD
   )
)</f>
        <v>0</v>
      </c>
      <c r="AV34" s="292" cm="1">
        <f t="array" ref="AV34">_xlfn.XLOOKUP(
   $B$4&amp;" "&amp;$B34,
   Actuals!$D:$D,
   _xlfn.XLOOKUP(
      AV$6,
      Actuals!$H$3:$BD$3,
      Actuals!$H:$BD
   )
)</f>
        <v>0</v>
      </c>
      <c r="AW34" s="292" cm="1">
        <f t="array" ref="AW34">_xlfn.XLOOKUP(
   $B$4&amp;" "&amp;$B34,
   Actuals!$D:$D,
   _xlfn.XLOOKUP(
      AW$6,
      Actuals!$H$3:$BD$3,
      Actuals!$H:$BD
   )
)</f>
        <v>0</v>
      </c>
      <c r="AX34" s="292" cm="1">
        <f t="array" ref="AX34">_xlfn.XLOOKUP(
   $B$4&amp;" "&amp;$B34,
   Actuals!$D:$D,
   _xlfn.XLOOKUP(
      AX$6,
      Actuals!$H$3:$BD$3,
      Actuals!$H:$BD
   )
)</f>
        <v>0</v>
      </c>
      <c r="AY34" s="292" cm="1">
        <f t="array" ref="AY34">_xlfn.XLOOKUP(
   $B$4&amp;" "&amp;$B34,
   Actuals!$D:$D,
   _xlfn.XLOOKUP(
      AY$6,
      Actuals!$H$3:$BD$3,
      Actuals!$H:$BD
   )
)</f>
        <v>0</v>
      </c>
      <c r="AZ34" s="292" cm="1">
        <f t="array" ref="AZ34">_xlfn.XLOOKUP(
   $B$4&amp;" "&amp;$B34,
   Actuals!$D:$D,
   _xlfn.XLOOKUP(
      AZ$6,
      Actuals!$H$3:$BD$3,
      Actuals!$H:$BD
   )
)</f>
        <v>0</v>
      </c>
      <c r="BA34" s="292"/>
      <c r="BB34" s="292" cm="1">
        <f t="array" ref="BB34">_xlfn.XLOOKUP(
   $B$4&amp;" "&amp;$B34,
   Actuals!$D:$D,
   _xlfn.XLOOKUP(
      BB$7,
      Actuals!$H$3:$BM$3,
      Actuals!$H:$BM
   )
)</f>
        <v>0</v>
      </c>
      <c r="BC34" s="292">
        <f>VLOOKUP($B$4&amp;" "&amp;$B34,Budget!$AG$4:$AL$132,$BB$5+1,FALSE)</f>
        <v>0</v>
      </c>
      <c r="BD34" s="292">
        <f>BB34-BC34</f>
        <v>0</v>
      </c>
      <c r="BE34" s="292"/>
      <c r="BF34" s="292" cm="1">
        <f t="array" ref="BF34">_xlfn.XLOOKUP(
   $B$4&amp;" "&amp;$B34,
   Actuals!$D:$D,
   _xlfn.XLOOKUP(
      BF$7,
      Actuals!$H$3:$BM$3,
      Actuals!$H:$BM
   )
)</f>
        <v>0</v>
      </c>
      <c r="BG34" s="292">
        <f>VLOOKUP($B$4&amp;" "&amp;$B34,Budget!$AG$4:$AL$132,BF$5+1,FALSE)</f>
        <v>0</v>
      </c>
      <c r="BH34" s="292">
        <f>BF34-BG34</f>
        <v>0</v>
      </c>
      <c r="BI34" s="292"/>
      <c r="BJ34" s="292" cm="1">
        <f t="array" ref="BJ34">_xlfn.XLOOKUP(
   $B$4&amp;" "&amp;$B34,
   Actuals!$D:$D,
   _xlfn.XLOOKUP(
      BJ$7,
      Actuals!$H$3:$BM$3,
      Actuals!$H:$BM
   )
)</f>
        <v>0</v>
      </c>
      <c r="BK34" s="292">
        <f>VLOOKUP($B$4&amp;" "&amp;$B34,Budget!$AG$4:$AL$132,BJ$5+1,FALSE)</f>
        <v>0</v>
      </c>
      <c r="BL34" s="292">
        <f>BJ34-BK34</f>
        <v>0</v>
      </c>
      <c r="BM34" s="292"/>
      <c r="BN34" s="292" cm="1">
        <f t="array" ref="BN34">_xlfn.XLOOKUP(
   $B$4&amp;" "&amp;$B34,
   Actuals!$D:$D,
   _xlfn.XLOOKUP(
      BN$7,
      Actuals!$H$3:$BM$3,
      Actuals!$H:$BM
   )
)</f>
        <v>0</v>
      </c>
      <c r="BO34" s="292">
        <f>VLOOKUP($B$4&amp;" "&amp;$B34,Budget!$AG$4:$AL$132,BN$5+1,FALSE)</f>
        <v>0</v>
      </c>
      <c r="BP34" s="292"/>
      <c r="BQ34" s="292"/>
      <c r="BR34" s="292" cm="1">
        <f t="array" aca="1" ref="BR34" ca="1">_xlfn.XLOOKUP(
   $B$4&amp;" "&amp;$B34,
   Actuals!$D:$D,
   _xlfn.XLOOKUP(
      BR$6,
      Actuals!$H$3:$BM$3,
      Actuals!$H:$BM
   )
)</f>
        <v>0</v>
      </c>
      <c r="BS34" s="292">
        <f ca="1">VLOOKUP($B$4&amp;" "&amp;$B34,Budget!$AG$4:$AL$132,6,FALSE)</f>
        <v>0</v>
      </c>
      <c r="BT34" s="292">
        <f ca="1">BR34-BS34</f>
        <v>0</v>
      </c>
      <c r="BU34" s="292"/>
      <c r="BV34" s="292" cm="1">
        <f t="array" ref="BV34">_xlfn.XLOOKUP(
   $B$4&amp;" "&amp;$B34,
   Actuals!$D:$D,
   _xlfn.XLOOKUP(
      BV$6,
      Actuals!$H$3:$BM$3,
      Actuals!$H:$BM
   )
)</f>
        <v>0</v>
      </c>
      <c r="BW34" s="26"/>
      <c r="BX34" s="26"/>
      <c r="BY34" s="26"/>
    </row>
    <row r="35" spans="1:77">
      <c r="A35" s="26"/>
      <c r="B35" s="26" t="s">
        <v>190</v>
      </c>
      <c r="C35" s="139" t="s">
        <v>47</v>
      </c>
      <c r="D35" s="171" t="str">
        <f>VLOOKUP($B$4&amp;" "&amp;$B35,Actuals!$D$4:$AG$131,3,FALSE)</f>
        <v>#</v>
      </c>
      <c r="E35" s="168" cm="1">
        <f t="array" ref="E35">_xlfn.XLOOKUP(
   $B$4&amp;" "&amp;$B35,
   Actuals!$D:$D,
   _xlfn.XLOOKUP(
      E$6,
      Actuals!$H$3:$BD$3,
      Actuals!$H:$BD
   )
)</f>
        <v>23</v>
      </c>
      <c r="F35" s="168" cm="1">
        <f t="array" ref="F35">_xlfn.XLOOKUP(
   $B$4&amp;" "&amp;$B35,
   Actuals!$D:$D,
   _xlfn.XLOOKUP(
      F$6,
      Actuals!$H$3:$BD$3,
      Actuals!$H:$BD
   )
)</f>
        <v>23</v>
      </c>
      <c r="G35" s="168" cm="1">
        <f t="array" ref="G35">_xlfn.XLOOKUP(
   $B$4&amp;" "&amp;$B35,
   Actuals!$D:$D,
   _xlfn.XLOOKUP(
      G$6,
      Actuals!$H$3:$BD$3,
      Actuals!$H:$BD
   )
)</f>
        <v>23</v>
      </c>
      <c r="H35" s="168" cm="1">
        <f t="array" ref="H35">_xlfn.XLOOKUP(
   $B$4&amp;" "&amp;$B35,
   Actuals!$D:$D,
   _xlfn.XLOOKUP(
      H$6,
      Actuals!$H$3:$BD$3,
      Actuals!$H:$BD
   )
)</f>
        <v>24</v>
      </c>
      <c r="I35" s="168" cm="1">
        <f t="array" ref="I35">_xlfn.XLOOKUP(
   $B$4&amp;" "&amp;$B35,
   Actuals!$D:$D,
   _xlfn.XLOOKUP(
      I$6,
      Actuals!$H$3:$BD$3,
      Actuals!$H:$BD
   )
)</f>
        <v>25</v>
      </c>
      <c r="J35" s="168" cm="1">
        <f t="array" ref="J35">_xlfn.XLOOKUP(
   $B$4&amp;" "&amp;$B35,
   Actuals!$D:$D,
   _xlfn.XLOOKUP(
      J$6,
      Actuals!$H$3:$BD$3,
      Actuals!$H:$BD
   )
)</f>
        <v>25</v>
      </c>
      <c r="K35" s="168" cm="1">
        <f t="array" ref="K35">_xlfn.XLOOKUP(
   $B$4&amp;" "&amp;$B35,
   Actuals!$D:$D,
   _xlfn.XLOOKUP(
      K$6,
      Actuals!$H$3:$BD$3,
      Actuals!$H:$BD
   )
)</f>
        <v>28</v>
      </c>
      <c r="L35" s="168" cm="1">
        <f t="array" ref="L35">_xlfn.XLOOKUP(
   $B$4&amp;" "&amp;$B35,
   Actuals!$D:$D,
   _xlfn.XLOOKUP(
      L$6,
      Actuals!$H$3:$BD$3,
      Actuals!$H:$BD
   )
)</f>
        <v>28</v>
      </c>
      <c r="M35" s="168" cm="1">
        <f t="array" ref="M35">_xlfn.XLOOKUP(
   $B$4&amp;" "&amp;$B35,
   Actuals!$D:$D,
   _xlfn.XLOOKUP(
      M$6,
      Actuals!$H$3:$BD$3,
      Actuals!$H:$BD
   )
)</f>
        <v>32</v>
      </c>
      <c r="N35" s="168" cm="1">
        <f t="array" ref="N35">_xlfn.XLOOKUP(
   $B$4&amp;" "&amp;$B35,
   Actuals!$D:$D,
   _xlfn.XLOOKUP(
      N$6,
      Actuals!$H$3:$BD$3,
      Actuals!$H:$BD
   )
)</f>
        <v>32</v>
      </c>
      <c r="O35" s="292" cm="1">
        <f t="array" ref="O35">_xlfn.XLOOKUP(
   $B$4&amp;" "&amp;$B35,
   Actuals!$D:$D,
   _xlfn.XLOOKUP(
      O$6,
      Actuals!$H$3:$BD$3,
      Actuals!$H:$BD
   )
)</f>
        <v>0</v>
      </c>
      <c r="P35" s="292" cm="1">
        <f t="array" ref="P35">_xlfn.XLOOKUP(
   $B$4&amp;" "&amp;$B35,
   Actuals!$D:$D,
   _xlfn.XLOOKUP(
      P$6,
      Actuals!$H$3:$BD$3,
      Actuals!$H:$BD
   )
)</f>
        <v>0</v>
      </c>
      <c r="Q35" s="292" cm="1">
        <f t="array" ref="Q35">_xlfn.XLOOKUP(
   $B$4&amp;" "&amp;$B35,
   Actuals!$D:$D,
   _xlfn.XLOOKUP(
      Q$6,
      Actuals!$H$3:$BD$3,
      Actuals!$H:$BD
   )
)</f>
        <v>0</v>
      </c>
      <c r="R35" s="292" cm="1">
        <f t="array" ref="R35">_xlfn.XLOOKUP(
   $B$4&amp;" "&amp;$B35,
   Actuals!$D:$D,
   _xlfn.XLOOKUP(
      R$6,
      Actuals!$H$3:$BD$3,
      Actuals!$H:$BD
   )
)</f>
        <v>0</v>
      </c>
      <c r="S35" s="292" cm="1">
        <f t="array" ref="S35">_xlfn.XLOOKUP(
   $B$4&amp;" "&amp;$B35,
   Actuals!$D:$D,
   _xlfn.XLOOKUP(
      S$6,
      Actuals!$H$3:$BD$3,
      Actuals!$H:$BD
   )
)</f>
        <v>0</v>
      </c>
      <c r="T35" s="292" cm="1">
        <f t="array" ref="T35">_xlfn.XLOOKUP(
   $B$4&amp;" "&amp;$B35,
   Actuals!$D:$D,
   _xlfn.XLOOKUP(
      T$6,
      Actuals!$H$3:$BD$3,
      Actuals!$H:$BD
   )
)</f>
        <v>0</v>
      </c>
      <c r="U35" s="292" cm="1">
        <f t="array" ref="U35">_xlfn.XLOOKUP(
   $B$4&amp;" "&amp;$B35,
   Actuals!$D:$D,
   _xlfn.XLOOKUP(
      U$6,
      Actuals!$H$3:$BD$3,
      Actuals!$H:$BD
   )
)</f>
        <v>0</v>
      </c>
      <c r="V35" s="292" cm="1">
        <f t="array" ref="V35">_xlfn.XLOOKUP(
   $B$4&amp;" "&amp;$B35,
   Actuals!$D:$D,
   _xlfn.XLOOKUP(
      V$6,
      Actuals!$H$3:$BD$3,
      Actuals!$H:$BD
   )
)</f>
        <v>0</v>
      </c>
      <c r="W35" s="292" cm="1">
        <f t="array" ref="W35">_xlfn.XLOOKUP(
   $B$4&amp;" "&amp;$B35,
   Actuals!$D:$D,
   _xlfn.XLOOKUP(
      W$6,
      Actuals!$H$3:$BD$3,
      Actuals!$H:$BD
   )
)</f>
        <v>0</v>
      </c>
      <c r="X35" s="292" cm="1">
        <f t="array" ref="X35">_xlfn.XLOOKUP(
   $B$4&amp;" "&amp;$B35,
   Actuals!$D:$D,
   _xlfn.XLOOKUP(
      X$6,
      Actuals!$H$3:$BD$3,
      Actuals!$H:$BD
   )
)</f>
        <v>0</v>
      </c>
      <c r="Y35" s="292" cm="1">
        <f t="array" ref="Y35">_xlfn.XLOOKUP(
   $B$4&amp;" "&amp;$B35,
   Actuals!$D:$D,
   _xlfn.XLOOKUP(
      Y$6,
      Actuals!$H$3:$BD$3,
      Actuals!$H:$BD
   )
)</f>
        <v>0</v>
      </c>
      <c r="Z35" s="292" cm="1">
        <f t="array" ref="Z35">_xlfn.XLOOKUP(
   $B$4&amp;" "&amp;$B35,
   Actuals!$D:$D,
   _xlfn.XLOOKUP(
      Z$6,
      Actuals!$H$3:$BD$3,
      Actuals!$H:$BD
   )
)</f>
        <v>0</v>
      </c>
      <c r="AA35" s="292" cm="1">
        <f t="array" ref="AA35">_xlfn.XLOOKUP(
   $B$4&amp;" "&amp;$B35,
   Actuals!$D:$D,
   _xlfn.XLOOKUP(
      AA$6,
      Actuals!$H$3:$BD$3,
      Actuals!$H:$BD
   )
)</f>
        <v>0</v>
      </c>
      <c r="AB35" s="292" cm="1">
        <f t="array" ref="AB35">_xlfn.XLOOKUP(
   $B$4&amp;" "&amp;$B35,
   Actuals!$D:$D,
   _xlfn.XLOOKUP(
      AB$6,
      Actuals!$H$3:$BD$3,
      Actuals!$H:$BD
   )
)</f>
        <v>0</v>
      </c>
      <c r="AC35" s="292" cm="1">
        <f t="array" ref="AC35">_xlfn.XLOOKUP(
   $B$4&amp;" "&amp;$B35,
   Actuals!$D:$D,
   _xlfn.XLOOKUP(
      AC$6,
      Actuals!$H$3:$BD$3,
      Actuals!$H:$BD
   )
)</f>
        <v>0</v>
      </c>
      <c r="AD35" s="292" cm="1">
        <f t="array" ref="AD35">_xlfn.XLOOKUP(
   $B$4&amp;" "&amp;$B35,
   Actuals!$D:$D,
   _xlfn.XLOOKUP(
      AD$6,
      Actuals!$H$3:$BD$3,
      Actuals!$H:$BD
   )
)</f>
        <v>0</v>
      </c>
      <c r="AE35" s="292" cm="1">
        <f t="array" ref="AE35">_xlfn.XLOOKUP(
   $B$4&amp;" "&amp;$B35,
   Actuals!$D:$D,
   _xlfn.XLOOKUP(
      AE$6,
      Actuals!$H$3:$BD$3,
      Actuals!$H:$BD
   )
)</f>
        <v>0</v>
      </c>
      <c r="AF35" s="292" cm="1">
        <f t="array" ref="AF35">_xlfn.XLOOKUP(
   $B$4&amp;" "&amp;$B35,
   Actuals!$D:$D,
   _xlfn.XLOOKUP(
      AF$6,
      Actuals!$H$3:$BD$3,
      Actuals!$H:$BD
   )
)</f>
        <v>0</v>
      </c>
      <c r="AG35" s="292" cm="1">
        <f t="array" ref="AG35">_xlfn.XLOOKUP(
   $B$4&amp;" "&amp;$B35,
   Actuals!$D:$D,
   _xlfn.XLOOKUP(
      AG$6,
      Actuals!$H$3:$BD$3,
      Actuals!$H:$BD
   )
)</f>
        <v>0</v>
      </c>
      <c r="AH35" s="292" cm="1">
        <f t="array" ref="AH35">_xlfn.XLOOKUP(
   $B$4&amp;" "&amp;$B35,
   Actuals!$D:$D,
   _xlfn.XLOOKUP(
      AH$6,
      Actuals!$H$3:$BD$3,
      Actuals!$H:$BD
   )
)</f>
        <v>0</v>
      </c>
      <c r="AI35" s="292" cm="1">
        <f t="array" ref="AI35">_xlfn.XLOOKUP(
   $B$4&amp;" "&amp;$B35,
   Actuals!$D:$D,
   _xlfn.XLOOKUP(
      AI$6,
      Actuals!$H$3:$BD$3,
      Actuals!$H:$BD
   )
)</f>
        <v>0</v>
      </c>
      <c r="AJ35" s="292" cm="1">
        <f t="array" ref="AJ35">_xlfn.XLOOKUP(
   $B$4&amp;" "&amp;$B35,
   Actuals!$D:$D,
   _xlfn.XLOOKUP(
      AJ$6,
      Actuals!$H$3:$BD$3,
      Actuals!$H:$BD
   )
)</f>
        <v>0</v>
      </c>
      <c r="AK35" s="292" cm="1">
        <f t="array" ref="AK35">_xlfn.XLOOKUP(
   $B$4&amp;" "&amp;$B35,
   Actuals!$D:$D,
   _xlfn.XLOOKUP(
      AK$6,
      Actuals!$H$3:$BD$3,
      Actuals!$H:$BD
   )
)</f>
        <v>0</v>
      </c>
      <c r="AL35" s="292" cm="1">
        <f t="array" ref="AL35">_xlfn.XLOOKUP(
   $B$4&amp;" "&amp;$B35,
   Actuals!$D:$D,
   _xlfn.XLOOKUP(
      AL$6,
      Actuals!$H$3:$BD$3,
      Actuals!$H:$BD
   )
)</f>
        <v>0</v>
      </c>
      <c r="AM35" s="292" cm="1">
        <f t="array" ref="AM35">_xlfn.XLOOKUP(
   $B$4&amp;" "&amp;$B35,
   Actuals!$D:$D,
   _xlfn.XLOOKUP(
      AM$6,
      Actuals!$H$3:$BD$3,
      Actuals!$H:$BD
   )
)</f>
        <v>0</v>
      </c>
      <c r="AN35" s="292" cm="1">
        <f t="array" ref="AN35">_xlfn.XLOOKUP(
   $B$4&amp;" "&amp;$B35,
   Actuals!$D:$D,
   _xlfn.XLOOKUP(
      AN$6,
      Actuals!$H$3:$BD$3,
      Actuals!$H:$BD
   )
)</f>
        <v>0</v>
      </c>
      <c r="AO35" s="292" cm="1">
        <f t="array" ref="AO35">_xlfn.XLOOKUP(
   $B$4&amp;" "&amp;$B35,
   Actuals!$D:$D,
   _xlfn.XLOOKUP(
      AO$6,
      Actuals!$H$3:$BD$3,
      Actuals!$H:$BD
   )
)</f>
        <v>0</v>
      </c>
      <c r="AP35" s="292" cm="1">
        <f t="array" ref="AP35">_xlfn.XLOOKUP(
   $B$4&amp;" "&amp;$B35,
   Actuals!$D:$D,
   _xlfn.XLOOKUP(
      AP$6,
      Actuals!$H$3:$BD$3,
      Actuals!$H:$BD
   )
)</f>
        <v>0</v>
      </c>
      <c r="AQ35" s="292" cm="1">
        <f t="array" ref="AQ35">_xlfn.XLOOKUP(
   $B$4&amp;" "&amp;$B35,
   Actuals!$D:$D,
   _xlfn.XLOOKUP(
      AQ$6,
      Actuals!$H$3:$BD$3,
      Actuals!$H:$BD
   )
)</f>
        <v>0</v>
      </c>
      <c r="AR35" s="292" cm="1">
        <f t="array" ref="AR35">_xlfn.XLOOKUP(
   $B$4&amp;" "&amp;$B35,
   Actuals!$D:$D,
   _xlfn.XLOOKUP(
      AR$6,
      Actuals!$H$3:$BD$3,
      Actuals!$H:$BD
   )
)</f>
        <v>0</v>
      </c>
      <c r="AS35" s="292" cm="1">
        <f t="array" ref="AS35">_xlfn.XLOOKUP(
   $B$4&amp;" "&amp;$B35,
   Actuals!$D:$D,
   _xlfn.XLOOKUP(
      AS$6,
      Actuals!$H$3:$BD$3,
      Actuals!$H:$BD
   )
)</f>
        <v>0</v>
      </c>
      <c r="AT35" s="292" cm="1">
        <f t="array" ref="AT35">_xlfn.XLOOKUP(
   $B$4&amp;" "&amp;$B35,
   Actuals!$D:$D,
   _xlfn.XLOOKUP(
      AT$6,
      Actuals!$H$3:$BD$3,
      Actuals!$H:$BD
   )
)</f>
        <v>0</v>
      </c>
      <c r="AU35" s="292" cm="1">
        <f t="array" ref="AU35">_xlfn.XLOOKUP(
   $B$4&amp;" "&amp;$B35,
   Actuals!$D:$D,
   _xlfn.XLOOKUP(
      AU$6,
      Actuals!$H$3:$BD$3,
      Actuals!$H:$BD
   )
)</f>
        <v>0</v>
      </c>
      <c r="AV35" s="292" cm="1">
        <f t="array" ref="AV35">_xlfn.XLOOKUP(
   $B$4&amp;" "&amp;$B35,
   Actuals!$D:$D,
   _xlfn.XLOOKUP(
      AV$6,
      Actuals!$H$3:$BD$3,
      Actuals!$H:$BD
   )
)</f>
        <v>0</v>
      </c>
      <c r="AW35" s="292" cm="1">
        <f t="array" ref="AW35">_xlfn.XLOOKUP(
   $B$4&amp;" "&amp;$B35,
   Actuals!$D:$D,
   _xlfn.XLOOKUP(
      AW$6,
      Actuals!$H$3:$BD$3,
      Actuals!$H:$BD
   )
)</f>
        <v>0</v>
      </c>
      <c r="AX35" s="292" cm="1">
        <f t="array" ref="AX35">_xlfn.XLOOKUP(
   $B$4&amp;" "&amp;$B35,
   Actuals!$D:$D,
   _xlfn.XLOOKUP(
      AX$6,
      Actuals!$H$3:$BD$3,
      Actuals!$H:$BD
   )
)</f>
        <v>0</v>
      </c>
      <c r="AY35" s="292" cm="1">
        <f t="array" ref="AY35">_xlfn.XLOOKUP(
   $B$4&amp;" "&amp;$B35,
   Actuals!$D:$D,
   _xlfn.XLOOKUP(
      AY$6,
      Actuals!$H$3:$BD$3,
      Actuals!$H:$BD
   )
)</f>
        <v>0</v>
      </c>
      <c r="AZ35" s="292" cm="1">
        <f t="array" ref="AZ35">_xlfn.XLOOKUP(
   $B$4&amp;" "&amp;$B35,
   Actuals!$D:$D,
   _xlfn.XLOOKUP(
      AZ$6,
      Actuals!$H$3:$BD$3,
      Actuals!$H:$BD
   )
)</f>
        <v>0</v>
      </c>
      <c r="BA35" s="292"/>
      <c r="BB35" s="292" cm="1">
        <f t="array" ref="BB35">_xlfn.XLOOKUP(
   $B$4&amp;" "&amp;$B35,
   Actuals!$D:$D,
   _xlfn.XLOOKUP(
      BB$7,
      Actuals!$H$3:$BM$3,
      Actuals!$H:$BM
   )
)</f>
        <v>0</v>
      </c>
      <c r="BC35" s="292">
        <f>VLOOKUP($B$4&amp;" "&amp;$B35,Budget!$AG$4:$AL$132,$BB$5+1,FALSE)</f>
        <v>0</v>
      </c>
      <c r="BD35" s="292">
        <f>BB35-BC35</f>
        <v>0</v>
      </c>
      <c r="BE35" s="292"/>
      <c r="BF35" s="292" cm="1">
        <f t="array" ref="BF35">_xlfn.XLOOKUP(
   $B$4&amp;" "&amp;$B35,
   Actuals!$D:$D,
   _xlfn.XLOOKUP(
      BF$7,
      Actuals!$H$3:$BM$3,
      Actuals!$H:$BM
   )
)</f>
        <v>0</v>
      </c>
      <c r="BG35" s="292">
        <f>VLOOKUP($B$4&amp;" "&amp;$B35,Budget!$AG$4:$AL$132,BF$5+1,FALSE)</f>
        <v>0</v>
      </c>
      <c r="BH35" s="292">
        <f>BF35-BG35</f>
        <v>0</v>
      </c>
      <c r="BI35" s="292"/>
      <c r="BJ35" s="292" cm="1">
        <f t="array" ref="BJ35">_xlfn.XLOOKUP(
   $B$4&amp;" "&amp;$B35,
   Actuals!$D:$D,
   _xlfn.XLOOKUP(
      BJ$7,
      Actuals!$H$3:$BM$3,
      Actuals!$H:$BM
   )
)</f>
        <v>0</v>
      </c>
      <c r="BK35" s="292">
        <f>VLOOKUP($B$4&amp;" "&amp;$B35,Budget!$AG$4:$AL$132,BJ$5+1,FALSE)</f>
        <v>0</v>
      </c>
      <c r="BL35" s="292">
        <f>BJ35-BK35</f>
        <v>0</v>
      </c>
      <c r="BM35" s="292"/>
      <c r="BN35" s="292" cm="1">
        <f t="array" ref="BN35">_xlfn.XLOOKUP(
   $B$4&amp;" "&amp;$B35,
   Actuals!$D:$D,
   _xlfn.XLOOKUP(
      BN$7,
      Actuals!$H$3:$BM$3,
      Actuals!$H:$BM
   )
)</f>
        <v>0</v>
      </c>
      <c r="BO35" s="292">
        <f>VLOOKUP($B$4&amp;" "&amp;$B35,Budget!$AG$4:$AL$132,BN$5+1,FALSE)</f>
        <v>0</v>
      </c>
      <c r="BP35" s="292"/>
      <c r="BQ35" s="292"/>
      <c r="BR35" s="292" cm="1">
        <f t="array" aca="1" ref="BR35" ca="1">_xlfn.XLOOKUP(
   $B$4&amp;" "&amp;$B35,
   Actuals!$D:$D,
   _xlfn.XLOOKUP(
      BR$6,
      Actuals!$H$3:$BM$3,
      Actuals!$H:$BM
   )
)</f>
        <v>0</v>
      </c>
      <c r="BS35" s="292">
        <f ca="1">VLOOKUP($B$4&amp;" "&amp;$B35,Budget!$AG$4:$AL$132,6,FALSE)</f>
        <v>0</v>
      </c>
      <c r="BT35" s="292">
        <f ca="1">BR35-BS35</f>
        <v>0</v>
      </c>
      <c r="BU35" s="292"/>
      <c r="BV35" s="292" cm="1">
        <f t="array" ref="BV35">_xlfn.XLOOKUP(
   $B$4&amp;" "&amp;$B35,
   Actuals!$D:$D,
   _xlfn.XLOOKUP(
      BV$6,
      Actuals!$H$3:$BM$3,
      Actuals!$H:$BM
   )
)</f>
        <v>0</v>
      </c>
      <c r="BW35" s="26"/>
      <c r="BX35" s="26"/>
      <c r="BY35" s="26"/>
    </row>
    <row r="36" spans="1:77">
      <c r="A36" s="26"/>
      <c r="B36" s="26" t="s">
        <v>191</v>
      </c>
      <c r="C36" s="139" t="s">
        <v>47</v>
      </c>
      <c r="D36" s="171" t="str">
        <f>VLOOKUP($B$4&amp;" "&amp;$B36,Actuals!$D$4:$AG$131,3,FALSE)</f>
        <v>#</v>
      </c>
      <c r="E36" s="168" cm="1">
        <f t="array" ref="E36">_xlfn.XLOOKUP(
   $B$4&amp;" "&amp;$B36,
   Actuals!$D:$D,
   _xlfn.XLOOKUP(
      E$6,
      Actuals!$H$3:$BD$3,
      Actuals!$H:$BD
   )
)</f>
        <v>8</v>
      </c>
      <c r="F36" s="168" cm="1">
        <f t="array" ref="F36">_xlfn.XLOOKUP(
   $B$4&amp;" "&amp;$B36,
   Actuals!$D:$D,
   _xlfn.XLOOKUP(
      F$6,
      Actuals!$H$3:$BD$3,
      Actuals!$H:$BD
   )
)</f>
        <v>8</v>
      </c>
      <c r="G36" s="168" cm="1">
        <f t="array" ref="G36">_xlfn.XLOOKUP(
   $B$4&amp;" "&amp;$B36,
   Actuals!$D:$D,
   _xlfn.XLOOKUP(
      G$6,
      Actuals!$H$3:$BD$3,
      Actuals!$H:$BD
   )
)</f>
        <v>7</v>
      </c>
      <c r="H36" s="168" cm="1">
        <f t="array" ref="H36">_xlfn.XLOOKUP(
   $B$4&amp;" "&amp;$B36,
   Actuals!$D:$D,
   _xlfn.XLOOKUP(
      H$6,
      Actuals!$H$3:$BD$3,
      Actuals!$H:$BD
   )
)</f>
        <v>8</v>
      </c>
      <c r="I36" s="168" cm="1">
        <f t="array" ref="I36">_xlfn.XLOOKUP(
   $B$4&amp;" "&amp;$B36,
   Actuals!$D:$D,
   _xlfn.XLOOKUP(
      I$6,
      Actuals!$H$3:$BD$3,
      Actuals!$H:$BD
   )
)</f>
        <v>8</v>
      </c>
      <c r="J36" s="168" cm="1">
        <f t="array" ref="J36">_xlfn.XLOOKUP(
   $B$4&amp;" "&amp;$B36,
   Actuals!$D:$D,
   _xlfn.XLOOKUP(
      J$6,
      Actuals!$H$3:$BD$3,
      Actuals!$H:$BD
   )
)</f>
        <v>9</v>
      </c>
      <c r="K36" s="168" cm="1">
        <f t="array" ref="K36">_xlfn.XLOOKUP(
   $B$4&amp;" "&amp;$B36,
   Actuals!$D:$D,
   _xlfn.XLOOKUP(
      K$6,
      Actuals!$H$3:$BD$3,
      Actuals!$H:$BD
   )
)</f>
        <v>6</v>
      </c>
      <c r="L36" s="168" cm="1">
        <f t="array" ref="L36">_xlfn.XLOOKUP(
   $B$4&amp;" "&amp;$B36,
   Actuals!$D:$D,
   _xlfn.XLOOKUP(
      L$6,
      Actuals!$H$3:$BD$3,
      Actuals!$H:$BD
   )
)</f>
        <v>6</v>
      </c>
      <c r="M36" s="168" cm="1">
        <f t="array" ref="M36">_xlfn.XLOOKUP(
   $B$4&amp;" "&amp;$B36,
   Actuals!$D:$D,
   _xlfn.XLOOKUP(
      M$6,
      Actuals!$H$3:$BD$3,
      Actuals!$H:$BD
   )
)</f>
        <v>5</v>
      </c>
      <c r="N36" s="168" cm="1">
        <f t="array" ref="N36">_xlfn.XLOOKUP(
   $B$4&amp;" "&amp;$B36,
   Actuals!$D:$D,
   _xlfn.XLOOKUP(
      N$6,
      Actuals!$H$3:$BD$3,
      Actuals!$H:$BD
   )
)</f>
        <v>4</v>
      </c>
      <c r="O36" s="292" cm="1">
        <f t="array" ref="O36">_xlfn.XLOOKUP(
   $B$4&amp;" "&amp;$B36,
   Actuals!$D:$D,
   _xlfn.XLOOKUP(
      O$6,
      Actuals!$H$3:$BD$3,
      Actuals!$H:$BD
   )
)</f>
        <v>0</v>
      </c>
      <c r="P36" s="292" cm="1">
        <f t="array" ref="P36">_xlfn.XLOOKUP(
   $B$4&amp;" "&amp;$B36,
   Actuals!$D:$D,
   _xlfn.XLOOKUP(
      P$6,
      Actuals!$H$3:$BD$3,
      Actuals!$H:$BD
   )
)</f>
        <v>0</v>
      </c>
      <c r="Q36" s="292" cm="1">
        <f t="array" ref="Q36">_xlfn.XLOOKUP(
   $B$4&amp;" "&amp;$B36,
   Actuals!$D:$D,
   _xlfn.XLOOKUP(
      Q$6,
      Actuals!$H$3:$BD$3,
      Actuals!$H:$BD
   )
)</f>
        <v>0</v>
      </c>
      <c r="R36" s="292" cm="1">
        <f t="array" ref="R36">_xlfn.XLOOKUP(
   $B$4&amp;" "&amp;$B36,
   Actuals!$D:$D,
   _xlfn.XLOOKUP(
      R$6,
      Actuals!$H$3:$BD$3,
      Actuals!$H:$BD
   )
)</f>
        <v>0</v>
      </c>
      <c r="S36" s="292" cm="1">
        <f t="array" ref="S36">_xlfn.XLOOKUP(
   $B$4&amp;" "&amp;$B36,
   Actuals!$D:$D,
   _xlfn.XLOOKUP(
      S$6,
      Actuals!$H$3:$BD$3,
      Actuals!$H:$BD
   )
)</f>
        <v>0</v>
      </c>
      <c r="T36" s="292" cm="1">
        <f t="array" ref="T36">_xlfn.XLOOKUP(
   $B$4&amp;" "&amp;$B36,
   Actuals!$D:$D,
   _xlfn.XLOOKUP(
      T$6,
      Actuals!$H$3:$BD$3,
      Actuals!$H:$BD
   )
)</f>
        <v>0</v>
      </c>
      <c r="U36" s="292" cm="1">
        <f t="array" ref="U36">_xlfn.XLOOKUP(
   $B$4&amp;" "&amp;$B36,
   Actuals!$D:$D,
   _xlfn.XLOOKUP(
      U$6,
      Actuals!$H$3:$BD$3,
      Actuals!$H:$BD
   )
)</f>
        <v>0</v>
      </c>
      <c r="V36" s="292" cm="1">
        <f t="array" ref="V36">_xlfn.XLOOKUP(
   $B$4&amp;" "&amp;$B36,
   Actuals!$D:$D,
   _xlfn.XLOOKUP(
      V$6,
      Actuals!$H$3:$BD$3,
      Actuals!$H:$BD
   )
)</f>
        <v>0</v>
      </c>
      <c r="W36" s="292" cm="1">
        <f t="array" ref="W36">_xlfn.XLOOKUP(
   $B$4&amp;" "&amp;$B36,
   Actuals!$D:$D,
   _xlfn.XLOOKUP(
      W$6,
      Actuals!$H$3:$BD$3,
      Actuals!$H:$BD
   )
)</f>
        <v>0</v>
      </c>
      <c r="X36" s="292" cm="1">
        <f t="array" ref="X36">_xlfn.XLOOKUP(
   $B$4&amp;" "&amp;$B36,
   Actuals!$D:$D,
   _xlfn.XLOOKUP(
      X$6,
      Actuals!$H$3:$BD$3,
      Actuals!$H:$BD
   )
)</f>
        <v>0</v>
      </c>
      <c r="Y36" s="292" cm="1">
        <f t="array" ref="Y36">_xlfn.XLOOKUP(
   $B$4&amp;" "&amp;$B36,
   Actuals!$D:$D,
   _xlfn.XLOOKUP(
      Y$6,
      Actuals!$H$3:$BD$3,
      Actuals!$H:$BD
   )
)</f>
        <v>0</v>
      </c>
      <c r="Z36" s="292" cm="1">
        <f t="array" ref="Z36">_xlfn.XLOOKUP(
   $B$4&amp;" "&amp;$B36,
   Actuals!$D:$D,
   _xlfn.XLOOKUP(
      Z$6,
      Actuals!$H$3:$BD$3,
      Actuals!$H:$BD
   )
)</f>
        <v>0</v>
      </c>
      <c r="AA36" s="292" cm="1">
        <f t="array" ref="AA36">_xlfn.XLOOKUP(
   $B$4&amp;" "&amp;$B36,
   Actuals!$D:$D,
   _xlfn.XLOOKUP(
      AA$6,
      Actuals!$H$3:$BD$3,
      Actuals!$H:$BD
   )
)</f>
        <v>0</v>
      </c>
      <c r="AB36" s="292" cm="1">
        <f t="array" ref="AB36">_xlfn.XLOOKUP(
   $B$4&amp;" "&amp;$B36,
   Actuals!$D:$D,
   _xlfn.XLOOKUP(
      AB$6,
      Actuals!$H$3:$BD$3,
      Actuals!$H:$BD
   )
)</f>
        <v>0</v>
      </c>
      <c r="AC36" s="292" cm="1">
        <f t="array" ref="AC36">_xlfn.XLOOKUP(
   $B$4&amp;" "&amp;$B36,
   Actuals!$D:$D,
   _xlfn.XLOOKUP(
      AC$6,
      Actuals!$H$3:$BD$3,
      Actuals!$H:$BD
   )
)</f>
        <v>0</v>
      </c>
      <c r="AD36" s="292" cm="1">
        <f t="array" ref="AD36">_xlfn.XLOOKUP(
   $B$4&amp;" "&amp;$B36,
   Actuals!$D:$D,
   _xlfn.XLOOKUP(
      AD$6,
      Actuals!$H$3:$BD$3,
      Actuals!$H:$BD
   )
)</f>
        <v>0</v>
      </c>
      <c r="AE36" s="292" cm="1">
        <f t="array" ref="AE36">_xlfn.XLOOKUP(
   $B$4&amp;" "&amp;$B36,
   Actuals!$D:$D,
   _xlfn.XLOOKUP(
      AE$6,
      Actuals!$H$3:$BD$3,
      Actuals!$H:$BD
   )
)</f>
        <v>0</v>
      </c>
      <c r="AF36" s="292" cm="1">
        <f t="array" ref="AF36">_xlfn.XLOOKUP(
   $B$4&amp;" "&amp;$B36,
   Actuals!$D:$D,
   _xlfn.XLOOKUP(
      AF$6,
      Actuals!$H$3:$BD$3,
      Actuals!$H:$BD
   )
)</f>
        <v>0</v>
      </c>
      <c r="AG36" s="292" cm="1">
        <f t="array" ref="AG36">_xlfn.XLOOKUP(
   $B$4&amp;" "&amp;$B36,
   Actuals!$D:$D,
   _xlfn.XLOOKUP(
      AG$6,
      Actuals!$H$3:$BD$3,
      Actuals!$H:$BD
   )
)</f>
        <v>0</v>
      </c>
      <c r="AH36" s="292" cm="1">
        <f t="array" ref="AH36">_xlfn.XLOOKUP(
   $B$4&amp;" "&amp;$B36,
   Actuals!$D:$D,
   _xlfn.XLOOKUP(
      AH$6,
      Actuals!$H$3:$BD$3,
      Actuals!$H:$BD
   )
)</f>
        <v>0</v>
      </c>
      <c r="AI36" s="292" cm="1">
        <f t="array" ref="AI36">_xlfn.XLOOKUP(
   $B$4&amp;" "&amp;$B36,
   Actuals!$D:$D,
   _xlfn.XLOOKUP(
      AI$6,
      Actuals!$H$3:$BD$3,
      Actuals!$H:$BD
   )
)</f>
        <v>0</v>
      </c>
      <c r="AJ36" s="292" cm="1">
        <f t="array" ref="AJ36">_xlfn.XLOOKUP(
   $B$4&amp;" "&amp;$B36,
   Actuals!$D:$D,
   _xlfn.XLOOKUP(
      AJ$6,
      Actuals!$H$3:$BD$3,
      Actuals!$H:$BD
   )
)</f>
        <v>0</v>
      </c>
      <c r="AK36" s="292" cm="1">
        <f t="array" ref="AK36">_xlfn.XLOOKUP(
   $B$4&amp;" "&amp;$B36,
   Actuals!$D:$D,
   _xlfn.XLOOKUP(
      AK$6,
      Actuals!$H$3:$BD$3,
      Actuals!$H:$BD
   )
)</f>
        <v>0</v>
      </c>
      <c r="AL36" s="292" cm="1">
        <f t="array" ref="AL36">_xlfn.XLOOKUP(
   $B$4&amp;" "&amp;$B36,
   Actuals!$D:$D,
   _xlfn.XLOOKUP(
      AL$6,
      Actuals!$H$3:$BD$3,
      Actuals!$H:$BD
   )
)</f>
        <v>0</v>
      </c>
      <c r="AM36" s="292" cm="1">
        <f t="array" ref="AM36">_xlfn.XLOOKUP(
   $B$4&amp;" "&amp;$B36,
   Actuals!$D:$D,
   _xlfn.XLOOKUP(
      AM$6,
      Actuals!$H$3:$BD$3,
      Actuals!$H:$BD
   )
)</f>
        <v>0</v>
      </c>
      <c r="AN36" s="292" cm="1">
        <f t="array" ref="AN36">_xlfn.XLOOKUP(
   $B$4&amp;" "&amp;$B36,
   Actuals!$D:$D,
   _xlfn.XLOOKUP(
      AN$6,
      Actuals!$H$3:$BD$3,
      Actuals!$H:$BD
   )
)</f>
        <v>0</v>
      </c>
      <c r="AO36" s="292" cm="1">
        <f t="array" ref="AO36">_xlfn.XLOOKUP(
   $B$4&amp;" "&amp;$B36,
   Actuals!$D:$D,
   _xlfn.XLOOKUP(
      AO$6,
      Actuals!$H$3:$BD$3,
      Actuals!$H:$BD
   )
)</f>
        <v>0</v>
      </c>
      <c r="AP36" s="292" cm="1">
        <f t="array" ref="AP36">_xlfn.XLOOKUP(
   $B$4&amp;" "&amp;$B36,
   Actuals!$D:$D,
   _xlfn.XLOOKUP(
      AP$6,
      Actuals!$H$3:$BD$3,
      Actuals!$H:$BD
   )
)</f>
        <v>0</v>
      </c>
      <c r="AQ36" s="292" cm="1">
        <f t="array" ref="AQ36">_xlfn.XLOOKUP(
   $B$4&amp;" "&amp;$B36,
   Actuals!$D:$D,
   _xlfn.XLOOKUP(
      AQ$6,
      Actuals!$H$3:$BD$3,
      Actuals!$H:$BD
   )
)</f>
        <v>0</v>
      </c>
      <c r="AR36" s="292" cm="1">
        <f t="array" ref="AR36">_xlfn.XLOOKUP(
   $B$4&amp;" "&amp;$B36,
   Actuals!$D:$D,
   _xlfn.XLOOKUP(
      AR$6,
      Actuals!$H$3:$BD$3,
      Actuals!$H:$BD
   )
)</f>
        <v>0</v>
      </c>
      <c r="AS36" s="292" cm="1">
        <f t="array" ref="AS36">_xlfn.XLOOKUP(
   $B$4&amp;" "&amp;$B36,
   Actuals!$D:$D,
   _xlfn.XLOOKUP(
      AS$6,
      Actuals!$H$3:$BD$3,
      Actuals!$H:$BD
   )
)</f>
        <v>0</v>
      </c>
      <c r="AT36" s="292" cm="1">
        <f t="array" ref="AT36">_xlfn.XLOOKUP(
   $B$4&amp;" "&amp;$B36,
   Actuals!$D:$D,
   _xlfn.XLOOKUP(
      AT$6,
      Actuals!$H$3:$BD$3,
      Actuals!$H:$BD
   )
)</f>
        <v>0</v>
      </c>
      <c r="AU36" s="292" cm="1">
        <f t="array" ref="AU36">_xlfn.XLOOKUP(
   $B$4&amp;" "&amp;$B36,
   Actuals!$D:$D,
   _xlfn.XLOOKUP(
      AU$6,
      Actuals!$H$3:$BD$3,
      Actuals!$H:$BD
   )
)</f>
        <v>0</v>
      </c>
      <c r="AV36" s="292" cm="1">
        <f t="array" ref="AV36">_xlfn.XLOOKUP(
   $B$4&amp;" "&amp;$B36,
   Actuals!$D:$D,
   _xlfn.XLOOKUP(
      AV$6,
      Actuals!$H$3:$BD$3,
      Actuals!$H:$BD
   )
)</f>
        <v>0</v>
      </c>
      <c r="AW36" s="292" cm="1">
        <f t="array" ref="AW36">_xlfn.XLOOKUP(
   $B$4&amp;" "&amp;$B36,
   Actuals!$D:$D,
   _xlfn.XLOOKUP(
      AW$6,
      Actuals!$H$3:$BD$3,
      Actuals!$H:$BD
   )
)</f>
        <v>0</v>
      </c>
      <c r="AX36" s="292" cm="1">
        <f t="array" ref="AX36">_xlfn.XLOOKUP(
   $B$4&amp;" "&amp;$B36,
   Actuals!$D:$D,
   _xlfn.XLOOKUP(
      AX$6,
      Actuals!$H$3:$BD$3,
      Actuals!$H:$BD
   )
)</f>
        <v>0</v>
      </c>
      <c r="AY36" s="292" cm="1">
        <f t="array" ref="AY36">_xlfn.XLOOKUP(
   $B$4&amp;" "&amp;$B36,
   Actuals!$D:$D,
   _xlfn.XLOOKUP(
      AY$6,
      Actuals!$H$3:$BD$3,
      Actuals!$H:$BD
   )
)</f>
        <v>0</v>
      </c>
      <c r="AZ36" s="292" cm="1">
        <f t="array" ref="AZ36">_xlfn.XLOOKUP(
   $B$4&amp;" "&amp;$B36,
   Actuals!$D:$D,
   _xlfn.XLOOKUP(
      AZ$6,
      Actuals!$H$3:$BD$3,
      Actuals!$H:$BD
   )
)</f>
        <v>0</v>
      </c>
      <c r="BA36" s="292"/>
      <c r="BB36" s="292" cm="1">
        <f t="array" ref="BB36">_xlfn.XLOOKUP(
   $B$4&amp;" "&amp;$B36,
   Actuals!$D:$D,
   _xlfn.XLOOKUP(
      BB$7,
      Actuals!$H$3:$BM$3,
      Actuals!$H:$BM
   )
)</f>
        <v>0</v>
      </c>
      <c r="BC36" s="292">
        <f>VLOOKUP($B$4&amp;" "&amp;$B36,Budget!$AG$4:$AL$132,$BB$5+1,FALSE)</f>
        <v>0</v>
      </c>
      <c r="BD36" s="292">
        <f>BB36-BC36</f>
        <v>0</v>
      </c>
      <c r="BE36" s="292"/>
      <c r="BF36" s="292" cm="1">
        <f t="array" ref="BF36">_xlfn.XLOOKUP(
   $B$4&amp;" "&amp;$B36,
   Actuals!$D:$D,
   _xlfn.XLOOKUP(
      BF$7,
      Actuals!$H$3:$BM$3,
      Actuals!$H:$BM
   )
)</f>
        <v>0</v>
      </c>
      <c r="BG36" s="292">
        <f>VLOOKUP($B$4&amp;" "&amp;$B36,Budget!$AG$4:$AL$132,BF$5+1,FALSE)</f>
        <v>0</v>
      </c>
      <c r="BH36" s="292">
        <f>BF36-BG36</f>
        <v>0</v>
      </c>
      <c r="BI36" s="292"/>
      <c r="BJ36" s="292" cm="1">
        <f t="array" ref="BJ36">_xlfn.XLOOKUP(
   $B$4&amp;" "&amp;$B36,
   Actuals!$D:$D,
   _xlfn.XLOOKUP(
      BJ$7,
      Actuals!$H$3:$BM$3,
      Actuals!$H:$BM
   )
)</f>
        <v>0</v>
      </c>
      <c r="BK36" s="292">
        <f>VLOOKUP($B$4&amp;" "&amp;$B36,Budget!$AG$4:$AL$132,BJ$5+1,FALSE)</f>
        <v>0</v>
      </c>
      <c r="BL36" s="292">
        <f>BJ36-BK36</f>
        <v>0</v>
      </c>
      <c r="BM36" s="292"/>
      <c r="BN36" s="292" cm="1">
        <f t="array" ref="BN36">_xlfn.XLOOKUP(
   $B$4&amp;" "&amp;$B36,
   Actuals!$D:$D,
   _xlfn.XLOOKUP(
      BN$7,
      Actuals!$H$3:$BM$3,
      Actuals!$H:$BM
   )
)</f>
        <v>0</v>
      </c>
      <c r="BO36" s="292">
        <f>VLOOKUP($B$4&amp;" "&amp;$B36,Budget!$AG$4:$AL$132,BN$5+1,FALSE)</f>
        <v>0</v>
      </c>
      <c r="BP36" s="292"/>
      <c r="BQ36" s="292"/>
      <c r="BR36" s="292" cm="1">
        <f t="array" aca="1" ref="BR36" ca="1">_xlfn.XLOOKUP(
   $B$4&amp;" "&amp;$B36,
   Actuals!$D:$D,
   _xlfn.XLOOKUP(
      BR$6,
      Actuals!$H$3:$BM$3,
      Actuals!$H:$BM
   )
)</f>
        <v>0</v>
      </c>
      <c r="BS36" s="292">
        <f ca="1">VLOOKUP($B$4&amp;" "&amp;$B36,Budget!$AG$4:$AL$132,6,FALSE)</f>
        <v>0</v>
      </c>
      <c r="BT36" s="292">
        <f ca="1">BR36-BS36</f>
        <v>0</v>
      </c>
      <c r="BU36" s="292"/>
      <c r="BV36" s="292" cm="1">
        <f t="array" ref="BV36">_xlfn.XLOOKUP(
   $B$4&amp;" "&amp;$B36,
   Actuals!$D:$D,
   _xlfn.XLOOKUP(
      BV$6,
      Actuals!$H$3:$BM$3,
      Actuals!$H:$BM
   )
)</f>
        <v>0</v>
      </c>
      <c r="BW36" s="26"/>
      <c r="BX36" s="26"/>
      <c r="BY36" s="26"/>
    </row>
    <row r="37" spans="1:77">
      <c r="A37" s="26"/>
      <c r="B37" s="26" t="s">
        <v>192</v>
      </c>
      <c r="C37" s="139" t="s">
        <v>47</v>
      </c>
      <c r="D37" s="171" t="str">
        <f>VLOOKUP($B$4&amp;" "&amp;$B37,Actuals!$D$4:$AG$131,3,FALSE)</f>
        <v>#</v>
      </c>
      <c r="E37" s="168" cm="1">
        <f t="array" ref="E37">_xlfn.XLOOKUP(
   $B$4&amp;" "&amp;$B37,
   Actuals!$D:$D,
   _xlfn.XLOOKUP(
      E$6,
      Actuals!$H$3:$BD$3,
      Actuals!$H:$BD
   )
)</f>
        <v>3</v>
      </c>
      <c r="F37" s="168" cm="1">
        <f t="array" ref="F37">_xlfn.XLOOKUP(
   $B$4&amp;" "&amp;$B37,
   Actuals!$D:$D,
   _xlfn.XLOOKUP(
      F$6,
      Actuals!$H$3:$BD$3,
      Actuals!$H:$BD
   )
)</f>
        <v>3</v>
      </c>
      <c r="G37" s="168" cm="1">
        <f t="array" ref="G37">_xlfn.XLOOKUP(
   $B$4&amp;" "&amp;$B37,
   Actuals!$D:$D,
   _xlfn.XLOOKUP(
      G$6,
      Actuals!$H$3:$BD$3,
      Actuals!$H:$BD
   )
)</f>
        <v>0</v>
      </c>
      <c r="H37" s="168" cm="1">
        <f t="array" ref="H37">_xlfn.XLOOKUP(
   $B$4&amp;" "&amp;$B37,
   Actuals!$D:$D,
   _xlfn.XLOOKUP(
      H$6,
      Actuals!$H$3:$BD$3,
      Actuals!$H:$BD
   )
)</f>
        <v>0</v>
      </c>
      <c r="I37" s="168" cm="1">
        <f t="array" ref="I37">_xlfn.XLOOKUP(
   $B$4&amp;" "&amp;$B37,
   Actuals!$D:$D,
   _xlfn.XLOOKUP(
      I$6,
      Actuals!$H$3:$BD$3,
      Actuals!$H:$BD
   )
)</f>
        <v>0</v>
      </c>
      <c r="J37" s="168" cm="1">
        <f t="array" ref="J37">_xlfn.XLOOKUP(
   $B$4&amp;" "&amp;$B37,
   Actuals!$D:$D,
   _xlfn.XLOOKUP(
      J$6,
      Actuals!$H$3:$BD$3,
      Actuals!$H:$BD
   )
)</f>
        <v>0</v>
      </c>
      <c r="K37" s="168" cm="1">
        <f t="array" ref="K37">_xlfn.XLOOKUP(
   $B$4&amp;" "&amp;$B37,
   Actuals!$D:$D,
   _xlfn.XLOOKUP(
      K$6,
      Actuals!$H$3:$BD$3,
      Actuals!$H:$BD
   )
)</f>
        <v>1</v>
      </c>
      <c r="L37" s="168" cm="1">
        <f t="array" ref="L37">_xlfn.XLOOKUP(
   $B$4&amp;" "&amp;$B37,
   Actuals!$D:$D,
   _xlfn.XLOOKUP(
      L$6,
      Actuals!$H$3:$BD$3,
      Actuals!$H:$BD
   )
)</f>
        <v>1</v>
      </c>
      <c r="M37" s="168" cm="1">
        <f t="array" ref="M37">_xlfn.XLOOKUP(
   $B$4&amp;" "&amp;$B37,
   Actuals!$D:$D,
   _xlfn.XLOOKUP(
      M$6,
      Actuals!$H$3:$BD$3,
      Actuals!$H:$BD
   )
)</f>
        <v>1</v>
      </c>
      <c r="N37" s="168" cm="1">
        <f t="array" ref="N37">_xlfn.XLOOKUP(
   $B$4&amp;" "&amp;$B37,
   Actuals!$D:$D,
   _xlfn.XLOOKUP(
      N$6,
      Actuals!$H$3:$BD$3,
      Actuals!$H:$BD
   )
)</f>
        <v>2</v>
      </c>
      <c r="O37" s="292" cm="1">
        <f t="array" ref="O37">_xlfn.XLOOKUP(
   $B$4&amp;" "&amp;$B37,
   Actuals!$D:$D,
   _xlfn.XLOOKUP(
      O$6,
      Actuals!$H$3:$BD$3,
      Actuals!$H:$BD
   )
)</f>
        <v>0</v>
      </c>
      <c r="P37" s="292" cm="1">
        <f t="array" ref="P37">_xlfn.XLOOKUP(
   $B$4&amp;" "&amp;$B37,
   Actuals!$D:$D,
   _xlfn.XLOOKUP(
      P$6,
      Actuals!$H$3:$BD$3,
      Actuals!$H:$BD
   )
)</f>
        <v>0</v>
      </c>
      <c r="Q37" s="292" cm="1">
        <f t="array" ref="Q37">_xlfn.XLOOKUP(
   $B$4&amp;" "&amp;$B37,
   Actuals!$D:$D,
   _xlfn.XLOOKUP(
      Q$6,
      Actuals!$H$3:$BD$3,
      Actuals!$H:$BD
   )
)</f>
        <v>0</v>
      </c>
      <c r="R37" s="292" cm="1">
        <f t="array" ref="R37">_xlfn.XLOOKUP(
   $B$4&amp;" "&amp;$B37,
   Actuals!$D:$D,
   _xlfn.XLOOKUP(
      R$6,
      Actuals!$H$3:$BD$3,
      Actuals!$H:$BD
   )
)</f>
        <v>0</v>
      </c>
      <c r="S37" s="292" cm="1">
        <f t="array" ref="S37">_xlfn.XLOOKUP(
   $B$4&amp;" "&amp;$B37,
   Actuals!$D:$D,
   _xlfn.XLOOKUP(
      S$6,
      Actuals!$H$3:$BD$3,
      Actuals!$H:$BD
   )
)</f>
        <v>0</v>
      </c>
      <c r="T37" s="292" cm="1">
        <f t="array" ref="T37">_xlfn.XLOOKUP(
   $B$4&amp;" "&amp;$B37,
   Actuals!$D:$D,
   _xlfn.XLOOKUP(
      T$6,
      Actuals!$H$3:$BD$3,
      Actuals!$H:$BD
   )
)</f>
        <v>0</v>
      </c>
      <c r="U37" s="292" cm="1">
        <f t="array" ref="U37">_xlfn.XLOOKUP(
   $B$4&amp;" "&amp;$B37,
   Actuals!$D:$D,
   _xlfn.XLOOKUP(
      U$6,
      Actuals!$H$3:$BD$3,
      Actuals!$H:$BD
   )
)</f>
        <v>0</v>
      </c>
      <c r="V37" s="292" cm="1">
        <f t="array" ref="V37">_xlfn.XLOOKUP(
   $B$4&amp;" "&amp;$B37,
   Actuals!$D:$D,
   _xlfn.XLOOKUP(
      V$6,
      Actuals!$H$3:$BD$3,
      Actuals!$H:$BD
   )
)</f>
        <v>0</v>
      </c>
      <c r="W37" s="292" cm="1">
        <f t="array" ref="W37">_xlfn.XLOOKUP(
   $B$4&amp;" "&amp;$B37,
   Actuals!$D:$D,
   _xlfn.XLOOKUP(
      W$6,
      Actuals!$H$3:$BD$3,
      Actuals!$H:$BD
   )
)</f>
        <v>0</v>
      </c>
      <c r="X37" s="292" cm="1">
        <f t="array" ref="X37">_xlfn.XLOOKUP(
   $B$4&amp;" "&amp;$B37,
   Actuals!$D:$D,
   _xlfn.XLOOKUP(
      X$6,
      Actuals!$H$3:$BD$3,
      Actuals!$H:$BD
   )
)</f>
        <v>0</v>
      </c>
      <c r="Y37" s="292" cm="1">
        <f t="array" ref="Y37">_xlfn.XLOOKUP(
   $B$4&amp;" "&amp;$B37,
   Actuals!$D:$D,
   _xlfn.XLOOKUP(
      Y$6,
      Actuals!$H$3:$BD$3,
      Actuals!$H:$BD
   )
)</f>
        <v>0</v>
      </c>
      <c r="Z37" s="292" cm="1">
        <f t="array" ref="Z37">_xlfn.XLOOKUP(
   $B$4&amp;" "&amp;$B37,
   Actuals!$D:$D,
   _xlfn.XLOOKUP(
      Z$6,
      Actuals!$H$3:$BD$3,
      Actuals!$H:$BD
   )
)</f>
        <v>0</v>
      </c>
      <c r="AA37" s="292" cm="1">
        <f t="array" ref="AA37">_xlfn.XLOOKUP(
   $B$4&amp;" "&amp;$B37,
   Actuals!$D:$D,
   _xlfn.XLOOKUP(
      AA$6,
      Actuals!$H$3:$BD$3,
      Actuals!$H:$BD
   )
)</f>
        <v>0</v>
      </c>
      <c r="AB37" s="292" cm="1">
        <f t="array" ref="AB37">_xlfn.XLOOKUP(
   $B$4&amp;" "&amp;$B37,
   Actuals!$D:$D,
   _xlfn.XLOOKUP(
      AB$6,
      Actuals!$H$3:$BD$3,
      Actuals!$H:$BD
   )
)</f>
        <v>0</v>
      </c>
      <c r="AC37" s="292" cm="1">
        <f t="array" ref="AC37">_xlfn.XLOOKUP(
   $B$4&amp;" "&amp;$B37,
   Actuals!$D:$D,
   _xlfn.XLOOKUP(
      AC$6,
      Actuals!$H$3:$BD$3,
      Actuals!$H:$BD
   )
)</f>
        <v>0</v>
      </c>
      <c r="AD37" s="292" cm="1">
        <f t="array" ref="AD37">_xlfn.XLOOKUP(
   $B$4&amp;" "&amp;$B37,
   Actuals!$D:$D,
   _xlfn.XLOOKUP(
      AD$6,
      Actuals!$H$3:$BD$3,
      Actuals!$H:$BD
   )
)</f>
        <v>0</v>
      </c>
      <c r="AE37" s="292" cm="1">
        <f t="array" ref="AE37">_xlfn.XLOOKUP(
   $B$4&amp;" "&amp;$B37,
   Actuals!$D:$D,
   _xlfn.XLOOKUP(
      AE$6,
      Actuals!$H$3:$BD$3,
      Actuals!$H:$BD
   )
)</f>
        <v>0</v>
      </c>
      <c r="AF37" s="292" cm="1">
        <f t="array" ref="AF37">_xlfn.XLOOKUP(
   $B$4&amp;" "&amp;$B37,
   Actuals!$D:$D,
   _xlfn.XLOOKUP(
      AF$6,
      Actuals!$H$3:$BD$3,
      Actuals!$H:$BD
   )
)</f>
        <v>0</v>
      </c>
      <c r="AG37" s="292" cm="1">
        <f t="array" ref="AG37">_xlfn.XLOOKUP(
   $B$4&amp;" "&amp;$B37,
   Actuals!$D:$D,
   _xlfn.XLOOKUP(
      AG$6,
      Actuals!$H$3:$BD$3,
      Actuals!$H:$BD
   )
)</f>
        <v>0</v>
      </c>
      <c r="AH37" s="292" cm="1">
        <f t="array" ref="AH37">_xlfn.XLOOKUP(
   $B$4&amp;" "&amp;$B37,
   Actuals!$D:$D,
   _xlfn.XLOOKUP(
      AH$6,
      Actuals!$H$3:$BD$3,
      Actuals!$H:$BD
   )
)</f>
        <v>0</v>
      </c>
      <c r="AI37" s="292" cm="1">
        <f t="array" ref="AI37">_xlfn.XLOOKUP(
   $B$4&amp;" "&amp;$B37,
   Actuals!$D:$D,
   _xlfn.XLOOKUP(
      AI$6,
      Actuals!$H$3:$BD$3,
      Actuals!$H:$BD
   )
)</f>
        <v>0</v>
      </c>
      <c r="AJ37" s="292" cm="1">
        <f t="array" ref="AJ37">_xlfn.XLOOKUP(
   $B$4&amp;" "&amp;$B37,
   Actuals!$D:$D,
   _xlfn.XLOOKUP(
      AJ$6,
      Actuals!$H$3:$BD$3,
      Actuals!$H:$BD
   )
)</f>
        <v>0</v>
      </c>
      <c r="AK37" s="292" cm="1">
        <f t="array" ref="AK37">_xlfn.XLOOKUP(
   $B$4&amp;" "&amp;$B37,
   Actuals!$D:$D,
   _xlfn.XLOOKUP(
      AK$6,
      Actuals!$H$3:$BD$3,
      Actuals!$H:$BD
   )
)</f>
        <v>0</v>
      </c>
      <c r="AL37" s="292" cm="1">
        <f t="array" ref="AL37">_xlfn.XLOOKUP(
   $B$4&amp;" "&amp;$B37,
   Actuals!$D:$D,
   _xlfn.XLOOKUP(
      AL$6,
      Actuals!$H$3:$BD$3,
      Actuals!$H:$BD
   )
)</f>
        <v>0</v>
      </c>
      <c r="AM37" s="292" cm="1">
        <f t="array" ref="AM37">_xlfn.XLOOKUP(
   $B$4&amp;" "&amp;$B37,
   Actuals!$D:$D,
   _xlfn.XLOOKUP(
      AM$6,
      Actuals!$H$3:$BD$3,
      Actuals!$H:$BD
   )
)</f>
        <v>0</v>
      </c>
      <c r="AN37" s="292" cm="1">
        <f t="array" ref="AN37">_xlfn.XLOOKUP(
   $B$4&amp;" "&amp;$B37,
   Actuals!$D:$D,
   _xlfn.XLOOKUP(
      AN$6,
      Actuals!$H$3:$BD$3,
      Actuals!$H:$BD
   )
)</f>
        <v>0</v>
      </c>
      <c r="AO37" s="292" cm="1">
        <f t="array" ref="AO37">_xlfn.XLOOKUP(
   $B$4&amp;" "&amp;$B37,
   Actuals!$D:$D,
   _xlfn.XLOOKUP(
      AO$6,
      Actuals!$H$3:$BD$3,
      Actuals!$H:$BD
   )
)</f>
        <v>0</v>
      </c>
      <c r="AP37" s="292" cm="1">
        <f t="array" ref="AP37">_xlfn.XLOOKUP(
   $B$4&amp;" "&amp;$B37,
   Actuals!$D:$D,
   _xlfn.XLOOKUP(
      AP$6,
      Actuals!$H$3:$BD$3,
      Actuals!$H:$BD
   )
)</f>
        <v>0</v>
      </c>
      <c r="AQ37" s="292" cm="1">
        <f t="array" ref="AQ37">_xlfn.XLOOKUP(
   $B$4&amp;" "&amp;$B37,
   Actuals!$D:$D,
   _xlfn.XLOOKUP(
      AQ$6,
      Actuals!$H$3:$BD$3,
      Actuals!$H:$BD
   )
)</f>
        <v>0</v>
      </c>
      <c r="AR37" s="292" cm="1">
        <f t="array" ref="AR37">_xlfn.XLOOKUP(
   $B$4&amp;" "&amp;$B37,
   Actuals!$D:$D,
   _xlfn.XLOOKUP(
      AR$6,
      Actuals!$H$3:$BD$3,
      Actuals!$H:$BD
   )
)</f>
        <v>0</v>
      </c>
      <c r="AS37" s="292" cm="1">
        <f t="array" ref="AS37">_xlfn.XLOOKUP(
   $B$4&amp;" "&amp;$B37,
   Actuals!$D:$D,
   _xlfn.XLOOKUP(
      AS$6,
      Actuals!$H$3:$BD$3,
      Actuals!$H:$BD
   )
)</f>
        <v>0</v>
      </c>
      <c r="AT37" s="292" cm="1">
        <f t="array" ref="AT37">_xlfn.XLOOKUP(
   $B$4&amp;" "&amp;$B37,
   Actuals!$D:$D,
   _xlfn.XLOOKUP(
      AT$6,
      Actuals!$H$3:$BD$3,
      Actuals!$H:$BD
   )
)</f>
        <v>0</v>
      </c>
      <c r="AU37" s="292" cm="1">
        <f t="array" ref="AU37">_xlfn.XLOOKUP(
   $B$4&amp;" "&amp;$B37,
   Actuals!$D:$D,
   _xlfn.XLOOKUP(
      AU$6,
      Actuals!$H$3:$BD$3,
      Actuals!$H:$BD
   )
)</f>
        <v>0</v>
      </c>
      <c r="AV37" s="292" cm="1">
        <f t="array" ref="AV37">_xlfn.XLOOKUP(
   $B$4&amp;" "&amp;$B37,
   Actuals!$D:$D,
   _xlfn.XLOOKUP(
      AV$6,
      Actuals!$H$3:$BD$3,
      Actuals!$H:$BD
   )
)</f>
        <v>0</v>
      </c>
      <c r="AW37" s="292" cm="1">
        <f t="array" ref="AW37">_xlfn.XLOOKUP(
   $B$4&amp;" "&amp;$B37,
   Actuals!$D:$D,
   _xlfn.XLOOKUP(
      AW$6,
      Actuals!$H$3:$BD$3,
      Actuals!$H:$BD
   )
)</f>
        <v>0</v>
      </c>
      <c r="AX37" s="292" cm="1">
        <f t="array" ref="AX37">_xlfn.XLOOKUP(
   $B$4&amp;" "&amp;$B37,
   Actuals!$D:$D,
   _xlfn.XLOOKUP(
      AX$6,
      Actuals!$H$3:$BD$3,
      Actuals!$H:$BD
   )
)</f>
        <v>0</v>
      </c>
      <c r="AY37" s="292" cm="1">
        <f t="array" ref="AY37">_xlfn.XLOOKUP(
   $B$4&amp;" "&amp;$B37,
   Actuals!$D:$D,
   _xlfn.XLOOKUP(
      AY$6,
      Actuals!$H$3:$BD$3,
      Actuals!$H:$BD
   )
)</f>
        <v>0</v>
      </c>
      <c r="AZ37" s="292" cm="1">
        <f t="array" ref="AZ37">_xlfn.XLOOKUP(
   $B$4&amp;" "&amp;$B37,
   Actuals!$D:$D,
   _xlfn.XLOOKUP(
      AZ$6,
      Actuals!$H$3:$BD$3,
      Actuals!$H:$BD
   )
)</f>
        <v>0</v>
      </c>
      <c r="BA37" s="292"/>
      <c r="BB37" s="292" cm="1">
        <f t="array" ref="BB37">_xlfn.XLOOKUP(
   $B$4&amp;" "&amp;$B37,
   Actuals!$D:$D,
   _xlfn.XLOOKUP(
      BB$7,
      Actuals!$H$3:$BM$3,
      Actuals!$H:$BM
   )
)</f>
        <v>0</v>
      </c>
      <c r="BC37" s="292">
        <f>VLOOKUP($B$4&amp;" "&amp;$B37,Budget!$AG$4:$AL$132,$BB$5+1,FALSE)</f>
        <v>0</v>
      </c>
      <c r="BD37" s="292">
        <f>BB37-BC37</f>
        <v>0</v>
      </c>
      <c r="BE37" s="292"/>
      <c r="BF37" s="292" cm="1">
        <f t="array" ref="BF37">_xlfn.XLOOKUP(
   $B$4&amp;" "&amp;$B37,
   Actuals!$D:$D,
   _xlfn.XLOOKUP(
      BF$7,
      Actuals!$H$3:$BM$3,
      Actuals!$H:$BM
   )
)</f>
        <v>0</v>
      </c>
      <c r="BG37" s="292">
        <f>VLOOKUP($B$4&amp;" "&amp;$B37,Budget!$AG$4:$AL$132,BF$5+1,FALSE)</f>
        <v>0</v>
      </c>
      <c r="BH37" s="292">
        <f>BF37-BG37</f>
        <v>0</v>
      </c>
      <c r="BI37" s="292"/>
      <c r="BJ37" s="292" cm="1">
        <f t="array" ref="BJ37">_xlfn.XLOOKUP(
   $B$4&amp;" "&amp;$B37,
   Actuals!$D:$D,
   _xlfn.XLOOKUP(
      BJ$7,
      Actuals!$H$3:$BM$3,
      Actuals!$H:$BM
   )
)</f>
        <v>0</v>
      </c>
      <c r="BK37" s="292">
        <f>VLOOKUP($B$4&amp;" "&amp;$B37,Budget!$AG$4:$AL$132,BJ$5+1,FALSE)</f>
        <v>0</v>
      </c>
      <c r="BL37" s="292">
        <f>BJ37-BK37</f>
        <v>0</v>
      </c>
      <c r="BM37" s="292"/>
      <c r="BN37" s="292" cm="1">
        <f t="array" ref="BN37">_xlfn.XLOOKUP(
   $B$4&amp;" "&amp;$B37,
   Actuals!$D:$D,
   _xlfn.XLOOKUP(
      BN$7,
      Actuals!$H$3:$BM$3,
      Actuals!$H:$BM
   )
)</f>
        <v>0</v>
      </c>
      <c r="BO37" s="292">
        <f>VLOOKUP($B$4&amp;" "&amp;$B37,Budget!$AG$4:$AL$132,BN$5+1,FALSE)</f>
        <v>0</v>
      </c>
      <c r="BP37" s="292"/>
      <c r="BQ37" s="292"/>
      <c r="BR37" s="292" cm="1">
        <f t="array" aca="1" ref="BR37" ca="1">_xlfn.XLOOKUP(
   $B$4&amp;" "&amp;$B37,
   Actuals!$D:$D,
   _xlfn.XLOOKUP(
      BR$6,
      Actuals!$H$3:$BM$3,
      Actuals!$H:$BM
   )
)</f>
        <v>0</v>
      </c>
      <c r="BS37" s="292">
        <f ca="1">VLOOKUP($B$4&amp;" "&amp;$B37,Budget!$AG$4:$AL$132,6,FALSE)</f>
        <v>0</v>
      </c>
      <c r="BT37" s="292">
        <f ca="1">BR37-BS37</f>
        <v>0</v>
      </c>
      <c r="BU37" s="292"/>
      <c r="BV37" s="292" cm="1">
        <f t="array" ref="BV37">_xlfn.XLOOKUP(
   $B$4&amp;" "&amp;$B37,
   Actuals!$D:$D,
   _xlfn.XLOOKUP(
      BV$6,
      Actuals!$H$3:$BM$3,
      Actuals!$H:$BM
   )
)</f>
        <v>0</v>
      </c>
      <c r="BW37" s="26"/>
      <c r="BX37" s="26"/>
      <c r="BY37" s="26"/>
    </row>
    <row r="38" spans="1:77">
      <c r="A38" s="26"/>
      <c r="C38" s="141"/>
      <c r="D38" s="177"/>
      <c r="O38" s="285"/>
      <c r="P38" s="285"/>
      <c r="Q38" s="285"/>
      <c r="R38" s="285"/>
      <c r="S38" s="285"/>
      <c r="T38" s="285"/>
      <c r="U38" s="285"/>
      <c r="V38" s="285"/>
      <c r="W38" s="285"/>
      <c r="X38" s="285"/>
      <c r="Y38" s="285"/>
      <c r="Z38" s="285"/>
      <c r="AA38" s="285"/>
      <c r="AB38" s="285"/>
      <c r="AC38" s="285"/>
      <c r="AD38" s="285"/>
      <c r="AE38" s="285"/>
      <c r="AF38" s="285"/>
      <c r="AG38" s="285"/>
      <c r="AH38" s="285"/>
      <c r="AI38" s="285"/>
      <c r="AJ38" s="285"/>
      <c r="AK38" s="285"/>
      <c r="AL38" s="285"/>
      <c r="AM38" s="285"/>
      <c r="AN38" s="285"/>
      <c r="AO38" s="285"/>
      <c r="AP38" s="285"/>
      <c r="AQ38" s="285"/>
      <c r="AR38" s="285"/>
      <c r="AS38" s="285"/>
      <c r="AT38" s="285"/>
      <c r="AU38" s="285"/>
      <c r="AV38" s="285"/>
      <c r="AW38" s="285"/>
      <c r="AX38" s="285"/>
      <c r="AY38" s="285"/>
      <c r="AZ38" s="285"/>
      <c r="BA38" s="285"/>
      <c r="BB38" s="285"/>
      <c r="BC38" s="285"/>
      <c r="BD38" s="285"/>
      <c r="BE38" s="285"/>
      <c r="BF38" s="285"/>
      <c r="BG38" s="285"/>
      <c r="BH38" s="285"/>
      <c r="BI38" s="285"/>
      <c r="BJ38" s="285"/>
      <c r="BK38" s="285"/>
      <c r="BL38" s="285"/>
      <c r="BM38" s="285"/>
      <c r="BN38" s="285"/>
      <c r="BO38" s="285"/>
      <c r="BP38" s="285"/>
      <c r="BQ38" s="285"/>
      <c r="BR38" s="285"/>
      <c r="BS38" s="285"/>
      <c r="BT38" s="285"/>
      <c r="BU38" s="285"/>
      <c r="BW38" s="26"/>
      <c r="BX38" s="26"/>
      <c r="BY38" s="26"/>
    </row>
    <row r="39" spans="1:77">
      <c r="A39" s="26"/>
      <c r="B39" s="26" t="s">
        <v>193</v>
      </c>
      <c r="C39" s="139" t="s">
        <v>47</v>
      </c>
      <c r="D39" s="171" t="str">
        <f>VLOOKUP($B$4&amp;" "&amp;$B39,Actuals!$D$4:$AG$131,3,FALSE)</f>
        <v>#</v>
      </c>
      <c r="E39" s="168" cm="1">
        <f t="array" ref="E39">_xlfn.XLOOKUP(
   $B$4&amp;" "&amp;$B39,
   Actuals!$D:$D,
   _xlfn.XLOOKUP(
      E$6,
      Actuals!$H$3:$BD$3,
      Actuals!$H:$BD
   )
)</f>
        <v>46.875</v>
      </c>
      <c r="F39" s="168" cm="1">
        <f t="array" ref="F39">_xlfn.XLOOKUP(
   $B$4&amp;" "&amp;$B39,
   Actuals!$D:$D,
   _xlfn.XLOOKUP(
      F$6,
      Actuals!$H$3:$BD$3,
      Actuals!$H:$BD
   )
)</f>
        <v>46.875</v>
      </c>
      <c r="G39" s="168" cm="1">
        <f t="array" ref="G39">_xlfn.XLOOKUP(
   $B$4&amp;" "&amp;$B39,
   Actuals!$D:$D,
   _xlfn.XLOOKUP(
      G$6,
      Actuals!$H$3:$BD$3,
      Actuals!$H:$BD
   )
)</f>
        <v>52.307692307692314</v>
      </c>
      <c r="H39" s="168" cm="1">
        <f t="array" ref="H39">_xlfn.XLOOKUP(
   $B$4&amp;" "&amp;$B39,
   Actuals!$D:$D,
   _xlfn.XLOOKUP(
      H$6,
      Actuals!$H$3:$BD$3,
      Actuals!$H:$BD
   )
)</f>
        <v>50.769230769230766</v>
      </c>
      <c r="I39" s="168" cm="1">
        <f t="array" ref="I39">_xlfn.XLOOKUP(
   $B$4&amp;" "&amp;$B39,
   Actuals!$D:$D,
   _xlfn.XLOOKUP(
      I$6,
      Actuals!$H$3:$BD$3,
      Actuals!$H:$BD
   )
)</f>
        <v>49.230769230769234</v>
      </c>
      <c r="J39" s="168" cm="1">
        <f t="array" ref="J39">_xlfn.XLOOKUP(
   $B$4&amp;" "&amp;$B39,
   Actuals!$D:$D,
   _xlfn.XLOOKUP(
      J$6,
      Actuals!$H$3:$BD$3,
      Actuals!$H:$BD
   )
)</f>
        <v>47.692307692307693</v>
      </c>
      <c r="K39" s="168" cm="1">
        <f t="array" ref="K39">_xlfn.XLOOKUP(
   $B$4&amp;" "&amp;$B39,
   Actuals!$D:$D,
   _xlfn.XLOOKUP(
      K$6,
      Actuals!$H$3:$BD$3,
      Actuals!$H:$BD
   )
)</f>
        <v>42.857142857142854</v>
      </c>
      <c r="L39" s="168" cm="1">
        <f t="array" ref="L39">_xlfn.XLOOKUP(
   $B$4&amp;" "&amp;$B39,
   Actuals!$D:$D,
   _xlfn.XLOOKUP(
      L$6,
      Actuals!$H$3:$BD$3,
      Actuals!$H:$BD
   )
)</f>
        <v>44.61538461538462</v>
      </c>
      <c r="M39" s="168" cm="1">
        <f t="array" ref="M39">_xlfn.XLOOKUP(
   $B$4&amp;" "&amp;$B39,
   Actuals!$D:$D,
   _xlfn.XLOOKUP(
      M$6,
      Actuals!$H$3:$BD$3,
      Actuals!$H:$BD
   )
)</f>
        <v>40</v>
      </c>
      <c r="N39" s="168" cm="1">
        <f t="array" ref="N39">_xlfn.XLOOKUP(
   $B$4&amp;" "&amp;$B39,
   Actuals!$D:$D,
   _xlfn.XLOOKUP(
      N$6,
      Actuals!$H$3:$BD$3,
      Actuals!$H:$BD
   )
)</f>
        <v>38.461538461538467</v>
      </c>
      <c r="O39" s="292" t="e" cm="1">
        <f t="array" ref="O39">_xlfn.XLOOKUP(
   $B$4&amp;" "&amp;$B39,
   Actuals!$D:$D,
   _xlfn.XLOOKUP(
      O$6,
      Actuals!$H$3:$BD$3,
      Actuals!$H:$BD
   )
)</f>
        <v>#DIV/0!</v>
      </c>
      <c r="P39" s="292" t="e" cm="1">
        <f t="array" ref="P39">_xlfn.XLOOKUP(
   $B$4&amp;" "&amp;$B39,
   Actuals!$D:$D,
   _xlfn.XLOOKUP(
      P$6,
      Actuals!$H$3:$BD$3,
      Actuals!$H:$BD
   )
)</f>
        <v>#DIV/0!</v>
      </c>
      <c r="Q39" s="292" t="e" cm="1">
        <f t="array" ref="Q39">_xlfn.XLOOKUP(
   $B$4&amp;" "&amp;$B39,
   Actuals!$D:$D,
   _xlfn.XLOOKUP(
      Q$6,
      Actuals!$H$3:$BD$3,
      Actuals!$H:$BD
   )
)</f>
        <v>#DIV/0!</v>
      </c>
      <c r="R39" s="292" t="e" cm="1">
        <f t="array" ref="R39">_xlfn.XLOOKUP(
   $B$4&amp;" "&amp;$B39,
   Actuals!$D:$D,
   _xlfn.XLOOKUP(
      R$6,
      Actuals!$H$3:$BD$3,
      Actuals!$H:$BD
   )
)</f>
        <v>#DIV/0!</v>
      </c>
      <c r="S39" s="292" t="e" cm="1">
        <f t="array" ref="S39">_xlfn.XLOOKUP(
   $B$4&amp;" "&amp;$B39,
   Actuals!$D:$D,
   _xlfn.XLOOKUP(
      S$6,
      Actuals!$H$3:$BD$3,
      Actuals!$H:$BD
   )
)</f>
        <v>#DIV/0!</v>
      </c>
      <c r="T39" s="292" t="e" cm="1">
        <f t="array" ref="T39">_xlfn.XLOOKUP(
   $B$4&amp;" "&amp;$B39,
   Actuals!$D:$D,
   _xlfn.XLOOKUP(
      T$6,
      Actuals!$H$3:$BD$3,
      Actuals!$H:$BD
   )
)</f>
        <v>#DIV/0!</v>
      </c>
      <c r="U39" s="292" t="e" cm="1">
        <f t="array" ref="U39">_xlfn.XLOOKUP(
   $B$4&amp;" "&amp;$B39,
   Actuals!$D:$D,
   _xlfn.XLOOKUP(
      U$6,
      Actuals!$H$3:$BD$3,
      Actuals!$H:$BD
   )
)</f>
        <v>#DIV/0!</v>
      </c>
      <c r="V39" s="292" t="e" cm="1">
        <f t="array" ref="V39">_xlfn.XLOOKUP(
   $B$4&amp;" "&amp;$B39,
   Actuals!$D:$D,
   _xlfn.XLOOKUP(
      V$6,
      Actuals!$H$3:$BD$3,
      Actuals!$H:$BD
   )
)</f>
        <v>#DIV/0!</v>
      </c>
      <c r="W39" s="292" t="e" cm="1">
        <f t="array" ref="W39">_xlfn.XLOOKUP(
   $B$4&amp;" "&amp;$B39,
   Actuals!$D:$D,
   _xlfn.XLOOKUP(
      W$6,
      Actuals!$H$3:$BD$3,
      Actuals!$H:$BD
   )
)</f>
        <v>#DIV/0!</v>
      </c>
      <c r="X39" s="292" t="e" cm="1">
        <f t="array" ref="X39">_xlfn.XLOOKUP(
   $B$4&amp;" "&amp;$B39,
   Actuals!$D:$D,
   _xlfn.XLOOKUP(
      X$6,
      Actuals!$H$3:$BD$3,
      Actuals!$H:$BD
   )
)</f>
        <v>#DIV/0!</v>
      </c>
      <c r="Y39" s="292" t="e" cm="1">
        <f t="array" ref="Y39">_xlfn.XLOOKUP(
   $B$4&amp;" "&amp;$B39,
   Actuals!$D:$D,
   _xlfn.XLOOKUP(
      Y$6,
      Actuals!$H$3:$BD$3,
      Actuals!$H:$BD
   )
)</f>
        <v>#DIV/0!</v>
      </c>
      <c r="Z39" s="292" t="e" cm="1">
        <f t="array" ref="Z39">_xlfn.XLOOKUP(
   $B$4&amp;" "&amp;$B39,
   Actuals!$D:$D,
   _xlfn.XLOOKUP(
      Z$6,
      Actuals!$H$3:$BD$3,
      Actuals!$H:$BD
   )
)</f>
        <v>#DIV/0!</v>
      </c>
      <c r="AA39" s="292" t="e" cm="1">
        <f t="array" ref="AA39">_xlfn.XLOOKUP(
   $B$4&amp;" "&amp;$B39,
   Actuals!$D:$D,
   _xlfn.XLOOKUP(
      AA$6,
      Actuals!$H$3:$BD$3,
      Actuals!$H:$BD
   )
)</f>
        <v>#DIV/0!</v>
      </c>
      <c r="AB39" s="292" t="e" cm="1">
        <f t="array" ref="AB39">_xlfn.XLOOKUP(
   $B$4&amp;" "&amp;$B39,
   Actuals!$D:$D,
   _xlfn.XLOOKUP(
      AB$6,
      Actuals!$H$3:$BD$3,
      Actuals!$H:$BD
   )
)</f>
        <v>#DIV/0!</v>
      </c>
      <c r="AC39" s="292" cm="1">
        <f t="array" ref="AC39">_xlfn.XLOOKUP(
   $B$4&amp;" "&amp;$B39,
   Actuals!$D:$D,
   _xlfn.XLOOKUP(
      AC$6,
      Actuals!$H$3:$BD$3,
      Actuals!$H:$BD
   )
)</f>
        <v>0</v>
      </c>
      <c r="AD39" s="292" cm="1">
        <f t="array" ref="AD39">_xlfn.XLOOKUP(
   $B$4&amp;" "&amp;$B39,
   Actuals!$D:$D,
   _xlfn.XLOOKUP(
      AD$6,
      Actuals!$H$3:$BD$3,
      Actuals!$H:$BD
   )
)</f>
        <v>0</v>
      </c>
      <c r="AE39" s="292" cm="1">
        <f t="array" ref="AE39">_xlfn.XLOOKUP(
   $B$4&amp;" "&amp;$B39,
   Actuals!$D:$D,
   _xlfn.XLOOKUP(
      AE$6,
      Actuals!$H$3:$BD$3,
      Actuals!$H:$BD
   )
)</f>
        <v>0</v>
      </c>
      <c r="AF39" s="292" cm="1">
        <f t="array" ref="AF39">_xlfn.XLOOKUP(
   $B$4&amp;" "&amp;$B39,
   Actuals!$D:$D,
   _xlfn.XLOOKUP(
      AF$6,
      Actuals!$H$3:$BD$3,
      Actuals!$H:$BD
   )
)</f>
        <v>0</v>
      </c>
      <c r="AG39" s="292" cm="1">
        <f t="array" ref="AG39">_xlfn.XLOOKUP(
   $B$4&amp;" "&amp;$B39,
   Actuals!$D:$D,
   _xlfn.XLOOKUP(
      AG$6,
      Actuals!$H$3:$BD$3,
      Actuals!$H:$BD
   )
)</f>
        <v>0</v>
      </c>
      <c r="AH39" s="292" cm="1">
        <f t="array" ref="AH39">_xlfn.XLOOKUP(
   $B$4&amp;" "&amp;$B39,
   Actuals!$D:$D,
   _xlfn.XLOOKUP(
      AH$6,
      Actuals!$H$3:$BD$3,
      Actuals!$H:$BD
   )
)</f>
        <v>0</v>
      </c>
      <c r="AI39" s="292" cm="1">
        <f t="array" ref="AI39">_xlfn.XLOOKUP(
   $B$4&amp;" "&amp;$B39,
   Actuals!$D:$D,
   _xlfn.XLOOKUP(
      AI$6,
      Actuals!$H$3:$BD$3,
      Actuals!$H:$BD
   )
)</f>
        <v>0</v>
      </c>
      <c r="AJ39" s="292" cm="1">
        <f t="array" ref="AJ39">_xlfn.XLOOKUP(
   $B$4&amp;" "&amp;$B39,
   Actuals!$D:$D,
   _xlfn.XLOOKUP(
      AJ$6,
      Actuals!$H$3:$BD$3,
      Actuals!$H:$BD
   )
)</f>
        <v>0</v>
      </c>
      <c r="AK39" s="292" cm="1">
        <f t="array" ref="AK39">_xlfn.XLOOKUP(
   $B$4&amp;" "&amp;$B39,
   Actuals!$D:$D,
   _xlfn.XLOOKUP(
      AK$6,
      Actuals!$H$3:$BD$3,
      Actuals!$H:$BD
   )
)</f>
        <v>0</v>
      </c>
      <c r="AL39" s="292" cm="1">
        <f t="array" ref="AL39">_xlfn.XLOOKUP(
   $B$4&amp;" "&amp;$B39,
   Actuals!$D:$D,
   _xlfn.XLOOKUP(
      AL$6,
      Actuals!$H$3:$BD$3,
      Actuals!$H:$BD
   )
)</f>
        <v>0</v>
      </c>
      <c r="AM39" s="292" cm="1">
        <f t="array" ref="AM39">_xlfn.XLOOKUP(
   $B$4&amp;" "&amp;$B39,
   Actuals!$D:$D,
   _xlfn.XLOOKUP(
      AM$6,
      Actuals!$H$3:$BD$3,
      Actuals!$H:$BD
   )
)</f>
        <v>0</v>
      </c>
      <c r="AN39" s="292" cm="1">
        <f t="array" ref="AN39">_xlfn.XLOOKUP(
   $B$4&amp;" "&amp;$B39,
   Actuals!$D:$D,
   _xlfn.XLOOKUP(
      AN$6,
      Actuals!$H$3:$BD$3,
      Actuals!$H:$BD
   )
)</f>
        <v>0</v>
      </c>
      <c r="AO39" s="292" t="e" cm="1">
        <f t="array" ref="AO39">_xlfn.XLOOKUP(
   $B$4&amp;" "&amp;$B39,
   Actuals!$D:$D,
   _xlfn.XLOOKUP(
      AO$6,
      Actuals!$H$3:$BD$3,
      Actuals!$H:$BD
   )
)</f>
        <v>#DIV/0!</v>
      </c>
      <c r="AP39" s="292" t="e" cm="1">
        <f t="array" ref="AP39">_xlfn.XLOOKUP(
   $B$4&amp;" "&amp;$B39,
   Actuals!$D:$D,
   _xlfn.XLOOKUP(
      AP$6,
      Actuals!$H$3:$BD$3,
      Actuals!$H:$BD
   )
)</f>
        <v>#DIV/0!</v>
      </c>
      <c r="AQ39" s="292" t="e" cm="1">
        <f t="array" ref="AQ39">_xlfn.XLOOKUP(
   $B$4&amp;" "&amp;$B39,
   Actuals!$D:$D,
   _xlfn.XLOOKUP(
      AQ$6,
      Actuals!$H$3:$BD$3,
      Actuals!$H:$BD
   )
)</f>
        <v>#DIV/0!</v>
      </c>
      <c r="AR39" s="292" t="e" cm="1">
        <f t="array" ref="AR39">_xlfn.XLOOKUP(
   $B$4&amp;" "&amp;$B39,
   Actuals!$D:$D,
   _xlfn.XLOOKUP(
      AR$6,
      Actuals!$H$3:$BD$3,
      Actuals!$H:$BD
   )
)</f>
        <v>#DIV/0!</v>
      </c>
      <c r="AS39" s="292" t="e" cm="1">
        <f t="array" ref="AS39">_xlfn.XLOOKUP(
   $B$4&amp;" "&amp;$B39,
   Actuals!$D:$D,
   _xlfn.XLOOKUP(
      AS$6,
      Actuals!$H$3:$BD$3,
      Actuals!$H:$BD
   )
)</f>
        <v>#DIV/0!</v>
      </c>
      <c r="AT39" s="292" t="e" cm="1">
        <f t="array" ref="AT39">_xlfn.XLOOKUP(
   $B$4&amp;" "&amp;$B39,
   Actuals!$D:$D,
   _xlfn.XLOOKUP(
      AT$6,
      Actuals!$H$3:$BD$3,
      Actuals!$H:$BD
   )
)</f>
        <v>#DIV/0!</v>
      </c>
      <c r="AU39" s="292" t="e" cm="1">
        <f t="array" ref="AU39">_xlfn.XLOOKUP(
   $B$4&amp;" "&amp;$B39,
   Actuals!$D:$D,
   _xlfn.XLOOKUP(
      AU$6,
      Actuals!$H$3:$BD$3,
      Actuals!$H:$BD
   )
)</f>
        <v>#DIV/0!</v>
      </c>
      <c r="AV39" s="292" t="e" cm="1">
        <f t="array" ref="AV39">_xlfn.XLOOKUP(
   $B$4&amp;" "&amp;$B39,
   Actuals!$D:$D,
   _xlfn.XLOOKUP(
      AV$6,
      Actuals!$H$3:$BD$3,
      Actuals!$H:$BD
   )
)</f>
        <v>#DIV/0!</v>
      </c>
      <c r="AW39" s="292" t="e" cm="1">
        <f t="array" ref="AW39">_xlfn.XLOOKUP(
   $B$4&amp;" "&amp;$B39,
   Actuals!$D:$D,
   _xlfn.XLOOKUP(
      AW$6,
      Actuals!$H$3:$BD$3,
      Actuals!$H:$BD
   )
)</f>
        <v>#DIV/0!</v>
      </c>
      <c r="AX39" s="292" t="e" cm="1">
        <f t="array" ref="AX39">_xlfn.XLOOKUP(
   $B$4&amp;" "&amp;$B39,
   Actuals!$D:$D,
   _xlfn.XLOOKUP(
      AX$6,
      Actuals!$H$3:$BD$3,
      Actuals!$H:$BD
   )
)</f>
        <v>#DIV/0!</v>
      </c>
      <c r="AY39" s="292" t="e" cm="1">
        <f t="array" ref="AY39">_xlfn.XLOOKUP(
   $B$4&amp;" "&amp;$B39,
   Actuals!$D:$D,
   _xlfn.XLOOKUP(
      AY$6,
      Actuals!$H$3:$BD$3,
      Actuals!$H:$BD
   )
)</f>
        <v>#DIV/0!</v>
      </c>
      <c r="AZ39" s="292" t="e" cm="1">
        <f t="array" ref="AZ39">_xlfn.XLOOKUP(
   $B$4&amp;" "&amp;$B39,
   Actuals!$D:$D,
   _xlfn.XLOOKUP(
      AZ$6,
      Actuals!$H$3:$BD$3,
      Actuals!$H:$BD
   )
)</f>
        <v>#DIV/0!</v>
      </c>
      <c r="BA39" s="292"/>
      <c r="BB39" s="292" t="e" cm="1">
        <f t="array" ref="BB39">_xlfn.XLOOKUP(
   $B$4&amp;" "&amp;$B39,
   Actuals!$D:$D,
   _xlfn.XLOOKUP(
      BB$7,
      Actuals!$H$3:$BM$3,
      Actuals!$H:$BM
   )
)</f>
        <v>#DIV/0!</v>
      </c>
      <c r="BC39" s="292">
        <f>VLOOKUP($B$4&amp;" "&amp;$B39,Budget!$AG$4:$AL$132,$BB$5+1,FALSE)</f>
        <v>0</v>
      </c>
      <c r="BD39" s="292" t="e">
        <f>BB39-BC39</f>
        <v>#DIV/0!</v>
      </c>
      <c r="BE39" s="292"/>
      <c r="BF39" s="292" t="e" cm="1">
        <f t="array" ref="BF39">_xlfn.XLOOKUP(
   $B$4&amp;" "&amp;$B39,
   Actuals!$D:$D,
   _xlfn.XLOOKUP(
      BF$7,
      Actuals!$H$3:$BM$3,
      Actuals!$H:$BM
   )
)</f>
        <v>#DIV/0!</v>
      </c>
      <c r="BG39" s="292">
        <f>VLOOKUP($B$4&amp;" "&amp;$B39,Budget!$AG$4:$AL$132,BF$5+1,FALSE)</f>
        <v>0</v>
      </c>
      <c r="BH39" s="292" t="e">
        <f>BF39-BG39</f>
        <v>#DIV/0!</v>
      </c>
      <c r="BI39" s="292"/>
      <c r="BJ39" s="292" t="e" cm="1">
        <f t="array" ref="BJ39">_xlfn.XLOOKUP(
   $B$4&amp;" "&amp;$B39,
   Actuals!$D:$D,
   _xlfn.XLOOKUP(
      BJ$7,
      Actuals!$H$3:$BM$3,
      Actuals!$H:$BM
   )
)</f>
        <v>#DIV/0!</v>
      </c>
      <c r="BK39" s="292">
        <f>VLOOKUP($B$4&amp;" "&amp;$B39,Budget!$AG$4:$AL$132,BJ$5+1,FALSE)</f>
        <v>0</v>
      </c>
      <c r="BL39" s="292" t="e">
        <f>BJ39-BK39</f>
        <v>#DIV/0!</v>
      </c>
      <c r="BM39" s="292"/>
      <c r="BN39" s="292" t="e" cm="1">
        <f t="array" ref="BN39">_xlfn.XLOOKUP(
   $B$4&amp;" "&amp;$B39,
   Actuals!$D:$D,
   _xlfn.XLOOKUP(
      BN$7,
      Actuals!$H$3:$BM$3,
      Actuals!$H:$BM
   )
)</f>
        <v>#DIV/0!</v>
      </c>
      <c r="BO39" s="292">
        <f>VLOOKUP($B$4&amp;" "&amp;$B39,Budget!$AG$4:$AL$132,BN$5+1,FALSE)</f>
        <v>0</v>
      </c>
      <c r="BP39" s="292"/>
      <c r="BQ39" s="292"/>
      <c r="BR39" s="292" t="e" cm="1">
        <f t="array" aca="1" ref="BR39" ca="1">_xlfn.XLOOKUP(
   $B$4&amp;" "&amp;$B39,
   Actuals!$D:$D,
   _xlfn.XLOOKUP(
      BR$6,
      Actuals!$H$3:$BM$3,
      Actuals!$H:$BM
   )
)</f>
        <v>#DIV/0!</v>
      </c>
      <c r="BS39" s="292">
        <f ca="1">VLOOKUP($B$4&amp;" "&amp;$B39,Budget!$AG$4:$AL$132,6,FALSE)</f>
        <v>0</v>
      </c>
      <c r="BT39" s="292" t="e">
        <f ca="1">BR39-BS39</f>
        <v>#DIV/0!</v>
      </c>
      <c r="BU39" s="292"/>
      <c r="BV39" s="292" t="e" cm="1">
        <f t="array" ref="BV39">_xlfn.XLOOKUP(
   $B$4&amp;" "&amp;$B39,
   Actuals!$D:$D,
   _xlfn.XLOOKUP(
      BV$6,
      Actuals!$H$3:$BM$3,
      Actuals!$H:$BM
   )
)</f>
        <v>#DIV/0!</v>
      </c>
      <c r="BW39" s="26"/>
      <c r="BX39" s="26"/>
      <c r="BY39" s="26"/>
    </row>
    <row r="40" spans="1:77">
      <c r="A40" s="26"/>
      <c r="C40" s="141"/>
      <c r="D40" s="177"/>
      <c r="O40" s="285"/>
      <c r="P40" s="285"/>
      <c r="Q40" s="285"/>
      <c r="R40" s="285"/>
      <c r="S40" s="285"/>
      <c r="T40" s="285"/>
      <c r="U40" s="285"/>
      <c r="V40" s="285"/>
      <c r="W40" s="285"/>
      <c r="X40" s="285"/>
      <c r="Y40" s="285"/>
      <c r="Z40" s="285"/>
      <c r="AA40" s="285"/>
      <c r="AB40" s="285"/>
      <c r="AC40" s="285"/>
      <c r="AD40" s="285"/>
      <c r="AE40" s="285"/>
      <c r="AF40" s="285"/>
      <c r="AG40" s="285"/>
      <c r="AH40" s="285"/>
      <c r="AI40" s="285"/>
      <c r="AJ40" s="285"/>
      <c r="AK40" s="285"/>
      <c r="AL40" s="285"/>
      <c r="AM40" s="285"/>
      <c r="AN40" s="285"/>
      <c r="AO40" s="285"/>
      <c r="AP40" s="285"/>
      <c r="AQ40" s="285"/>
      <c r="AR40" s="285"/>
      <c r="AS40" s="285"/>
      <c r="AT40" s="285"/>
      <c r="AU40" s="285"/>
      <c r="AV40" s="285"/>
      <c r="AW40" s="285"/>
      <c r="AX40" s="285"/>
      <c r="AY40" s="285"/>
      <c r="AZ40" s="285"/>
      <c r="BA40" s="285"/>
      <c r="BB40" s="285"/>
      <c r="BC40" s="285"/>
      <c r="BD40" s="285"/>
      <c r="BE40" s="285"/>
      <c r="BF40" s="285"/>
      <c r="BG40" s="285"/>
      <c r="BH40" s="285"/>
      <c r="BI40" s="285"/>
      <c r="BJ40" s="285"/>
      <c r="BK40" s="285"/>
      <c r="BL40" s="285"/>
      <c r="BM40" s="285"/>
      <c r="BN40" s="285"/>
      <c r="BO40" s="285"/>
      <c r="BP40" s="285"/>
      <c r="BQ40" s="285"/>
      <c r="BR40" s="285"/>
      <c r="BS40" s="285"/>
      <c r="BT40" s="285"/>
      <c r="BU40" s="285"/>
      <c r="BW40" s="26"/>
      <c r="BX40" s="26"/>
      <c r="BY40" s="26"/>
    </row>
    <row r="41" spans="1:77" ht="13">
      <c r="A41" s="26"/>
      <c r="B41" s="126" t="s">
        <v>194</v>
      </c>
      <c r="C41" s="143"/>
      <c r="D41" s="178"/>
      <c r="E41" s="128"/>
      <c r="F41" s="128"/>
      <c r="G41" s="128"/>
      <c r="H41" s="128"/>
      <c r="I41" s="128"/>
      <c r="J41" s="128"/>
      <c r="K41" s="128"/>
      <c r="L41" s="128"/>
      <c r="M41" s="128"/>
      <c r="N41" s="128"/>
      <c r="O41" s="323"/>
      <c r="P41" s="323"/>
      <c r="Q41" s="323"/>
      <c r="R41" s="323"/>
      <c r="S41" s="323"/>
      <c r="T41" s="323"/>
      <c r="U41" s="323"/>
      <c r="V41" s="323"/>
      <c r="W41" s="323"/>
      <c r="X41" s="323"/>
      <c r="Y41" s="323"/>
      <c r="Z41" s="323"/>
      <c r="AA41" s="323"/>
      <c r="AB41" s="323"/>
      <c r="AC41" s="323"/>
      <c r="AD41" s="323"/>
      <c r="AE41" s="323"/>
      <c r="AF41" s="323"/>
      <c r="AG41" s="323"/>
      <c r="AH41" s="323"/>
      <c r="AI41" s="323"/>
      <c r="AJ41" s="323"/>
      <c r="AK41" s="323"/>
      <c r="AL41" s="323"/>
      <c r="AM41" s="323"/>
      <c r="AN41" s="323"/>
      <c r="AO41" s="323"/>
      <c r="AP41" s="323"/>
      <c r="AQ41" s="323"/>
      <c r="AR41" s="323"/>
      <c r="AS41" s="323"/>
      <c r="AT41" s="323"/>
      <c r="AU41" s="323"/>
      <c r="AV41" s="323"/>
      <c r="AW41" s="323"/>
      <c r="AX41" s="323"/>
      <c r="AY41" s="323"/>
      <c r="AZ41" s="323"/>
      <c r="BA41" s="323"/>
      <c r="BB41" s="323"/>
      <c r="BC41" s="323"/>
      <c r="BD41" s="321"/>
      <c r="BE41" s="323"/>
      <c r="BF41" s="323"/>
      <c r="BG41" s="323"/>
      <c r="BH41" s="323"/>
      <c r="BI41" s="323"/>
      <c r="BJ41" s="323"/>
      <c r="BK41" s="323"/>
      <c r="BL41" s="323"/>
      <c r="BM41" s="323"/>
      <c r="BN41" s="323"/>
      <c r="BO41" s="323"/>
      <c r="BP41" s="323"/>
      <c r="BQ41" s="323"/>
      <c r="BR41" s="323"/>
      <c r="BS41" s="323"/>
      <c r="BT41" s="323"/>
      <c r="BU41" s="323"/>
      <c r="BV41" s="323"/>
      <c r="BW41" s="26"/>
      <c r="BX41" s="26"/>
      <c r="BY41" s="26"/>
    </row>
    <row r="42" spans="1:77">
      <c r="A42" s="26"/>
      <c r="B42" s="26" t="s">
        <v>97</v>
      </c>
      <c r="C42" s="139" t="s">
        <v>47</v>
      </c>
      <c r="D42" s="171" t="str">
        <f>VLOOKUP($B$4&amp;" "&amp;$B42,Actuals!$D$4:$AG$131,3,FALSE)</f>
        <v>#</v>
      </c>
      <c r="E42" s="168" cm="1">
        <f t="array" ref="E42">_xlfn.XLOOKUP(
   $B$4&amp;" "&amp;$B42,
   Actuals!$D:$D,
   _xlfn.XLOOKUP(
      E$6,
      Actuals!$H$3:$BD$3,
      Actuals!$H:$BD
   )
)</f>
        <v>2</v>
      </c>
      <c r="F42" s="168" cm="1">
        <f t="array" ref="F42">_xlfn.XLOOKUP(
   $B$4&amp;" "&amp;$B42,
   Actuals!$D:$D,
   _xlfn.XLOOKUP(
      F$6,
      Actuals!$H$3:$BD$3,
      Actuals!$H:$BD
   )
)</f>
        <v>2</v>
      </c>
      <c r="G42" s="168" cm="1">
        <f t="array" ref="G42">_xlfn.XLOOKUP(
   $B$4&amp;" "&amp;$B42,
   Actuals!$D:$D,
   _xlfn.XLOOKUP(
      G$6,
      Actuals!$H$3:$BD$3,
      Actuals!$H:$BD
   )
)</f>
        <v>2</v>
      </c>
      <c r="H42" s="168" cm="1">
        <f t="array" ref="H42">_xlfn.XLOOKUP(
   $B$4&amp;" "&amp;$B42,
   Actuals!$D:$D,
   _xlfn.XLOOKUP(
      H$6,
      Actuals!$H$3:$BD$3,
      Actuals!$H:$BD
   )
)</f>
        <v>2</v>
      </c>
      <c r="I42" s="168" cm="1">
        <f t="array" ref="I42">_xlfn.XLOOKUP(
   $B$4&amp;" "&amp;$B42,
   Actuals!$D:$D,
   _xlfn.XLOOKUP(
      I$6,
      Actuals!$H$3:$BD$3,
      Actuals!$H:$BD
   )
)</f>
        <v>2</v>
      </c>
      <c r="J42" s="168" cm="1">
        <f t="array" ref="J42">_xlfn.XLOOKUP(
   $B$4&amp;" "&amp;$B42,
   Actuals!$D:$D,
   _xlfn.XLOOKUP(
      J$6,
      Actuals!$H$3:$BD$3,
      Actuals!$H:$BD
   )
)</f>
        <v>1</v>
      </c>
      <c r="K42" s="168" cm="1">
        <f t="array" ref="K42">_xlfn.XLOOKUP(
   $B$4&amp;" "&amp;$B42,
   Actuals!$D:$D,
   _xlfn.XLOOKUP(
      K$6,
      Actuals!$H$3:$BD$3,
      Actuals!$H:$BD
   )
)</f>
        <v>4</v>
      </c>
      <c r="L42" s="168" cm="1">
        <f t="array" ref="L42">_xlfn.XLOOKUP(
   $B$4&amp;" "&amp;$B42,
   Actuals!$D:$D,
   _xlfn.XLOOKUP(
      L$6,
      Actuals!$H$3:$BD$3,
      Actuals!$H:$BD
   )
)</f>
        <v>3</v>
      </c>
      <c r="M42" s="168" cm="1">
        <f t="array" ref="M42">_xlfn.XLOOKUP(
   $B$4&amp;" "&amp;$B42,
   Actuals!$D:$D,
   _xlfn.XLOOKUP(
      M$6,
      Actuals!$H$3:$BD$3,
      Actuals!$H:$BD
   )
)</f>
        <v>3</v>
      </c>
      <c r="N42" s="168" cm="1">
        <f t="array" ref="N42">_xlfn.XLOOKUP(
   $B$4&amp;" "&amp;$B42,
   Actuals!$D:$D,
   _xlfn.XLOOKUP(
      N$6,
      Actuals!$H$3:$BD$3,
      Actuals!$H:$BD
   )
)</f>
        <v>4</v>
      </c>
      <c r="O42" s="292" cm="1">
        <f t="array" ref="O42">_xlfn.XLOOKUP(
   $B$4&amp;" "&amp;$B42,
   Actuals!$D:$D,
   _xlfn.XLOOKUP(
      O$6,
      Actuals!$H$3:$BD$3,
      Actuals!$H:$BD
   )
)</f>
        <v>0</v>
      </c>
      <c r="P42" s="292" cm="1">
        <f t="array" ref="P42">_xlfn.XLOOKUP(
   $B$4&amp;" "&amp;$B42,
   Actuals!$D:$D,
   _xlfn.XLOOKUP(
      P$6,
      Actuals!$H$3:$BD$3,
      Actuals!$H:$BD
   )
)</f>
        <v>0</v>
      </c>
      <c r="Q42" s="292" cm="1">
        <f t="array" ref="Q42">_xlfn.XLOOKUP(
   $B$4&amp;" "&amp;$B42,
   Actuals!$D:$D,
   _xlfn.XLOOKUP(
      Q$6,
      Actuals!$H$3:$BD$3,
      Actuals!$H:$BD
   )
)</f>
        <v>0</v>
      </c>
      <c r="R42" s="292" cm="1">
        <f t="array" ref="R42">_xlfn.XLOOKUP(
   $B$4&amp;" "&amp;$B42,
   Actuals!$D:$D,
   _xlfn.XLOOKUP(
      R$6,
      Actuals!$H$3:$BD$3,
      Actuals!$H:$BD
   )
)</f>
        <v>0</v>
      </c>
      <c r="S42" s="292" cm="1">
        <f t="array" ref="S42">_xlfn.XLOOKUP(
   $B$4&amp;" "&amp;$B42,
   Actuals!$D:$D,
   _xlfn.XLOOKUP(
      S$6,
      Actuals!$H$3:$BD$3,
      Actuals!$H:$BD
   )
)</f>
        <v>0</v>
      </c>
      <c r="T42" s="292" cm="1">
        <f t="array" ref="T42">_xlfn.XLOOKUP(
   $B$4&amp;" "&amp;$B42,
   Actuals!$D:$D,
   _xlfn.XLOOKUP(
      T$6,
      Actuals!$H$3:$BD$3,
      Actuals!$H:$BD
   )
)</f>
        <v>0</v>
      </c>
      <c r="U42" s="292" cm="1">
        <f t="array" ref="U42">_xlfn.XLOOKUP(
   $B$4&amp;" "&amp;$B42,
   Actuals!$D:$D,
   _xlfn.XLOOKUP(
      U$6,
      Actuals!$H$3:$BD$3,
      Actuals!$H:$BD
   )
)</f>
        <v>0</v>
      </c>
      <c r="V42" s="292" cm="1">
        <f t="array" ref="V42">_xlfn.XLOOKUP(
   $B$4&amp;" "&amp;$B42,
   Actuals!$D:$D,
   _xlfn.XLOOKUP(
      V$6,
      Actuals!$H$3:$BD$3,
      Actuals!$H:$BD
   )
)</f>
        <v>0</v>
      </c>
      <c r="W42" s="292" cm="1">
        <f t="array" ref="W42">_xlfn.XLOOKUP(
   $B$4&amp;" "&amp;$B42,
   Actuals!$D:$D,
   _xlfn.XLOOKUP(
      W$6,
      Actuals!$H$3:$BD$3,
      Actuals!$H:$BD
   )
)</f>
        <v>0</v>
      </c>
      <c r="X42" s="292" cm="1">
        <f t="array" ref="X42">_xlfn.XLOOKUP(
   $B$4&amp;" "&amp;$B42,
   Actuals!$D:$D,
   _xlfn.XLOOKUP(
      X$6,
      Actuals!$H$3:$BD$3,
      Actuals!$H:$BD
   )
)</f>
        <v>0</v>
      </c>
      <c r="Y42" s="292" cm="1">
        <f t="array" ref="Y42">_xlfn.XLOOKUP(
   $B$4&amp;" "&amp;$B42,
   Actuals!$D:$D,
   _xlfn.XLOOKUP(
      Y$6,
      Actuals!$H$3:$BD$3,
      Actuals!$H:$BD
   )
)</f>
        <v>0</v>
      </c>
      <c r="Z42" s="292" cm="1">
        <f t="array" ref="Z42">_xlfn.XLOOKUP(
   $B$4&amp;" "&amp;$B42,
   Actuals!$D:$D,
   _xlfn.XLOOKUP(
      Z$6,
      Actuals!$H$3:$BD$3,
      Actuals!$H:$BD
   )
)</f>
        <v>0</v>
      </c>
      <c r="AA42" s="292" cm="1">
        <f t="array" ref="AA42">_xlfn.XLOOKUP(
   $B$4&amp;" "&amp;$B42,
   Actuals!$D:$D,
   _xlfn.XLOOKUP(
      AA$6,
      Actuals!$H$3:$BD$3,
      Actuals!$H:$BD
   )
)</f>
        <v>0</v>
      </c>
      <c r="AB42" s="292" cm="1">
        <f t="array" ref="AB42">_xlfn.XLOOKUP(
   $B$4&amp;" "&amp;$B42,
   Actuals!$D:$D,
   _xlfn.XLOOKUP(
      AB$6,
      Actuals!$H$3:$BD$3,
      Actuals!$H:$BD
   )
)</f>
        <v>0</v>
      </c>
      <c r="AC42" s="292" cm="1">
        <f t="array" ref="AC42">_xlfn.XLOOKUP(
   $B$4&amp;" "&amp;$B42,
   Actuals!$D:$D,
   _xlfn.XLOOKUP(
      AC$6,
      Actuals!$H$3:$BD$3,
      Actuals!$H:$BD
   )
)</f>
        <v>10</v>
      </c>
      <c r="AD42" s="292" cm="1">
        <f t="array" ref="AD42">_xlfn.XLOOKUP(
   $B$4&amp;" "&amp;$B42,
   Actuals!$D:$D,
   _xlfn.XLOOKUP(
      AD$6,
      Actuals!$H$3:$BD$3,
      Actuals!$H:$BD
   )
)</f>
        <v>10</v>
      </c>
      <c r="AE42" s="292" cm="1">
        <f t="array" ref="AE42">_xlfn.XLOOKUP(
   $B$4&amp;" "&amp;$B42,
   Actuals!$D:$D,
   _xlfn.XLOOKUP(
      AE$6,
      Actuals!$H$3:$BD$3,
      Actuals!$H:$BD
   )
)</f>
        <v>10</v>
      </c>
      <c r="AF42" s="292" cm="1">
        <f t="array" ref="AF42">_xlfn.XLOOKUP(
   $B$4&amp;" "&amp;$B42,
   Actuals!$D:$D,
   _xlfn.XLOOKUP(
      AF$6,
      Actuals!$H$3:$BD$3,
      Actuals!$H:$BD
   )
)</f>
        <v>10</v>
      </c>
      <c r="AG42" s="292" cm="1">
        <f t="array" ref="AG42">_xlfn.XLOOKUP(
   $B$4&amp;" "&amp;$B42,
   Actuals!$D:$D,
   _xlfn.XLOOKUP(
      AG$6,
      Actuals!$H$3:$BD$3,
      Actuals!$H:$BD
   )
)</f>
        <v>10</v>
      </c>
      <c r="AH42" s="292" cm="1">
        <f t="array" ref="AH42">_xlfn.XLOOKUP(
   $B$4&amp;" "&amp;$B42,
   Actuals!$D:$D,
   _xlfn.XLOOKUP(
      AH$6,
      Actuals!$H$3:$BD$3,
      Actuals!$H:$BD
   )
)</f>
        <v>10</v>
      </c>
      <c r="AI42" s="292" cm="1">
        <f t="array" ref="AI42">_xlfn.XLOOKUP(
   $B$4&amp;" "&amp;$B42,
   Actuals!$D:$D,
   _xlfn.XLOOKUP(
      AI$6,
      Actuals!$H$3:$BD$3,
      Actuals!$H:$BD
   )
)</f>
        <v>10</v>
      </c>
      <c r="AJ42" s="292" cm="1">
        <f t="array" ref="AJ42">_xlfn.XLOOKUP(
   $B$4&amp;" "&amp;$B42,
   Actuals!$D:$D,
   _xlfn.XLOOKUP(
      AJ$6,
      Actuals!$H$3:$BD$3,
      Actuals!$H:$BD
   )
)</f>
        <v>10</v>
      </c>
      <c r="AK42" s="292" cm="1">
        <f t="array" ref="AK42">_xlfn.XLOOKUP(
   $B$4&amp;" "&amp;$B42,
   Actuals!$D:$D,
   _xlfn.XLOOKUP(
      AK$6,
      Actuals!$H$3:$BD$3,
      Actuals!$H:$BD
   )
)</f>
        <v>10</v>
      </c>
      <c r="AL42" s="292" cm="1">
        <f t="array" ref="AL42">_xlfn.XLOOKUP(
   $B$4&amp;" "&amp;$B42,
   Actuals!$D:$D,
   _xlfn.XLOOKUP(
      AL$6,
      Actuals!$H$3:$BD$3,
      Actuals!$H:$BD
   )
)</f>
        <v>10</v>
      </c>
      <c r="AM42" s="292" cm="1">
        <f t="array" ref="AM42">_xlfn.XLOOKUP(
   $B$4&amp;" "&amp;$B42,
   Actuals!$D:$D,
   _xlfn.XLOOKUP(
      AM$6,
      Actuals!$H$3:$BD$3,
      Actuals!$H:$BD
   )
)</f>
        <v>9</v>
      </c>
      <c r="AN42" s="292" cm="1">
        <f t="array" ref="AN42">_xlfn.XLOOKUP(
   $B$4&amp;" "&amp;$B42,
   Actuals!$D:$D,
   _xlfn.XLOOKUP(
      AN$6,
      Actuals!$H$3:$BD$3,
      Actuals!$H:$BD
   )
)</f>
        <v>7</v>
      </c>
      <c r="AO42" s="292" cm="1">
        <f t="array" ref="AO42">_xlfn.XLOOKUP(
   $B$4&amp;" "&amp;$B42,
   Actuals!$D:$D,
   _xlfn.XLOOKUP(
      AO$6,
      Actuals!$H$3:$BD$3,
      Actuals!$H:$BD
   )
)</f>
        <v>10</v>
      </c>
      <c r="AP42" s="292" cm="1">
        <f t="array" ref="AP42">_xlfn.XLOOKUP(
   $B$4&amp;" "&amp;$B42,
   Actuals!$D:$D,
   _xlfn.XLOOKUP(
      AP$6,
      Actuals!$H$3:$BD$3,
      Actuals!$H:$BD
   )
)</f>
        <v>10</v>
      </c>
      <c r="AQ42" s="292" cm="1">
        <f t="array" ref="AQ42">_xlfn.XLOOKUP(
   $B$4&amp;" "&amp;$B42,
   Actuals!$D:$D,
   _xlfn.XLOOKUP(
      AQ$6,
      Actuals!$H$3:$BD$3,
      Actuals!$H:$BD
   )
)</f>
        <v>10</v>
      </c>
      <c r="AR42" s="292" cm="1">
        <f t="array" ref="AR42">_xlfn.XLOOKUP(
   $B$4&amp;" "&amp;$B42,
   Actuals!$D:$D,
   _xlfn.XLOOKUP(
      AR$6,
      Actuals!$H$3:$BD$3,
      Actuals!$H:$BD
   )
)</f>
        <v>8</v>
      </c>
      <c r="AS42" s="292" cm="1">
        <f t="array" ref="AS42">_xlfn.XLOOKUP(
   $B$4&amp;" "&amp;$B42,
   Actuals!$D:$D,
   _xlfn.XLOOKUP(
      AS$6,
      Actuals!$H$3:$BD$3,
      Actuals!$H:$BD
   )
)</f>
        <v>0</v>
      </c>
      <c r="AT42" s="292" cm="1">
        <f t="array" ref="AT42">_xlfn.XLOOKUP(
   $B$4&amp;" "&amp;$B42,
   Actuals!$D:$D,
   _xlfn.XLOOKUP(
      AT$6,
      Actuals!$H$3:$BD$3,
      Actuals!$H:$BD
   )
)</f>
        <v>0</v>
      </c>
      <c r="AU42" s="292" cm="1">
        <f t="array" ref="AU42">_xlfn.XLOOKUP(
   $B$4&amp;" "&amp;$B42,
   Actuals!$D:$D,
   _xlfn.XLOOKUP(
      AU$6,
      Actuals!$H$3:$BD$3,
      Actuals!$H:$BD
   )
)</f>
        <v>0</v>
      </c>
      <c r="AV42" s="292" cm="1">
        <f t="array" ref="AV42">_xlfn.XLOOKUP(
   $B$4&amp;" "&amp;$B42,
   Actuals!$D:$D,
   _xlfn.XLOOKUP(
      AV$6,
      Actuals!$H$3:$BD$3,
      Actuals!$H:$BD
   )
)</f>
        <v>0</v>
      </c>
      <c r="AW42" s="292" cm="1">
        <f t="array" ref="AW42">_xlfn.XLOOKUP(
   $B$4&amp;" "&amp;$B42,
   Actuals!$D:$D,
   _xlfn.XLOOKUP(
      AW$6,
      Actuals!$H$3:$BD$3,
      Actuals!$H:$BD
   )
)</f>
        <v>0</v>
      </c>
      <c r="AX42" s="292" cm="1">
        <f t="array" ref="AX42">_xlfn.XLOOKUP(
   $B$4&amp;" "&amp;$B42,
   Actuals!$D:$D,
   _xlfn.XLOOKUP(
      AX$6,
      Actuals!$H$3:$BD$3,
      Actuals!$H:$BD
   )
)</f>
        <v>0</v>
      </c>
      <c r="AY42" s="292" cm="1">
        <f t="array" ref="AY42">_xlfn.XLOOKUP(
   $B$4&amp;" "&amp;$B42,
   Actuals!$D:$D,
   _xlfn.XLOOKUP(
      AY$6,
      Actuals!$H$3:$BD$3,
      Actuals!$H:$BD
   )
)</f>
        <v>0</v>
      </c>
      <c r="AZ42" s="292" cm="1">
        <f t="array" ref="AZ42">_xlfn.XLOOKUP(
   $B$4&amp;" "&amp;$B42,
   Actuals!$D:$D,
   _xlfn.XLOOKUP(
      AZ$6,
      Actuals!$H$3:$BD$3,
      Actuals!$H:$BD
   )
)</f>
        <v>0</v>
      </c>
      <c r="BA42" s="292"/>
      <c r="BB42" s="292" cm="1">
        <f t="array" ref="BB42">_xlfn.XLOOKUP(
   $B$4&amp;" "&amp;$B42,
   Actuals!$D:$D,
   _xlfn.XLOOKUP(
      BB$7,
      Actuals!$H$3:$BM$3,
      Actuals!$H:$BM
   )
)</f>
        <v>10</v>
      </c>
      <c r="BC42" s="292">
        <f>VLOOKUP($B$4&amp;" "&amp;$B42,Budget!$AG$4:$AL$132,$BB$5+1,FALSE)</f>
        <v>0</v>
      </c>
      <c r="BD42" s="292">
        <f>BB42-BC42</f>
        <v>10</v>
      </c>
      <c r="BE42" s="292"/>
      <c r="BF42" s="292" cm="1">
        <f t="array" ref="BF42">_xlfn.XLOOKUP(
   $B$4&amp;" "&amp;$B42,
   Actuals!$D:$D,
   _xlfn.XLOOKUP(
      BF$7,
      Actuals!$H$3:$BM$3,
      Actuals!$H:$BM
   )
)</f>
        <v>0</v>
      </c>
      <c r="BG42" s="292">
        <f>VLOOKUP($B$4&amp;" "&amp;$B42,Budget!$AG$4:$AL$132,BF$5+1,FALSE)</f>
        <v>8</v>
      </c>
      <c r="BH42" s="292">
        <f>BF42-BG42</f>
        <v>-8</v>
      </c>
      <c r="BI42" s="292"/>
      <c r="BJ42" s="292" cm="1">
        <f t="array" ref="BJ42">_xlfn.XLOOKUP(
   $B$4&amp;" "&amp;$B42,
   Actuals!$D:$D,
   _xlfn.XLOOKUP(
      BJ$7,
      Actuals!$H$3:$BM$3,
      Actuals!$H:$BM
   )
)</f>
        <v>0</v>
      </c>
      <c r="BK42" s="292">
        <f>VLOOKUP($B$4&amp;" "&amp;$B42,Budget!$AG$4:$AL$132,BJ$5+1,FALSE)</f>
        <v>8</v>
      </c>
      <c r="BL42" s="292">
        <f>BJ42-BK42</f>
        <v>-8</v>
      </c>
      <c r="BM42" s="292"/>
      <c r="BN42" s="292" cm="1">
        <f t="array" ref="BN42">_xlfn.XLOOKUP(
   $B$4&amp;" "&amp;$B42,
   Actuals!$D:$D,
   _xlfn.XLOOKUP(
      BN$7,
      Actuals!$H$3:$BM$3,
      Actuals!$H:$BM
   )
)</f>
        <v>0</v>
      </c>
      <c r="BO42" s="292">
        <f>VLOOKUP($B$4&amp;" "&amp;$B42,Budget!$AG$4:$AL$132,BN$5+1,FALSE)</f>
        <v>8</v>
      </c>
      <c r="BP42" s="292"/>
      <c r="BQ42" s="292"/>
      <c r="BR42" s="292" cm="1">
        <f t="array" aca="1" ref="BR42" ca="1">_xlfn.XLOOKUP(
   $B$4&amp;" "&amp;$B42,
   Actuals!$D:$D,
   _xlfn.XLOOKUP(
      BR$6,
      Actuals!$H$3:$BM$3,
      Actuals!$H:$BM
   )
)</f>
        <v>0</v>
      </c>
      <c r="BS42" s="292">
        <f ca="1">VLOOKUP($B$4&amp;" "&amp;$B42,Budget!$AG$4:$AL$132,6,FALSE)</f>
        <v>8</v>
      </c>
      <c r="BT42" s="292">
        <f ca="1">BR42-BS42</f>
        <v>-8</v>
      </c>
      <c r="BU42" s="292"/>
      <c r="BV42" s="292" cm="1">
        <f t="array" ref="BV42">_xlfn.XLOOKUP(
   $B$4&amp;" "&amp;$B42,
   Actuals!$D:$D,
   _xlfn.XLOOKUP(
      BV$6,
      Actuals!$H$3:$BM$3,
      Actuals!$H:$BM
   )
)</f>
        <v>10</v>
      </c>
      <c r="BW42" s="26"/>
      <c r="BX42" s="26"/>
      <c r="BY42" s="26"/>
    </row>
    <row r="43" spans="1:77">
      <c r="A43" s="26"/>
      <c r="B43" s="26" t="s">
        <v>195</v>
      </c>
      <c r="C43" s="139" t="s">
        <v>49</v>
      </c>
      <c r="D43" s="171" t="str">
        <f>VLOOKUP($B$4&amp;" "&amp;$B43,Actuals!$D$4:$AG$131,3,FALSE)</f>
        <v>$</v>
      </c>
      <c r="E43" s="220" cm="1">
        <f t="array" ref="E43">_xlfn.XLOOKUP(
   $B$4&amp;" "&amp;$B43,
   Actuals!$D:$D,
   _xlfn.XLOOKUP(
      E$6,
      Actuals!$H$3:$BD$3,
      Actuals!$H:$BD
   )
)</f>
        <v>53787</v>
      </c>
      <c r="F43" s="220" cm="1">
        <f t="array" ref="F43">_xlfn.XLOOKUP(
   $B$4&amp;" "&amp;$B43,
   Actuals!$D:$D,
   _xlfn.XLOOKUP(
      F$6,
      Actuals!$H$3:$BD$3,
      Actuals!$H:$BD
   )
)</f>
        <v>123093</v>
      </c>
      <c r="G43" s="220" cm="1">
        <f t="array" ref="G43">_xlfn.XLOOKUP(
   $B$4&amp;" "&amp;$B43,
   Actuals!$D:$D,
   _xlfn.XLOOKUP(
      G$6,
      Actuals!$H$3:$BD$3,
      Actuals!$H:$BD
   )
)</f>
        <v>141667</v>
      </c>
      <c r="H43" s="220" cm="1">
        <f t="array" ref="H43">_xlfn.XLOOKUP(
   $B$4&amp;" "&amp;$B43,
   Actuals!$D:$D,
   _xlfn.XLOOKUP(
      H$6,
      Actuals!$H$3:$BD$3,
      Actuals!$H:$BD
   )
)</f>
        <v>243490</v>
      </c>
      <c r="I43" s="220" cm="1">
        <f t="array" ref="I43">_xlfn.XLOOKUP(
   $B$4&amp;" "&amp;$B43,
   Actuals!$D:$D,
   _xlfn.XLOOKUP(
      I$6,
      Actuals!$H$3:$BD$3,
      Actuals!$H:$BD
   )
)</f>
        <v>39445</v>
      </c>
      <c r="J43" s="220" cm="1">
        <f t="array" ref="J43">_xlfn.XLOOKUP(
   $B$4&amp;" "&amp;$B43,
   Actuals!$D:$D,
   _xlfn.XLOOKUP(
      J$6,
      Actuals!$H$3:$BD$3,
      Actuals!$H:$BD
   )
)</f>
        <v>30218</v>
      </c>
      <c r="K43" s="220" cm="1">
        <f t="array" ref="K43">_xlfn.XLOOKUP(
   $B$4&amp;" "&amp;$B43,
   Actuals!$D:$D,
   _xlfn.XLOOKUP(
      K$6,
      Actuals!$H$3:$BD$3,
      Actuals!$H:$BD
   )
)</f>
        <v>6250</v>
      </c>
      <c r="L43" s="220" cm="1">
        <f t="array" ref="L43">_xlfn.XLOOKUP(
   $B$4&amp;" "&amp;$B43,
   Actuals!$D:$D,
   _xlfn.XLOOKUP(
      L$6,
      Actuals!$H$3:$BD$3,
      Actuals!$H:$BD
   )
)</f>
        <v>8447</v>
      </c>
      <c r="M43" s="220" cm="1">
        <f t="array" ref="M43">_xlfn.XLOOKUP(
   $B$4&amp;" "&amp;$B43,
   Actuals!$D:$D,
   _xlfn.XLOOKUP(
      M$6,
      Actuals!$H$3:$BD$3,
      Actuals!$H:$BD
   )
)</f>
        <v>86585</v>
      </c>
      <c r="N43" s="220" cm="1">
        <f t="array" ref="N43">_xlfn.XLOOKUP(
   $B$4&amp;" "&amp;$B43,
   Actuals!$D:$D,
   _xlfn.XLOOKUP(
      N$6,
      Actuals!$H$3:$BD$3,
      Actuals!$H:$BD
   )
)</f>
        <v>119987</v>
      </c>
      <c r="O43" s="220" cm="1">
        <f t="array" ref="O43">_xlfn.XLOOKUP(
   $B$4&amp;" "&amp;$B43,
   Actuals!$D:$D,
   _xlfn.XLOOKUP(
      O$6,
      Actuals!$H$3:$BD$3,
      Actuals!$H:$BD
   )
)</f>
        <v>0</v>
      </c>
      <c r="P43" s="220" cm="1">
        <f t="array" ref="P43">_xlfn.XLOOKUP(
   $B$4&amp;" "&amp;$B43,
   Actuals!$D:$D,
   _xlfn.XLOOKUP(
      P$6,
      Actuals!$H$3:$BD$3,
      Actuals!$H:$BD
   )
)</f>
        <v>0</v>
      </c>
      <c r="Q43" s="220" cm="1">
        <f t="array" ref="Q43">_xlfn.XLOOKUP(
   $B$4&amp;" "&amp;$B43,
   Actuals!$D:$D,
   _xlfn.XLOOKUP(
      Q$6,
      Actuals!$H$3:$BD$3,
      Actuals!$H:$BD
   )
)</f>
        <v>0</v>
      </c>
      <c r="R43" s="220" cm="1">
        <f t="array" ref="R43">_xlfn.XLOOKUP(
   $B$4&amp;" "&amp;$B43,
   Actuals!$D:$D,
   _xlfn.XLOOKUP(
      R$6,
      Actuals!$H$3:$BD$3,
      Actuals!$H:$BD
   )
)</f>
        <v>0</v>
      </c>
      <c r="S43" s="220" cm="1">
        <f t="array" ref="S43">_xlfn.XLOOKUP(
   $B$4&amp;" "&amp;$B43,
   Actuals!$D:$D,
   _xlfn.XLOOKUP(
      S$6,
      Actuals!$H$3:$BD$3,
      Actuals!$H:$BD
   )
)</f>
        <v>0</v>
      </c>
      <c r="T43" s="220" cm="1">
        <f t="array" ref="T43">_xlfn.XLOOKUP(
   $B$4&amp;" "&amp;$B43,
   Actuals!$D:$D,
   _xlfn.XLOOKUP(
      T$6,
      Actuals!$H$3:$BD$3,
      Actuals!$H:$BD
   )
)</f>
        <v>0</v>
      </c>
      <c r="U43" s="220" cm="1">
        <f t="array" ref="U43">_xlfn.XLOOKUP(
   $B$4&amp;" "&amp;$B43,
   Actuals!$D:$D,
   _xlfn.XLOOKUP(
      U$6,
      Actuals!$H$3:$BD$3,
      Actuals!$H:$BD
   )
)</f>
        <v>0</v>
      </c>
      <c r="V43" s="220" cm="1">
        <f t="array" ref="V43">_xlfn.XLOOKUP(
   $B$4&amp;" "&amp;$B43,
   Actuals!$D:$D,
   _xlfn.XLOOKUP(
      V$6,
      Actuals!$H$3:$BD$3,
      Actuals!$H:$BD
   )
)</f>
        <v>0</v>
      </c>
      <c r="W43" s="220" cm="1">
        <f t="array" ref="W43">_xlfn.XLOOKUP(
   $B$4&amp;" "&amp;$B43,
   Actuals!$D:$D,
   _xlfn.XLOOKUP(
      W$6,
      Actuals!$H$3:$BD$3,
      Actuals!$H:$BD
   )
)</f>
        <v>0</v>
      </c>
      <c r="X43" s="220" cm="1">
        <f t="array" ref="X43">_xlfn.XLOOKUP(
   $B$4&amp;" "&amp;$B43,
   Actuals!$D:$D,
   _xlfn.XLOOKUP(
      X$6,
      Actuals!$H$3:$BD$3,
      Actuals!$H:$BD
   )
)</f>
        <v>0</v>
      </c>
      <c r="Y43" s="220" cm="1">
        <f t="array" ref="Y43">_xlfn.XLOOKUP(
   $B$4&amp;" "&amp;$B43,
   Actuals!$D:$D,
   _xlfn.XLOOKUP(
      Y$6,
      Actuals!$H$3:$BD$3,
      Actuals!$H:$BD
   )
)</f>
        <v>0</v>
      </c>
      <c r="Z43" s="220" cm="1">
        <f t="array" ref="Z43">_xlfn.XLOOKUP(
   $B$4&amp;" "&amp;$B43,
   Actuals!$D:$D,
   _xlfn.XLOOKUP(
      Z$6,
      Actuals!$H$3:$BD$3,
      Actuals!$H:$BD
   )
)</f>
        <v>0</v>
      </c>
      <c r="AA43" s="220" cm="1">
        <f t="array" ref="AA43">_xlfn.XLOOKUP(
   $B$4&amp;" "&amp;$B43,
   Actuals!$D:$D,
   _xlfn.XLOOKUP(
      AA$6,
      Actuals!$H$3:$BD$3,
      Actuals!$H:$BD
   )
)</f>
        <v>0</v>
      </c>
      <c r="AB43" s="220" cm="1">
        <f t="array" ref="AB43">_xlfn.XLOOKUP(
   $B$4&amp;" "&amp;$B43,
   Actuals!$D:$D,
   _xlfn.XLOOKUP(
      AB$6,
      Actuals!$H$3:$BD$3,
      Actuals!$H:$BD
   )
)</f>
        <v>0</v>
      </c>
      <c r="AC43" s="220" cm="1">
        <f t="array" ref="AC43">_xlfn.XLOOKUP(
   $B$4&amp;" "&amp;$B43,
   Actuals!$D:$D,
   _xlfn.XLOOKUP(
      AC$6,
      Actuals!$H$3:$BD$3,
      Actuals!$H:$BD
   )
)</f>
        <v>39081</v>
      </c>
      <c r="AD43" s="220" cm="1">
        <f t="array" ref="AD43">_xlfn.XLOOKUP(
   $B$4&amp;" "&amp;$B43,
   Actuals!$D:$D,
   _xlfn.XLOOKUP(
      AD$6,
      Actuals!$H$3:$BD$3,
      Actuals!$H:$BD
   )
)</f>
        <v>31790</v>
      </c>
      <c r="AE43" s="220" cm="1">
        <f t="array" ref="AE43">_xlfn.XLOOKUP(
   $B$4&amp;" "&amp;$B43,
   Actuals!$D:$D,
   _xlfn.XLOOKUP(
      AE$6,
      Actuals!$H$3:$BD$3,
      Actuals!$H:$BD
   )
)</f>
        <v>69355.05</v>
      </c>
      <c r="AF43" s="220" cm="1">
        <f t="array" ref="AF43">_xlfn.XLOOKUP(
   $B$4&amp;" "&amp;$B43,
   Actuals!$D:$D,
   _xlfn.XLOOKUP(
      AF$6,
      Actuals!$H$3:$BD$3,
      Actuals!$H:$BD
   )
)</f>
        <v>30000</v>
      </c>
      <c r="AG43" s="220" cm="1">
        <f t="array" ref="AG43">_xlfn.XLOOKUP(
   $B$4&amp;" "&amp;$B43,
   Actuals!$D:$D,
   _xlfn.XLOOKUP(
      AG$6,
      Actuals!$H$3:$BD$3,
      Actuals!$H:$BD
   )
)</f>
        <v>48828</v>
      </c>
      <c r="AH43" s="220" cm="1">
        <f t="array" ref="AH43">_xlfn.XLOOKUP(
   $B$4&amp;" "&amp;$B43,
   Actuals!$D:$D,
   _xlfn.XLOOKUP(
      AH$6,
      Actuals!$H$3:$BD$3,
      Actuals!$H:$BD
   )
)</f>
        <v>43078</v>
      </c>
      <c r="AI43" s="220" cm="1">
        <f t="array" ref="AI43">_xlfn.XLOOKUP(
   $B$4&amp;" "&amp;$B43,
   Actuals!$D:$D,
   _xlfn.XLOOKUP(
      AI$6,
      Actuals!$H$3:$BD$3,
      Actuals!$H:$BD
   )
)</f>
        <v>45221</v>
      </c>
      <c r="AJ43" s="220" cm="1">
        <f t="array" ref="AJ43">_xlfn.XLOOKUP(
   $B$4&amp;" "&amp;$B43,
   Actuals!$D:$D,
   _xlfn.XLOOKUP(
      AJ$6,
      Actuals!$H$3:$BD$3,
      Actuals!$H:$BD
   )
)</f>
        <v>20876.95</v>
      </c>
      <c r="AK43" s="220" cm="1">
        <f t="array" ref="AK43">_xlfn.XLOOKUP(
   $B$4&amp;" "&amp;$B43,
   Actuals!$D:$D,
   _xlfn.XLOOKUP(
      AK$6,
      Actuals!$H$3:$BD$3,
      Actuals!$H:$BD
   )
)</f>
        <v>56000</v>
      </c>
      <c r="AL43" s="220" cm="1">
        <f t="array" ref="AL43">_xlfn.XLOOKUP(
   $B$4&amp;" "&amp;$B43,
   Actuals!$D:$D,
   _xlfn.XLOOKUP(
      AL$6,
      Actuals!$H$3:$BD$3,
      Actuals!$H:$BD
   )
)</f>
        <v>20162</v>
      </c>
      <c r="AM43" s="220" cm="1">
        <f t="array" ref="AM43">_xlfn.XLOOKUP(
   $B$4&amp;" "&amp;$B43,
   Actuals!$D:$D,
   _xlfn.XLOOKUP(
      AM$6,
      Actuals!$H$3:$BD$3,
      Actuals!$H:$BD
   )
)</f>
        <v>11744</v>
      </c>
      <c r="AN43" s="220" cm="1">
        <f t="array" ref="AN43">_xlfn.XLOOKUP(
   $B$4&amp;" "&amp;$B43,
   Actuals!$D:$D,
   _xlfn.XLOOKUP(
      AN$6,
      Actuals!$H$3:$BD$3,
      Actuals!$H:$BD
   )
)</f>
        <v>13142</v>
      </c>
      <c r="AO43" s="220" cm="1">
        <f t="array" ref="AO43">_xlfn.XLOOKUP(
   $B$4&amp;" "&amp;$B43,
   Actuals!$D:$D,
   _xlfn.XLOOKUP(
      AO$6,
      Actuals!$H$3:$BD$3,
      Actuals!$H:$BD
   )
)</f>
        <v>0</v>
      </c>
      <c r="AP43" s="220" cm="1">
        <f t="array" ref="AP43">_xlfn.XLOOKUP(
   $B$4&amp;" "&amp;$B43,
   Actuals!$D:$D,
   _xlfn.XLOOKUP(
      AP$6,
      Actuals!$H$3:$BD$3,
      Actuals!$H:$BD
   )
)</f>
        <v>0</v>
      </c>
      <c r="AQ43" s="220" cm="1">
        <f t="array" ref="AQ43">_xlfn.XLOOKUP(
   $B$4&amp;" "&amp;$B43,
   Actuals!$D:$D,
   _xlfn.XLOOKUP(
      AQ$6,
      Actuals!$H$3:$BD$3,
      Actuals!$H:$BD
   )
)</f>
        <v>0</v>
      </c>
      <c r="AR43" s="220" cm="1">
        <f t="array" ref="AR43">_xlfn.XLOOKUP(
   $B$4&amp;" "&amp;$B43,
   Actuals!$D:$D,
   _xlfn.XLOOKUP(
      AR$6,
      Actuals!$H$3:$BD$3,
      Actuals!$H:$BD
   )
)</f>
        <v>0</v>
      </c>
      <c r="AS43" s="220" cm="1">
        <f t="array" ref="AS43">_xlfn.XLOOKUP(
   $B$4&amp;" "&amp;$B43,
   Actuals!$D:$D,
   _xlfn.XLOOKUP(
      AS$6,
      Actuals!$H$3:$BD$3,
      Actuals!$H:$BD
   )
)</f>
        <v>0</v>
      </c>
      <c r="AT43" s="220" cm="1">
        <f t="array" ref="AT43">_xlfn.XLOOKUP(
   $B$4&amp;" "&amp;$B43,
   Actuals!$D:$D,
   _xlfn.XLOOKUP(
      AT$6,
      Actuals!$H$3:$BD$3,
      Actuals!$H:$BD
   )
)</f>
        <v>0</v>
      </c>
      <c r="AU43" s="220" cm="1">
        <f t="array" ref="AU43">_xlfn.XLOOKUP(
   $B$4&amp;" "&amp;$B43,
   Actuals!$D:$D,
   _xlfn.XLOOKUP(
      AU$6,
      Actuals!$H$3:$BD$3,
      Actuals!$H:$BD
   )
)</f>
        <v>0</v>
      </c>
      <c r="AV43" s="220" cm="1">
        <f t="array" ref="AV43">_xlfn.XLOOKUP(
   $B$4&amp;" "&amp;$B43,
   Actuals!$D:$D,
   _xlfn.XLOOKUP(
      AV$6,
      Actuals!$H$3:$BD$3,
      Actuals!$H:$BD
   )
)</f>
        <v>0</v>
      </c>
      <c r="AW43" s="220" cm="1">
        <f t="array" ref="AW43">_xlfn.XLOOKUP(
   $B$4&amp;" "&amp;$B43,
   Actuals!$D:$D,
   _xlfn.XLOOKUP(
      AW$6,
      Actuals!$H$3:$BD$3,
      Actuals!$H:$BD
   )
)</f>
        <v>0</v>
      </c>
      <c r="AX43" s="220" cm="1">
        <f t="array" ref="AX43">_xlfn.XLOOKUP(
   $B$4&amp;" "&amp;$B43,
   Actuals!$D:$D,
   _xlfn.XLOOKUP(
      AX$6,
      Actuals!$H$3:$BD$3,
      Actuals!$H:$BD
   )
)</f>
        <v>0</v>
      </c>
      <c r="AY43" s="220" cm="1">
        <f t="array" ref="AY43">_xlfn.XLOOKUP(
   $B$4&amp;" "&amp;$B43,
   Actuals!$D:$D,
   _xlfn.XLOOKUP(
      AY$6,
      Actuals!$H$3:$BD$3,
      Actuals!$H:$BD
   )
)</f>
        <v>0</v>
      </c>
      <c r="AZ43" s="220" cm="1">
        <f t="array" ref="AZ43">_xlfn.XLOOKUP(
   $B$4&amp;" "&amp;$B43,
   Actuals!$D:$D,
   _xlfn.XLOOKUP(
      AZ$6,
      Actuals!$H$3:$BD$3,
      Actuals!$H:$BD
   )
)</f>
        <v>0</v>
      </c>
      <c r="BA43" s="220"/>
      <c r="BB43" s="220" cm="1">
        <f t="array" ref="BB43">_xlfn.XLOOKUP(
   $B$4&amp;" "&amp;$B43,
   Actuals!$D:$D,
   _xlfn.XLOOKUP(
      BB$7,
      Actuals!$H$3:$BM$3,
      Actuals!$H:$BM
   )
)</f>
        <v>0</v>
      </c>
      <c r="BC43" s="220">
        <f>VLOOKUP($B$4&amp;" "&amp;$B43,Budget!$AG$4:$AL$132,$BB$5+1,FALSE)</f>
        <v>239000</v>
      </c>
      <c r="BD43" s="220">
        <f t="shared" ref="BD43" si="36">BB43-BC43</f>
        <v>-239000</v>
      </c>
      <c r="BE43" s="220"/>
      <c r="BF43" s="220" cm="1">
        <f t="array" ref="BF43">_xlfn.XLOOKUP(
   $B$4&amp;" "&amp;$B43,
   Actuals!$D:$D,
   _xlfn.XLOOKUP(
      BF$7,
      Actuals!$H$3:$BM$3,
      Actuals!$H:$BM
   )
)</f>
        <v>0</v>
      </c>
      <c r="BG43" s="220">
        <f>VLOOKUP($B$4&amp;" "&amp;$B43,Budget!$AG$4:$AL$132,BF$5+1,FALSE)</f>
        <v>344000</v>
      </c>
      <c r="BH43" s="220">
        <f t="shared" ref="BH43:BH44" si="37">BF43-BG43</f>
        <v>-344000</v>
      </c>
      <c r="BI43" s="220"/>
      <c r="BJ43" s="220" cm="1">
        <f t="array" ref="BJ43">_xlfn.XLOOKUP(
   $B$4&amp;" "&amp;$B43,
   Actuals!$D:$D,
   _xlfn.XLOOKUP(
      BJ$7,
      Actuals!$H$3:$BM$3,
      Actuals!$H:$BM
   )
)</f>
        <v>0</v>
      </c>
      <c r="BK43" s="220">
        <f>VLOOKUP($B$4&amp;" "&amp;$B43,Budget!$AG$4:$AL$132,BJ$5+1,FALSE)</f>
        <v>344000</v>
      </c>
      <c r="BL43" s="220">
        <f t="shared" ref="BL43:BL44" si="38">BJ43-BK43</f>
        <v>-344000</v>
      </c>
      <c r="BM43" s="220"/>
      <c r="BN43" s="220" cm="1">
        <f t="array" ref="BN43">_xlfn.XLOOKUP(
   $B$4&amp;" "&amp;$B43,
   Actuals!$D:$D,
   _xlfn.XLOOKUP(
      BN$7,
      Actuals!$H$3:$BM$3,
      Actuals!$H:$BM
   )
)</f>
        <v>0</v>
      </c>
      <c r="BO43" s="220">
        <f>VLOOKUP($B$4&amp;" "&amp;$B43,Budget!$AG$4:$AL$132,BN$5+1,FALSE)</f>
        <v>449000</v>
      </c>
      <c r="BP43" s="220"/>
      <c r="BQ43" s="220"/>
      <c r="BR43" s="220" cm="1">
        <f t="array" aca="1" ref="BR43" ca="1">_xlfn.XLOOKUP(
   $B$4&amp;" "&amp;$B43,
   Actuals!$D:$D,
   _xlfn.XLOOKUP(
      BR$6,
      Actuals!$H$3:$BM$3,
      Actuals!$H:$BM
   )
)</f>
        <v>0</v>
      </c>
      <c r="BS43" s="220">
        <f ca="1">VLOOKUP($B$4&amp;" "&amp;$B43,Budget!$AG$4:$AL$132,6,FALSE)</f>
        <v>1376000</v>
      </c>
      <c r="BT43" s="220">
        <f t="shared" ref="BT43" ca="1" si="39">BR43-BS43</f>
        <v>-1376000</v>
      </c>
      <c r="BU43" s="220"/>
      <c r="BV43" s="220" cm="1">
        <f t="array" ref="BV43">_xlfn.XLOOKUP(
   $B$4&amp;" "&amp;$B43,
   Actuals!$D:$D,
   _xlfn.XLOOKUP(
      BV$6,
      Actuals!$H$3:$BM$3,
      Actuals!$H:$BM
   )
)</f>
        <v>390197</v>
      </c>
      <c r="BW43" s="26"/>
      <c r="BX43" s="26"/>
      <c r="BY43" s="26"/>
    </row>
    <row r="44" spans="1:77">
      <c r="A44" s="26"/>
      <c r="B44" s="26" t="s">
        <v>196</v>
      </c>
      <c r="C44" s="139" t="s">
        <v>49</v>
      </c>
      <c r="D44" s="171" t="str">
        <f>VLOOKUP($B$4&amp;" "&amp;$B44,Actuals!$D$4:$AG$131,3,FALSE)</f>
        <v>$</v>
      </c>
      <c r="E44" s="220" cm="1">
        <f t="array" ref="E44">_xlfn.XLOOKUP(
   $B$4&amp;" "&amp;$B44,
   Actuals!$D:$D,
   _xlfn.XLOOKUP(
      E$6,
      Actuals!$H$3:$BD$3,
      Actuals!$H:$BD
   )
)</f>
        <v>37727.68</v>
      </c>
      <c r="F44" s="220" cm="1">
        <f t="array" ref="F44">_xlfn.XLOOKUP(
   $B$4&amp;" "&amp;$B44,
   Actuals!$D:$D,
   _xlfn.XLOOKUP(
      F$6,
      Actuals!$H$3:$BD$3,
      Actuals!$H:$BD
   )
)</f>
        <v>47891.18</v>
      </c>
      <c r="G44" s="220" cm="1">
        <f t="array" ref="G44">_xlfn.XLOOKUP(
   $B$4&amp;" "&amp;$B44,
   Actuals!$D:$D,
   _xlfn.XLOOKUP(
      G$6,
      Actuals!$H$3:$BD$3,
      Actuals!$H:$BD
   )
)</f>
        <v>45640.729999999996</v>
      </c>
      <c r="H44" s="220" cm="1">
        <f t="array" ref="H44">_xlfn.XLOOKUP(
   $B$4&amp;" "&amp;$B44,
   Actuals!$D:$D,
   _xlfn.XLOOKUP(
      H$6,
      Actuals!$H$3:$BD$3,
      Actuals!$H:$BD
   )
)</f>
        <v>46497.61</v>
      </c>
      <c r="I44" s="220" cm="1">
        <f t="array" ref="I44">_xlfn.XLOOKUP(
   $B$4&amp;" "&amp;$B44,
   Actuals!$D:$D,
   _xlfn.XLOOKUP(
      I$6,
      Actuals!$H$3:$BD$3,
      Actuals!$H:$BD
   )
)</f>
        <v>45039.15</v>
      </c>
      <c r="J44" s="220" cm="1">
        <f t="array" ref="J44">_xlfn.XLOOKUP(
   $B$4&amp;" "&amp;$B44,
   Actuals!$D:$D,
   _xlfn.XLOOKUP(
      J$6,
      Actuals!$H$3:$BD$3,
      Actuals!$H:$BD
   )
)</f>
        <v>35615.96</v>
      </c>
      <c r="K44" s="220" cm="1">
        <f t="array" ref="K44">_xlfn.XLOOKUP(
   $B$4&amp;" "&amp;$B44,
   Actuals!$D:$D,
   _xlfn.XLOOKUP(
      K$6,
      Actuals!$H$3:$BD$3,
      Actuals!$H:$BD
   )
)</f>
        <v>28901.230000000003</v>
      </c>
      <c r="L44" s="220" cm="1">
        <f t="array" ref="L44">_xlfn.XLOOKUP(
   $B$4&amp;" "&amp;$B44,
   Actuals!$D:$D,
   _xlfn.XLOOKUP(
      L$6,
      Actuals!$H$3:$BD$3,
      Actuals!$H:$BD
   )
)</f>
        <v>59949.22</v>
      </c>
      <c r="M44" s="220" cm="1">
        <f t="array" ref="M44">_xlfn.XLOOKUP(
   $B$4&amp;" "&amp;$B44,
   Actuals!$D:$D,
   _xlfn.XLOOKUP(
      M$6,
      Actuals!$H$3:$BD$3,
      Actuals!$H:$BD
   )
)</f>
        <v>54756.89</v>
      </c>
      <c r="N44" s="220" cm="1">
        <f t="array" ref="N44">_xlfn.XLOOKUP(
   $B$4&amp;" "&amp;$B44,
   Actuals!$D:$D,
   _xlfn.XLOOKUP(
      N$6,
      Actuals!$H$3:$BD$3,
      Actuals!$H:$BD
   )
)</f>
        <v>59823.76</v>
      </c>
      <c r="O44" s="220" cm="1">
        <f t="array" ref="O44">_xlfn.XLOOKUP(
   $B$4&amp;" "&amp;$B44,
   Actuals!$D:$D,
   _xlfn.XLOOKUP(
      O$6,
      Actuals!$H$3:$BD$3,
      Actuals!$H:$BD
   )
)</f>
        <v>0</v>
      </c>
      <c r="P44" s="220" cm="1">
        <f t="array" ref="P44">_xlfn.XLOOKUP(
   $B$4&amp;" "&amp;$B44,
   Actuals!$D:$D,
   _xlfn.XLOOKUP(
      P$6,
      Actuals!$H$3:$BD$3,
      Actuals!$H:$BD
   )
)</f>
        <v>0</v>
      </c>
      <c r="Q44" s="220" cm="1">
        <f t="array" ref="Q44">_xlfn.XLOOKUP(
   $B$4&amp;" "&amp;$B44,
   Actuals!$D:$D,
   _xlfn.XLOOKUP(
      Q$6,
      Actuals!$H$3:$BD$3,
      Actuals!$H:$BD
   )
)</f>
        <v>0</v>
      </c>
      <c r="R44" s="220" cm="1">
        <f t="array" ref="R44">_xlfn.XLOOKUP(
   $B$4&amp;" "&amp;$B44,
   Actuals!$D:$D,
   _xlfn.XLOOKUP(
      R$6,
      Actuals!$H$3:$BD$3,
      Actuals!$H:$BD
   )
)</f>
        <v>0</v>
      </c>
      <c r="S44" s="220" cm="1">
        <f t="array" ref="S44">_xlfn.XLOOKUP(
   $B$4&amp;" "&amp;$B44,
   Actuals!$D:$D,
   _xlfn.XLOOKUP(
      S$6,
      Actuals!$H$3:$BD$3,
      Actuals!$H:$BD
   )
)</f>
        <v>0</v>
      </c>
      <c r="T44" s="220" cm="1">
        <f t="array" ref="T44">_xlfn.XLOOKUP(
   $B$4&amp;" "&amp;$B44,
   Actuals!$D:$D,
   _xlfn.XLOOKUP(
      T$6,
      Actuals!$H$3:$BD$3,
      Actuals!$H:$BD
   )
)</f>
        <v>0</v>
      </c>
      <c r="U44" s="220" cm="1">
        <f t="array" ref="U44">_xlfn.XLOOKUP(
   $B$4&amp;" "&amp;$B44,
   Actuals!$D:$D,
   _xlfn.XLOOKUP(
      U$6,
      Actuals!$H$3:$BD$3,
      Actuals!$H:$BD
   )
)</f>
        <v>0</v>
      </c>
      <c r="V44" s="220" cm="1">
        <f t="array" ref="V44">_xlfn.XLOOKUP(
   $B$4&amp;" "&amp;$B44,
   Actuals!$D:$D,
   _xlfn.XLOOKUP(
      V$6,
      Actuals!$H$3:$BD$3,
      Actuals!$H:$BD
   )
)</f>
        <v>0</v>
      </c>
      <c r="W44" s="220" cm="1">
        <f t="array" ref="W44">_xlfn.XLOOKUP(
   $B$4&amp;" "&amp;$B44,
   Actuals!$D:$D,
   _xlfn.XLOOKUP(
      W$6,
      Actuals!$H$3:$BD$3,
      Actuals!$H:$BD
   )
)</f>
        <v>0</v>
      </c>
      <c r="X44" s="220" cm="1">
        <f t="array" ref="X44">_xlfn.XLOOKUP(
   $B$4&amp;" "&amp;$B44,
   Actuals!$D:$D,
   _xlfn.XLOOKUP(
      X$6,
      Actuals!$H$3:$BD$3,
      Actuals!$H:$BD
   )
)</f>
        <v>0</v>
      </c>
      <c r="Y44" s="220" cm="1">
        <f t="array" ref="Y44">_xlfn.XLOOKUP(
   $B$4&amp;" "&amp;$B44,
   Actuals!$D:$D,
   _xlfn.XLOOKUP(
      Y$6,
      Actuals!$H$3:$BD$3,
      Actuals!$H:$BD
   )
)</f>
        <v>0</v>
      </c>
      <c r="Z44" s="220" cm="1">
        <f t="array" ref="Z44">_xlfn.XLOOKUP(
   $B$4&amp;" "&amp;$B44,
   Actuals!$D:$D,
   _xlfn.XLOOKUP(
      Z$6,
      Actuals!$H$3:$BD$3,
      Actuals!$H:$BD
   )
)</f>
        <v>0</v>
      </c>
      <c r="AA44" s="220" cm="1">
        <f t="array" ref="AA44">_xlfn.XLOOKUP(
   $B$4&amp;" "&amp;$B44,
   Actuals!$D:$D,
   _xlfn.XLOOKUP(
      AA$6,
      Actuals!$H$3:$BD$3,
      Actuals!$H:$BD
   )
)</f>
        <v>0</v>
      </c>
      <c r="AB44" s="220" cm="1">
        <f t="array" ref="AB44">_xlfn.XLOOKUP(
   $B$4&amp;" "&amp;$B44,
   Actuals!$D:$D,
   _xlfn.XLOOKUP(
      AB$6,
      Actuals!$H$3:$BD$3,
      Actuals!$H:$BD
   )
)</f>
        <v>0</v>
      </c>
      <c r="AC44" s="220" cm="1">
        <f t="array" ref="AC44">_xlfn.XLOOKUP(
   $B$4&amp;" "&amp;$B44,
   Actuals!$D:$D,
   _xlfn.XLOOKUP(
      AC$6,
      Actuals!$H$3:$BD$3,
      Actuals!$H:$BD
   )
)</f>
        <v>162623.82999999999</v>
      </c>
      <c r="AD44" s="220" cm="1">
        <f t="array" ref="AD44">_xlfn.XLOOKUP(
   $B$4&amp;" "&amp;$B44,
   Actuals!$D:$D,
   _xlfn.XLOOKUP(
      AD$6,
      Actuals!$H$3:$BD$3,
      Actuals!$H:$BD
   )
)</f>
        <v>164250.06829999998</v>
      </c>
      <c r="AE44" s="220" cm="1">
        <f t="array" ref="AE44">_xlfn.XLOOKUP(
   $B$4&amp;" "&amp;$B44,
   Actuals!$D:$D,
   _xlfn.XLOOKUP(
      AE$6,
      Actuals!$H$3:$BD$3,
      Actuals!$H:$BD
   )
)</f>
        <v>165892.56898299998</v>
      </c>
      <c r="AF44" s="220" cm="1">
        <f t="array" ref="AF44">_xlfn.XLOOKUP(
   $B$4&amp;" "&amp;$B44,
   Actuals!$D:$D,
   _xlfn.XLOOKUP(
      AF$6,
      Actuals!$H$3:$BD$3,
      Actuals!$H:$BD
   )
)</f>
        <v>167551.49467282998</v>
      </c>
      <c r="AG44" s="220" cm="1">
        <f t="array" ref="AG44">_xlfn.XLOOKUP(
   $B$4&amp;" "&amp;$B44,
   Actuals!$D:$D,
   _xlfn.XLOOKUP(
      AG$6,
      Actuals!$H$3:$BD$3,
      Actuals!$H:$BD
   )
)</f>
        <v>169227.00961955829</v>
      </c>
      <c r="AH44" s="220" cm="1">
        <f t="array" ref="AH44">_xlfn.XLOOKUP(
   $B$4&amp;" "&amp;$B44,
   Actuals!$D:$D,
   _xlfn.XLOOKUP(
      AH$6,
      Actuals!$H$3:$BD$3,
      Actuals!$H:$BD
   )
)</f>
        <v>170919.27971575386</v>
      </c>
      <c r="AI44" s="220" cm="1">
        <f t="array" ref="AI44">_xlfn.XLOOKUP(
   $B$4&amp;" "&amp;$B44,
   Actuals!$D:$D,
   _xlfn.XLOOKUP(
      AI$6,
      Actuals!$H$3:$BD$3,
      Actuals!$H:$BD
   )
)</f>
        <v>172628.47251291139</v>
      </c>
      <c r="AJ44" s="220" cm="1">
        <f t="array" ref="AJ44">_xlfn.XLOOKUP(
   $B$4&amp;" "&amp;$B44,
   Actuals!$D:$D,
   _xlfn.XLOOKUP(
      AJ$6,
      Actuals!$H$3:$BD$3,
      Actuals!$H:$BD
   )
)</f>
        <v>174354.7572380405</v>
      </c>
      <c r="AK44" s="220" cm="1">
        <f t="array" ref="AK44">_xlfn.XLOOKUP(
   $B$4&amp;" "&amp;$B44,
   Actuals!$D:$D,
   _xlfn.XLOOKUP(
      AK$6,
      Actuals!$H$3:$BD$3,
      Actuals!$H:$BD
   )
)</f>
        <v>176098.3048104209</v>
      </c>
      <c r="AL44" s="220" cm="1">
        <f t="array" ref="AL44">_xlfn.XLOOKUP(
   $B$4&amp;" "&amp;$B44,
   Actuals!$D:$D,
   _xlfn.XLOOKUP(
      AL$6,
      Actuals!$H$3:$BD$3,
      Actuals!$H:$BD
   )
)</f>
        <v>177859.28785852512</v>
      </c>
      <c r="AM44" s="220" cm="1">
        <f t="array" ref="AM44">_xlfn.XLOOKUP(
   $B$4&amp;" "&amp;$B44,
   Actuals!$D:$D,
   _xlfn.XLOOKUP(
      AM$6,
      Actuals!$H$3:$BD$3,
      Actuals!$H:$BD
   )
)</f>
        <v>179637.88073711036</v>
      </c>
      <c r="AN44" s="220" cm="1">
        <f t="array" ref="AN44">_xlfn.XLOOKUP(
   $B$4&amp;" "&amp;$B44,
   Actuals!$D:$D,
   _xlfn.XLOOKUP(
      AN$6,
      Actuals!$H$3:$BD$3,
      Actuals!$H:$BD
   )
)</f>
        <v>181434.25954448147</v>
      </c>
      <c r="AO44" s="220" cm="1">
        <f t="array" ref="AO44">_xlfn.XLOOKUP(
   $B$4&amp;" "&amp;$B44,
   Actuals!$D:$D,
   _xlfn.XLOOKUP(
      AO$6,
      Actuals!$H$3:$BD$3,
      Actuals!$H:$BD
   )
)</f>
        <v>183248.60213992628</v>
      </c>
      <c r="AP44" s="220" cm="1">
        <f t="array" ref="AP44">_xlfn.XLOOKUP(
   $B$4&amp;" "&amp;$B44,
   Actuals!$D:$D,
   _xlfn.XLOOKUP(
      AP$6,
      Actuals!$H$3:$BD$3,
      Actuals!$H:$BD
   )
)</f>
        <v>185081.08816132555</v>
      </c>
      <c r="AQ44" s="220" cm="1">
        <f t="array" ref="AQ44">_xlfn.XLOOKUP(
   $B$4&amp;" "&amp;$B44,
   Actuals!$D:$D,
   _xlfn.XLOOKUP(
      AQ$6,
      Actuals!$H$3:$BD$3,
      Actuals!$H:$BD
   )
)</f>
        <v>186931.89904293881</v>
      </c>
      <c r="AR44" s="220" cm="1">
        <f t="array" ref="AR44">_xlfn.XLOOKUP(
   $B$4&amp;" "&amp;$B44,
   Actuals!$D:$D,
   _xlfn.XLOOKUP(
      AR$6,
      Actuals!$H$3:$BD$3,
      Actuals!$H:$BD
   )
)</f>
        <v>0</v>
      </c>
      <c r="AS44" s="220" cm="1">
        <f t="array" ref="AS44">_xlfn.XLOOKUP(
   $B$4&amp;" "&amp;$B44,
   Actuals!$D:$D,
   _xlfn.XLOOKUP(
      AS$6,
      Actuals!$H$3:$BD$3,
      Actuals!$H:$BD
   )
)</f>
        <v>0</v>
      </c>
      <c r="AT44" s="220" cm="1">
        <f t="array" ref="AT44">_xlfn.XLOOKUP(
   $B$4&amp;" "&amp;$B44,
   Actuals!$D:$D,
   _xlfn.XLOOKUP(
      AT$6,
      Actuals!$H$3:$BD$3,
      Actuals!$H:$BD
   )
)</f>
        <v>0</v>
      </c>
      <c r="AU44" s="220" cm="1">
        <f t="array" ref="AU44">_xlfn.XLOOKUP(
   $B$4&amp;" "&amp;$B44,
   Actuals!$D:$D,
   _xlfn.XLOOKUP(
      AU$6,
      Actuals!$H$3:$BD$3,
      Actuals!$H:$BD
   )
)</f>
        <v>0</v>
      </c>
      <c r="AV44" s="220" cm="1">
        <f t="array" ref="AV44">_xlfn.XLOOKUP(
   $B$4&amp;" "&amp;$B44,
   Actuals!$D:$D,
   _xlfn.XLOOKUP(
      AV$6,
      Actuals!$H$3:$BD$3,
      Actuals!$H:$BD
   )
)</f>
        <v>0</v>
      </c>
      <c r="AW44" s="220" cm="1">
        <f t="array" ref="AW44">_xlfn.XLOOKUP(
   $B$4&amp;" "&amp;$B44,
   Actuals!$D:$D,
   _xlfn.XLOOKUP(
      AW$6,
      Actuals!$H$3:$BD$3,
      Actuals!$H:$BD
   )
)</f>
        <v>0</v>
      </c>
      <c r="AX44" s="220" cm="1">
        <f t="array" ref="AX44">_xlfn.XLOOKUP(
   $B$4&amp;" "&amp;$B44,
   Actuals!$D:$D,
   _xlfn.XLOOKUP(
      AX$6,
      Actuals!$H$3:$BD$3,
      Actuals!$H:$BD
   )
)</f>
        <v>0</v>
      </c>
      <c r="AY44" s="220" cm="1">
        <f t="array" ref="AY44">_xlfn.XLOOKUP(
   $B$4&amp;" "&amp;$B44,
   Actuals!$D:$D,
   _xlfn.XLOOKUP(
      AY$6,
      Actuals!$H$3:$BD$3,
      Actuals!$H:$BD
   )
)</f>
        <v>0</v>
      </c>
      <c r="AZ44" s="220" cm="1">
        <f t="array" ref="AZ44">_xlfn.XLOOKUP(
   $B$4&amp;" "&amp;$B44,
   Actuals!$D:$D,
   _xlfn.XLOOKUP(
      AZ$6,
      Actuals!$H$3:$BD$3,
      Actuals!$H:$BD
   )
)</f>
        <v>0</v>
      </c>
      <c r="BA44" s="220"/>
      <c r="BB44" s="220" cm="1">
        <f t="array" ref="BB44">_xlfn.XLOOKUP(
   $B$4&amp;" "&amp;$B44,
   Actuals!$D:$D,
   _xlfn.XLOOKUP(
      BB$7,
      Actuals!$H$3:$BM$3,
      Actuals!$H:$BM
   )
)</f>
        <v>555261.58934419067</v>
      </c>
      <c r="BC44" s="220">
        <f>VLOOKUP($B$4&amp;" "&amp;$B44,Budget!$AG$4:$AL$132,$BB$5+1,FALSE)</f>
        <v>406012</v>
      </c>
      <c r="BD44" s="220">
        <f t="shared" ref="BD44" si="40">BB44-BC44</f>
        <v>149249.58934419067</v>
      </c>
      <c r="BE44" s="220"/>
      <c r="BF44" s="220" cm="1">
        <f t="array" ref="BF44">_xlfn.XLOOKUP(
   $B$4&amp;" "&amp;$B44,
   Actuals!$D:$D,
   _xlfn.XLOOKUP(
      BF$7,
      Actuals!$H$3:$BM$3,
      Actuals!$H:$BM
   )
)</f>
        <v>0</v>
      </c>
      <c r="BG44" s="220">
        <f>VLOOKUP($B$4&amp;" "&amp;$B44,Budget!$AG$4:$AL$132,BF$5+1,FALSE)</f>
        <v>407700</v>
      </c>
      <c r="BH44" s="220">
        <f t="shared" si="37"/>
        <v>-407700</v>
      </c>
      <c r="BI44" s="220"/>
      <c r="BJ44" s="220" cm="1">
        <f t="array" ref="BJ44">_xlfn.XLOOKUP(
   $B$4&amp;" "&amp;$B44,
   Actuals!$D:$D,
   _xlfn.XLOOKUP(
      BJ$7,
      Actuals!$H$3:$BM$3,
      Actuals!$H:$BM
   )
)</f>
        <v>0</v>
      </c>
      <c r="BK44" s="220">
        <f>VLOOKUP($B$4&amp;" "&amp;$B44,Budget!$AG$4:$AL$132,BJ$5+1,FALSE)</f>
        <v>415710</v>
      </c>
      <c r="BL44" s="220">
        <f t="shared" si="38"/>
        <v>-415710</v>
      </c>
      <c r="BM44" s="220"/>
      <c r="BN44" s="220" cm="1">
        <f t="array" ref="BN44">_xlfn.XLOOKUP(
   $B$4&amp;" "&amp;$B44,
   Actuals!$D:$D,
   _xlfn.XLOOKUP(
      BN$7,
      Actuals!$H$3:$BM$3,
      Actuals!$H:$BM
   )
)</f>
        <v>0</v>
      </c>
      <c r="BO44" s="220">
        <f>VLOOKUP($B$4&amp;" "&amp;$B44,Budget!$AG$4:$AL$132,BN$5+1,FALSE)</f>
        <v>420915</v>
      </c>
      <c r="BP44" s="220"/>
      <c r="BQ44" s="220"/>
      <c r="BR44" s="220" cm="1">
        <f t="array" aca="1" ref="BR44" ca="1">_xlfn.XLOOKUP(
   $B$4&amp;" "&amp;$B44,
   Actuals!$D:$D,
   _xlfn.XLOOKUP(
      BR$6,
      Actuals!$H$3:$BM$3,
      Actuals!$H:$BM
   )
)</f>
        <v>555261.58934419067</v>
      </c>
      <c r="BS44" s="220">
        <f ca="1">VLOOKUP($B$4&amp;" "&amp;$B44,Budget!$AG$4:$AL$132,6,FALSE)</f>
        <v>1656742</v>
      </c>
      <c r="BT44" s="220">
        <f t="shared" ref="BT44" ca="1" si="41">BR44-BS44</f>
        <v>-1101480.4106558093</v>
      </c>
      <c r="BU44" s="220"/>
      <c r="BV44" s="220" cm="1">
        <f t="array" ref="BV44">_xlfn.XLOOKUP(
   $B$4&amp;" "&amp;$B44,
   Actuals!$D:$D,
   _xlfn.XLOOKUP(
      BV$6,
      Actuals!$H$3:$BM$3,
      Actuals!$H:$BM
   )
)</f>
        <v>2083101.986132558</v>
      </c>
      <c r="BW44" s="26"/>
      <c r="BX44" s="26"/>
      <c r="BY44" s="26"/>
    </row>
    <row r="45" spans="1:77">
      <c r="A45" s="26"/>
      <c r="B45" s="26" t="s">
        <v>197</v>
      </c>
      <c r="C45" s="139" t="s">
        <v>49</v>
      </c>
      <c r="D45" s="171" t="str">
        <f>VLOOKUP($B$4&amp;" "&amp;$B45,Actuals!$D$4:$AG$131,3,FALSE)</f>
        <v>$</v>
      </c>
      <c r="E45" s="276" cm="1">
        <f t="array" ref="E45">_xlfn.XLOOKUP(
   $B$4&amp;" "&amp;$B45,
   Actuals!$D:$D,
   _xlfn.XLOOKUP(
      E$6,
      Actuals!$H$3:$BD$3,
      Actuals!$H:$BD
   )
)</f>
        <v>0.70142748247717845</v>
      </c>
      <c r="F45" s="276" cm="1">
        <f t="array" ref="F45">_xlfn.XLOOKUP(
   $B$4&amp;" "&amp;$B45,
   Actuals!$D:$D,
   _xlfn.XLOOKUP(
      F$6,
      Actuals!$H$3:$BD$3,
      Actuals!$H:$BD
   )
)</f>
        <v>0.38906501588230036</v>
      </c>
      <c r="G45" s="276" cm="1">
        <f t="array" ref="G45">_xlfn.XLOOKUP(
   $B$4&amp;" "&amp;$B45,
   Actuals!$D:$D,
   _xlfn.XLOOKUP(
      G$6,
      Actuals!$H$3:$BD$3,
      Actuals!$H:$BD
   )
)</f>
        <v>0.32216910077858635</v>
      </c>
      <c r="H45" s="280" cm="1">
        <f t="array" ref="H45">_xlfn.XLOOKUP(
   $B$4&amp;" "&amp;$B45,
   Actuals!$D:$D,
   _xlfn.XLOOKUP(
      H$6,
      Actuals!$H$3:$BD$3,
      Actuals!$H:$BD
   )
)</f>
        <v>0.1909631196353033</v>
      </c>
      <c r="I45" s="276" cm="1">
        <f t="array" ref="I45">_xlfn.XLOOKUP(
   $B$4&amp;" "&amp;$B45,
   Actuals!$D:$D,
   _xlfn.XLOOKUP(
      I$6,
      Actuals!$H$3:$BD$3,
      Actuals!$H:$BD
   )
)</f>
        <v>1.141821523640512</v>
      </c>
      <c r="J45" s="276" cm="1">
        <f t="array" ref="J45">_xlfn.XLOOKUP(
   $B$4&amp;" "&amp;$B45,
   Actuals!$D:$D,
   _xlfn.XLOOKUP(
      J$6,
      Actuals!$H$3:$BD$3,
      Actuals!$H:$BD
   )
)</f>
        <v>1.1786339267985968</v>
      </c>
      <c r="K45" s="280" cm="1">
        <f t="array" ref="K45">_xlfn.XLOOKUP(
   $B$4&amp;" "&amp;$B45,
   Actuals!$D:$D,
   _xlfn.XLOOKUP(
      K$6,
      Actuals!$H$3:$BD$3,
      Actuals!$H:$BD
   )
)</f>
        <v>4.6241968000000009</v>
      </c>
      <c r="L45" s="276" cm="1">
        <f t="array" ref="L45">_xlfn.XLOOKUP(
   $B$4&amp;" "&amp;$B45,
   Actuals!$D:$D,
   _xlfn.XLOOKUP(
      L$6,
      Actuals!$H$3:$BD$3,
      Actuals!$H:$BD
   )
)</f>
        <v>7.0971019296791757</v>
      </c>
      <c r="M45" s="276" cm="1">
        <f t="array" ref="M45">_xlfn.XLOOKUP(
   $B$4&amp;" "&amp;$B45,
   Actuals!$D:$D,
   _xlfn.XLOOKUP(
      M$6,
      Actuals!$H$3:$BD$3,
      Actuals!$H:$BD
   )
)</f>
        <v>0.63240619044869206</v>
      </c>
      <c r="N45" s="276" cm="1">
        <f t="array" ref="N45">_xlfn.XLOOKUP(
   $B$4&amp;" "&amp;$B45,
   Actuals!$D:$D,
   _xlfn.XLOOKUP(
      N$6,
      Actuals!$H$3:$BD$3,
      Actuals!$H:$BD
   )
)</f>
        <v>0.4985853467458975</v>
      </c>
      <c r="O45" s="276" t="e" cm="1">
        <f t="array" ref="O45">_xlfn.XLOOKUP(
   $B$4&amp;" "&amp;$B45,
   Actuals!$D:$D,
   _xlfn.XLOOKUP(
      O$6,
      Actuals!$H$3:$BD$3,
      Actuals!$H:$BD
   )
)</f>
        <v>#DIV/0!</v>
      </c>
      <c r="P45" s="276" t="e" cm="1">
        <f t="array" ref="P45">_xlfn.XLOOKUP(
   $B$4&amp;" "&amp;$B45,
   Actuals!$D:$D,
   _xlfn.XLOOKUP(
      P$6,
      Actuals!$H$3:$BD$3,
      Actuals!$H:$BD
   )
)</f>
        <v>#DIV/0!</v>
      </c>
      <c r="Q45" s="276" t="e" cm="1">
        <f t="array" ref="Q45">_xlfn.XLOOKUP(
   $B$4&amp;" "&amp;$B45,
   Actuals!$D:$D,
   _xlfn.XLOOKUP(
      Q$6,
      Actuals!$H$3:$BD$3,
      Actuals!$H:$BD
   )
)</f>
        <v>#DIV/0!</v>
      </c>
      <c r="R45" s="276" t="e" cm="1">
        <f t="array" ref="R45">_xlfn.XLOOKUP(
   $B$4&amp;" "&amp;$B45,
   Actuals!$D:$D,
   _xlfn.XLOOKUP(
      R$6,
      Actuals!$H$3:$BD$3,
      Actuals!$H:$BD
   )
)</f>
        <v>#DIV/0!</v>
      </c>
      <c r="S45" s="276" t="e" cm="1">
        <f t="array" ref="S45">_xlfn.XLOOKUP(
   $B$4&amp;" "&amp;$B45,
   Actuals!$D:$D,
   _xlfn.XLOOKUP(
      S$6,
      Actuals!$H$3:$BD$3,
      Actuals!$H:$BD
   )
)</f>
        <v>#DIV/0!</v>
      </c>
      <c r="T45" s="276" t="e" cm="1">
        <f t="array" ref="T45">_xlfn.XLOOKUP(
   $B$4&amp;" "&amp;$B45,
   Actuals!$D:$D,
   _xlfn.XLOOKUP(
      T$6,
      Actuals!$H$3:$BD$3,
      Actuals!$H:$BD
   )
)</f>
        <v>#DIV/0!</v>
      </c>
      <c r="U45" s="276" t="e" cm="1">
        <f t="array" ref="U45">_xlfn.XLOOKUP(
   $B$4&amp;" "&amp;$B45,
   Actuals!$D:$D,
   _xlfn.XLOOKUP(
      U$6,
      Actuals!$H$3:$BD$3,
      Actuals!$H:$BD
   )
)</f>
        <v>#DIV/0!</v>
      </c>
      <c r="V45" s="276" t="e" cm="1">
        <f t="array" ref="V45">_xlfn.XLOOKUP(
   $B$4&amp;" "&amp;$B45,
   Actuals!$D:$D,
   _xlfn.XLOOKUP(
      V$6,
      Actuals!$H$3:$BD$3,
      Actuals!$H:$BD
   )
)</f>
        <v>#DIV/0!</v>
      </c>
      <c r="W45" s="276" t="e" cm="1">
        <f t="array" ref="W45">_xlfn.XLOOKUP(
   $B$4&amp;" "&amp;$B45,
   Actuals!$D:$D,
   _xlfn.XLOOKUP(
      W$6,
      Actuals!$H$3:$BD$3,
      Actuals!$H:$BD
   )
)</f>
        <v>#DIV/0!</v>
      </c>
      <c r="X45" s="276" t="e" cm="1">
        <f t="array" ref="X45">_xlfn.XLOOKUP(
   $B$4&amp;" "&amp;$B45,
   Actuals!$D:$D,
   _xlfn.XLOOKUP(
      X$6,
      Actuals!$H$3:$BD$3,
      Actuals!$H:$BD
   )
)</f>
        <v>#DIV/0!</v>
      </c>
      <c r="Y45" s="276" t="e" cm="1">
        <f t="array" ref="Y45">_xlfn.XLOOKUP(
   $B$4&amp;" "&amp;$B45,
   Actuals!$D:$D,
   _xlfn.XLOOKUP(
      Y$6,
      Actuals!$H$3:$BD$3,
      Actuals!$H:$BD
   )
)</f>
        <v>#DIV/0!</v>
      </c>
      <c r="Z45" s="276" t="e" cm="1">
        <f t="array" ref="Z45">_xlfn.XLOOKUP(
   $B$4&amp;" "&amp;$B45,
   Actuals!$D:$D,
   _xlfn.XLOOKUP(
      Z$6,
      Actuals!$H$3:$BD$3,
      Actuals!$H:$BD
   )
)</f>
        <v>#DIV/0!</v>
      </c>
      <c r="AA45" s="276" t="e" cm="1">
        <f t="array" ref="AA45">_xlfn.XLOOKUP(
   $B$4&amp;" "&amp;$B45,
   Actuals!$D:$D,
   _xlfn.XLOOKUP(
      AA$6,
      Actuals!$H$3:$BD$3,
      Actuals!$H:$BD
   )
)</f>
        <v>#DIV/0!</v>
      </c>
      <c r="AB45" s="276" t="e" cm="1">
        <f t="array" ref="AB45">_xlfn.XLOOKUP(
   $B$4&amp;" "&amp;$B45,
   Actuals!$D:$D,
   _xlfn.XLOOKUP(
      AB$6,
      Actuals!$H$3:$BD$3,
      Actuals!$H:$BD
   )
)</f>
        <v>#DIV/0!</v>
      </c>
      <c r="AC45" s="276" cm="1">
        <f t="array" ref="AC45">_xlfn.XLOOKUP(
   $B$4&amp;" "&amp;$B45,
   Actuals!$D:$D,
   _xlfn.XLOOKUP(
      AC$6,
      Actuals!$H$3:$BD$3,
      Actuals!$H:$BD
   )
)</f>
        <v>4.1611993040096209</v>
      </c>
      <c r="AD45" s="276" cm="1">
        <f t="array" ref="AD45">_xlfn.XLOOKUP(
   $B$4&amp;" "&amp;$B45,
   Actuals!$D:$D,
   _xlfn.XLOOKUP(
      AD$6,
      Actuals!$H$3:$BD$3,
      Actuals!$H:$BD
   )
)</f>
        <v>5.1667212425290971</v>
      </c>
      <c r="AE45" s="276" cm="1">
        <f t="array" ref="AE45">_xlfn.XLOOKUP(
   $B$4&amp;" "&amp;$B45,
   Actuals!$D:$D,
   _xlfn.XLOOKUP(
      AE$6,
      Actuals!$H$3:$BD$3,
      Actuals!$H:$BD
   )
)</f>
        <v>2.3919320796827335</v>
      </c>
      <c r="AF45" s="276" cm="1">
        <f t="array" ref="AF45">_xlfn.XLOOKUP(
   $B$4&amp;" "&amp;$B45,
   Actuals!$D:$D,
   _xlfn.XLOOKUP(
      AF$6,
      Actuals!$H$3:$BD$3,
      Actuals!$H:$BD
   )
)</f>
        <v>5.5850498224276661</v>
      </c>
      <c r="AG45" s="276" cm="1">
        <f t="array" ref="AG45">_xlfn.XLOOKUP(
   $B$4&amp;" "&amp;$B45,
   Actuals!$D:$D,
   _xlfn.XLOOKUP(
      AG$6,
      Actuals!$H$3:$BD$3,
      Actuals!$H:$BD
   )
)</f>
        <v>3.4657780294003091</v>
      </c>
      <c r="AH45" s="276" cm="1">
        <f t="array" ref="AH45">_xlfn.XLOOKUP(
   $B$4&amp;" "&amp;$B45,
   Actuals!$D:$D,
   _xlfn.XLOOKUP(
      AH$6,
      Actuals!$H$3:$BD$3,
      Actuals!$H:$BD
   )
)</f>
        <v>3.9676698016563874</v>
      </c>
      <c r="AI45" s="276" cm="1">
        <f t="array" ref="AI45">_xlfn.XLOOKUP(
   $B$4&amp;" "&amp;$B45,
   Actuals!$D:$D,
   _xlfn.XLOOKUP(
      AI$6,
      Actuals!$H$3:$BD$3,
      Actuals!$H:$BD
   )
)</f>
        <v>3.817440404080215</v>
      </c>
      <c r="AJ45" s="276" cm="1">
        <f t="array" ref="AJ45">_xlfn.XLOOKUP(
   $B$4&amp;" "&amp;$B45,
   Actuals!$D:$D,
   _xlfn.XLOOKUP(
      AJ$6,
      Actuals!$H$3:$BD$3,
      Actuals!$H:$BD
   )
)</f>
        <v>8.3515435558374431</v>
      </c>
      <c r="AK45" s="276" cm="1">
        <f t="array" ref="AK45">_xlfn.XLOOKUP(
   $B$4&amp;" "&amp;$B45,
   Actuals!$D:$D,
   _xlfn.XLOOKUP(
      AK$6,
      Actuals!$H$3:$BD$3,
      Actuals!$H:$BD
   )
)</f>
        <v>3.1446125859003731</v>
      </c>
      <c r="AL45" s="276" cm="1">
        <f t="array" ref="AL45">_xlfn.XLOOKUP(
   $B$4&amp;" "&amp;$B45,
   Actuals!$D:$D,
   _xlfn.XLOOKUP(
      AL$6,
      Actuals!$H$3:$BD$3,
      Actuals!$H:$BD
   )
)</f>
        <v>8.8215101606251913</v>
      </c>
      <c r="AM45" s="276" cm="1">
        <f t="array" ref="AM45">_xlfn.XLOOKUP(
   $B$4&amp;" "&amp;$B45,
   Actuals!$D:$D,
   _xlfn.XLOOKUP(
      AM$6,
      Actuals!$H$3:$BD$3,
      Actuals!$H:$BD
   )
)</f>
        <v>15.296141070939234</v>
      </c>
      <c r="AN45" s="276" cm="1">
        <f t="array" ref="AN45">_xlfn.XLOOKUP(
   $B$4&amp;" "&amp;$B45,
   Actuals!$D:$D,
   _xlfn.XLOOKUP(
      AN$6,
      Actuals!$H$3:$BD$3,
      Actuals!$H:$BD
   )
)</f>
        <v>13.805680988014112</v>
      </c>
      <c r="AO45" s="276" cm="1">
        <f t="array" ref="AO45">_xlfn.XLOOKUP(
   $B$4&amp;" "&amp;$B45,
   Actuals!$D:$D,
   _xlfn.XLOOKUP(
      AO$6,
      Actuals!$H$3:$BD$3,
      Actuals!$H:$BD
   )
)</f>
        <v>0</v>
      </c>
      <c r="AP45" s="276" cm="1">
        <f t="array" ref="AP45">_xlfn.XLOOKUP(
   $B$4&amp;" "&amp;$B45,
   Actuals!$D:$D,
   _xlfn.XLOOKUP(
      AP$6,
      Actuals!$H$3:$BD$3,
      Actuals!$H:$BD
   )
)</f>
        <v>0</v>
      </c>
      <c r="AQ45" s="276" cm="1">
        <f t="array" ref="AQ45">_xlfn.XLOOKUP(
   $B$4&amp;" "&amp;$B45,
   Actuals!$D:$D,
   _xlfn.XLOOKUP(
      AQ$6,
      Actuals!$H$3:$BD$3,
      Actuals!$H:$BD
   )
)</f>
        <v>0</v>
      </c>
      <c r="AR45" s="276" cm="1">
        <f t="array" ref="AR45">_xlfn.XLOOKUP(
   $B$4&amp;" "&amp;$B45,
   Actuals!$D:$D,
   _xlfn.XLOOKUP(
      AR$6,
      Actuals!$H$3:$BD$3,
      Actuals!$H:$BD
   )
)</f>
        <v>0</v>
      </c>
      <c r="AS45" s="276" cm="1">
        <f t="array" ref="AS45">_xlfn.XLOOKUP(
   $B$4&amp;" "&amp;$B45,
   Actuals!$D:$D,
   _xlfn.XLOOKUP(
      AS$6,
      Actuals!$H$3:$BD$3,
      Actuals!$H:$BD
   )
)</f>
        <v>0</v>
      </c>
      <c r="AT45" s="276" cm="1">
        <f t="array" ref="AT45">_xlfn.XLOOKUP(
   $B$4&amp;" "&amp;$B45,
   Actuals!$D:$D,
   _xlfn.XLOOKUP(
      AT$6,
      Actuals!$H$3:$BD$3,
      Actuals!$H:$BD
   )
)</f>
        <v>0</v>
      </c>
      <c r="AU45" s="276" cm="1">
        <f t="array" ref="AU45">_xlfn.XLOOKUP(
   $B$4&amp;" "&amp;$B45,
   Actuals!$D:$D,
   _xlfn.XLOOKUP(
      AU$6,
      Actuals!$H$3:$BD$3,
      Actuals!$H:$BD
   )
)</f>
        <v>0</v>
      </c>
      <c r="AV45" s="276" cm="1">
        <f t="array" ref="AV45">_xlfn.XLOOKUP(
   $B$4&amp;" "&amp;$B45,
   Actuals!$D:$D,
   _xlfn.XLOOKUP(
      AV$6,
      Actuals!$H$3:$BD$3,
      Actuals!$H:$BD
   )
)</f>
        <v>0</v>
      </c>
      <c r="AW45" s="276" cm="1">
        <f t="array" ref="AW45">_xlfn.XLOOKUP(
   $B$4&amp;" "&amp;$B45,
   Actuals!$D:$D,
   _xlfn.XLOOKUP(
      AW$6,
      Actuals!$H$3:$BD$3,
      Actuals!$H:$BD
   )
)</f>
        <v>0</v>
      </c>
      <c r="AX45" s="276" cm="1">
        <f t="array" ref="AX45">_xlfn.XLOOKUP(
   $B$4&amp;" "&amp;$B45,
   Actuals!$D:$D,
   _xlfn.XLOOKUP(
      AX$6,
      Actuals!$H$3:$BD$3,
      Actuals!$H:$BD
   )
)</f>
        <v>0</v>
      </c>
      <c r="AY45" s="276" cm="1">
        <f t="array" ref="AY45">_xlfn.XLOOKUP(
   $B$4&amp;" "&amp;$B45,
   Actuals!$D:$D,
   _xlfn.XLOOKUP(
      AY$6,
      Actuals!$H$3:$BD$3,
      Actuals!$H:$BD
   )
)</f>
        <v>0</v>
      </c>
      <c r="AZ45" s="276" cm="1">
        <f t="array" ref="AZ45">_xlfn.XLOOKUP(
   $B$4&amp;" "&amp;$B45,
   Actuals!$D:$D,
   _xlfn.XLOOKUP(
      AZ$6,
      Actuals!$H$3:$BD$3,
      Actuals!$H:$BD
   )
)</f>
        <v>0</v>
      </c>
      <c r="BA45" s="276"/>
      <c r="BB45" s="276" t="str" cm="1">
        <f t="array" ref="BB45">_xlfn.XLOOKUP(
   $B$4&amp;" "&amp;$B45,
   Actuals!$D:$D,
   _xlfn.XLOOKUP(
      BB$7,
      Actuals!$H$3:$BM$3,
      Actuals!$H:$BM
   )
)</f>
        <v>-</v>
      </c>
      <c r="BC45" s="280">
        <f>VLOOKUP($B$4&amp;" "&amp;$B45,Budget!$AG$4:$AL$132,$BB$5+1,FALSE)</f>
        <v>1.6987949790794978</v>
      </c>
      <c r="BD45" s="280" t="str">
        <f>IFERROR(BB45-BC45,"-")</f>
        <v>-</v>
      </c>
      <c r="BE45" s="280"/>
      <c r="BF45" s="276" t="str" cm="1">
        <f t="array" ref="BF45">_xlfn.XLOOKUP(
   $B$4&amp;" "&amp;$B45,
   Actuals!$D:$D,
   _xlfn.XLOOKUP(
      BF$7,
      Actuals!$H$3:$BM$3,
      Actuals!$H:$BM
   )
)</f>
        <v>-</v>
      </c>
      <c r="BG45" s="280">
        <f>VLOOKUP($B$4&amp;" "&amp;$B45,Budget!$AG$4:$AL$132,BF$5+1,FALSE)</f>
        <v>1.1851744186046511</v>
      </c>
      <c r="BH45" s="280" t="str">
        <f>IFERROR(BF45-BG45,"-")</f>
        <v>-</v>
      </c>
      <c r="BI45" s="280"/>
      <c r="BJ45" s="276" t="str" cm="1">
        <f t="array" ref="BJ45">_xlfn.XLOOKUP(
   $B$4&amp;" "&amp;$B45,
   Actuals!$D:$D,
   _xlfn.XLOOKUP(
      BJ$7,
      Actuals!$H$3:$BM$3,
      Actuals!$H:$BM
   )
)</f>
        <v>-</v>
      </c>
      <c r="BK45" s="280">
        <f>VLOOKUP($B$4&amp;" "&amp;$B45,Budget!$AG$4:$AL$132,BJ$5+1,FALSE)</f>
        <v>1.2084593023255814</v>
      </c>
      <c r="BL45" s="280" t="str">
        <f>IFERROR(BJ45-BK45,"-")</f>
        <v>-</v>
      </c>
      <c r="BM45" s="280"/>
      <c r="BN45" s="280" t="str" cm="1">
        <f t="array" ref="BN45">_xlfn.XLOOKUP(
   $B$4&amp;" "&amp;$B45,
   Actuals!$D:$D,
   _xlfn.XLOOKUP(
      BN$7,
      Actuals!$H$3:$BM$3,
      Actuals!$H:$BM
   )
)</f>
        <v>-</v>
      </c>
      <c r="BO45" s="280">
        <f>VLOOKUP($B$4&amp;" "&amp;$B45,Budget!$AG$4:$AL$132,BN$5+1,FALSE)</f>
        <v>0.93744988864142542</v>
      </c>
      <c r="BP45" s="280"/>
      <c r="BQ45" s="280"/>
      <c r="BR45" s="280" cm="1">
        <f t="array" aca="1" ref="BR45" ca="1">_xlfn.XLOOKUP(
   $B$4&amp;" "&amp;$B45,
   Actuals!$D:$D,
   _xlfn.XLOOKUP(
      BR$6,
      Actuals!$H$3:$BM$3,
      Actuals!$H:$BM
   )
)</f>
        <v>5.7206132082136385</v>
      </c>
      <c r="BS45" s="280">
        <f ca="1">VLOOKUP($B$4&amp;" "&amp;$B45,Budget!$AG$4:$AL$132,6,FALSE)</f>
        <v>1.2040276162790697</v>
      </c>
      <c r="BT45" s="280">
        <f ca="1">IFERROR(BR45-BS45,"-")</f>
        <v>4.516585591934569</v>
      </c>
      <c r="BU45" s="276"/>
      <c r="BV45" s="280" t="str" cm="1">
        <f t="array" ref="BV45">_xlfn.XLOOKUP(
   $B$4&amp;" "&amp;$B45,
   Actuals!$D:$D,
   _xlfn.XLOOKUP(
      BV$6,
      Actuals!$H$3:$BM$3,
      Actuals!$H:$BM
   )
)</f>
        <v/>
      </c>
      <c r="BW45" s="26"/>
      <c r="BX45" s="26"/>
      <c r="BY45" s="26"/>
    </row>
    <row r="46" spans="1:77">
      <c r="A46" s="26"/>
      <c r="C46" s="141"/>
      <c r="D46" s="141"/>
      <c r="O46" s="285"/>
      <c r="P46" s="285"/>
      <c r="Q46" s="285"/>
      <c r="R46" s="285"/>
      <c r="S46" s="285"/>
      <c r="T46" s="285"/>
      <c r="U46" s="285"/>
      <c r="V46" s="285"/>
      <c r="W46" s="285"/>
      <c r="X46" s="285"/>
      <c r="Y46" s="285"/>
      <c r="Z46" s="285"/>
      <c r="AA46" s="285"/>
      <c r="AB46" s="285"/>
      <c r="AC46" s="285"/>
      <c r="AD46" s="285"/>
      <c r="AE46" s="285"/>
      <c r="AF46" s="285"/>
      <c r="AG46" s="285"/>
      <c r="AH46" s="285"/>
      <c r="AI46" s="285"/>
      <c r="AJ46" s="285"/>
      <c r="AK46" s="285"/>
      <c r="AL46" s="285"/>
      <c r="AM46" s="285"/>
      <c r="AN46" s="285"/>
      <c r="AO46" s="285"/>
      <c r="AP46" s="285"/>
      <c r="AQ46" s="285"/>
      <c r="AR46" s="285"/>
      <c r="AS46" s="285"/>
      <c r="AT46" s="285"/>
      <c r="AU46" s="285"/>
      <c r="AV46" s="285"/>
      <c r="AW46" s="285"/>
      <c r="AX46" s="285"/>
      <c r="AY46" s="285"/>
      <c r="AZ46" s="285"/>
      <c r="BA46" s="285"/>
      <c r="BB46" s="285"/>
      <c r="BC46" s="285"/>
      <c r="BD46" s="285"/>
      <c r="BE46" s="285"/>
      <c r="BF46" s="285"/>
      <c r="BG46" s="285"/>
      <c r="BH46" s="285"/>
      <c r="BI46" s="285"/>
      <c r="BJ46" s="285"/>
      <c r="BK46" s="285"/>
      <c r="BL46" s="285"/>
      <c r="BM46" s="285"/>
      <c r="BN46" s="285"/>
      <c r="BO46" s="285"/>
      <c r="BP46" s="285"/>
      <c r="BQ46" s="285"/>
      <c r="BR46" s="285"/>
      <c r="BS46" s="285"/>
      <c r="BT46" s="285"/>
      <c r="BU46" s="285"/>
      <c r="BW46" s="26"/>
      <c r="BX46" s="26"/>
      <c r="BY46" s="26"/>
    </row>
    <row r="47" spans="1:77">
      <c r="A47" s="26"/>
      <c r="O47" s="285"/>
      <c r="P47" s="285"/>
      <c r="Q47" s="285"/>
      <c r="R47" s="285"/>
      <c r="S47" s="285"/>
      <c r="T47" s="285"/>
      <c r="U47" s="285"/>
      <c r="V47" s="285"/>
      <c r="W47" s="285"/>
      <c r="X47" s="285"/>
      <c r="Y47" s="285"/>
      <c r="Z47" s="285"/>
      <c r="AA47" s="285"/>
      <c r="AB47" s="285"/>
      <c r="AC47" s="285"/>
      <c r="AD47" s="285"/>
      <c r="AE47" s="285"/>
      <c r="AF47" s="285"/>
      <c r="AG47" s="285"/>
      <c r="AH47" s="285"/>
      <c r="AI47" s="285"/>
      <c r="AJ47" s="285"/>
      <c r="AK47" s="285"/>
      <c r="AL47" s="285"/>
      <c r="AM47" s="285"/>
      <c r="AN47" s="285"/>
      <c r="AO47" s="285"/>
      <c r="AP47" s="285"/>
      <c r="AQ47" s="285"/>
      <c r="AR47" s="285"/>
      <c r="AS47" s="285"/>
      <c r="AT47" s="285"/>
      <c r="AU47" s="285"/>
      <c r="AV47" s="285"/>
      <c r="AW47" s="285"/>
      <c r="AX47" s="285"/>
      <c r="AY47" s="285"/>
      <c r="AZ47" s="285"/>
      <c r="BA47" s="285"/>
      <c r="BB47" s="285"/>
      <c r="BC47" s="285"/>
      <c r="BD47" s="285"/>
      <c r="BE47" s="285"/>
      <c r="BF47" s="285"/>
      <c r="BG47" s="285"/>
      <c r="BH47" s="285"/>
      <c r="BI47" s="285"/>
      <c r="BJ47" s="285"/>
      <c r="BK47" s="285"/>
      <c r="BL47" s="285"/>
      <c r="BM47" s="285"/>
      <c r="BN47" s="285"/>
      <c r="BO47" s="285"/>
      <c r="BP47" s="285"/>
      <c r="BQ47" s="285"/>
      <c r="BR47" s="285"/>
      <c r="BS47" s="285"/>
      <c r="BT47" s="285"/>
      <c r="BU47" s="285"/>
      <c r="BW47" s="26"/>
      <c r="BX47" s="26"/>
      <c r="BY47" s="26"/>
    </row>
    <row r="48" spans="1:77">
      <c r="A48" s="26"/>
      <c r="O48" s="285"/>
      <c r="P48" s="285"/>
      <c r="Q48" s="285"/>
      <c r="R48" s="285"/>
      <c r="S48" s="285"/>
      <c r="T48" s="285"/>
      <c r="U48" s="285"/>
      <c r="V48" s="285"/>
      <c r="W48" s="285"/>
      <c r="X48" s="285"/>
      <c r="Y48" s="285"/>
      <c r="Z48" s="285"/>
      <c r="AA48" s="285"/>
      <c r="AB48" s="285"/>
      <c r="AC48" s="285"/>
      <c r="AD48" s="285"/>
      <c r="AE48" s="285"/>
      <c r="AF48" s="285"/>
      <c r="AG48" s="285"/>
      <c r="AH48" s="285"/>
      <c r="AI48" s="285"/>
      <c r="AJ48" s="285"/>
      <c r="AK48" s="285"/>
      <c r="AL48" s="285"/>
      <c r="AM48" s="285"/>
      <c r="AN48" s="285"/>
      <c r="AO48" s="285"/>
      <c r="AP48" s="285"/>
      <c r="AQ48" s="285"/>
      <c r="AR48" s="285"/>
      <c r="AS48" s="285"/>
      <c r="AT48" s="285"/>
      <c r="AU48" s="285"/>
      <c r="AV48" s="285"/>
      <c r="AW48" s="285"/>
      <c r="AX48" s="285"/>
      <c r="AY48" s="285"/>
      <c r="AZ48" s="285"/>
      <c r="BA48" s="285"/>
      <c r="BB48" s="285"/>
      <c r="BC48" s="285"/>
      <c r="BD48" s="285"/>
      <c r="BE48" s="285"/>
      <c r="BF48" s="285"/>
      <c r="BG48" s="285"/>
      <c r="BH48" s="285"/>
      <c r="BI48" s="285"/>
      <c r="BJ48" s="285"/>
      <c r="BK48" s="285"/>
      <c r="BL48" s="285"/>
      <c r="BM48" s="285"/>
      <c r="BN48" s="285"/>
      <c r="BO48" s="285"/>
      <c r="BP48" s="285"/>
      <c r="BQ48" s="285"/>
      <c r="BR48" s="285"/>
      <c r="BS48" s="285"/>
      <c r="BT48" s="285"/>
      <c r="BU48" s="285"/>
      <c r="BW48" s="26"/>
      <c r="BX48" s="26"/>
      <c r="BY48" s="26"/>
    </row>
    <row r="49" spans="15:73">
      <c r="O49" s="285"/>
      <c r="P49" s="285"/>
      <c r="Q49" s="285"/>
      <c r="R49" s="285"/>
      <c r="S49" s="285"/>
      <c r="T49" s="285"/>
      <c r="U49" s="285"/>
      <c r="V49" s="285"/>
      <c r="W49" s="285"/>
      <c r="X49" s="285"/>
      <c r="Y49" s="285"/>
      <c r="Z49" s="285"/>
      <c r="AA49" s="285"/>
      <c r="AB49" s="285"/>
      <c r="AC49" s="285"/>
      <c r="AD49" s="285"/>
      <c r="AE49" s="285"/>
      <c r="AF49" s="285"/>
      <c r="AG49" s="285"/>
      <c r="AH49" s="285"/>
      <c r="AI49" s="285"/>
      <c r="AJ49" s="285"/>
      <c r="AK49" s="285"/>
      <c r="AL49" s="285"/>
      <c r="AM49" s="285"/>
      <c r="AN49" s="285"/>
      <c r="AO49" s="285"/>
      <c r="AP49" s="285"/>
      <c r="AQ49" s="285"/>
      <c r="AR49" s="285"/>
      <c r="AS49" s="285"/>
      <c r="AT49" s="285"/>
      <c r="AU49" s="285"/>
      <c r="AV49" s="285"/>
      <c r="AW49" s="285"/>
      <c r="AX49" s="285"/>
      <c r="AY49" s="285"/>
      <c r="AZ49" s="285"/>
      <c r="BA49" s="285"/>
      <c r="BB49" s="285"/>
      <c r="BC49" s="285"/>
      <c r="BD49" s="285"/>
      <c r="BE49" s="285"/>
      <c r="BF49" s="285"/>
      <c r="BG49" s="285"/>
      <c r="BH49" s="285"/>
      <c r="BI49" s="285"/>
      <c r="BJ49" s="285"/>
      <c r="BK49" s="285"/>
      <c r="BL49" s="285"/>
      <c r="BM49" s="285"/>
      <c r="BN49" s="285"/>
      <c r="BO49" s="285"/>
      <c r="BP49" s="285"/>
      <c r="BQ49" s="285"/>
      <c r="BR49" s="285"/>
      <c r="BS49" s="285"/>
      <c r="BT49" s="285"/>
      <c r="BU49" s="285"/>
    </row>
    <row r="50" spans="15:73">
      <c r="O50" s="285"/>
      <c r="P50" s="285"/>
      <c r="Q50" s="285"/>
      <c r="R50" s="285"/>
      <c r="S50" s="285"/>
      <c r="T50" s="285"/>
      <c r="U50" s="285"/>
      <c r="V50" s="285"/>
      <c r="W50" s="285"/>
      <c r="X50" s="285"/>
      <c r="Y50" s="285"/>
      <c r="Z50" s="285"/>
      <c r="AA50" s="285"/>
      <c r="AB50" s="285"/>
      <c r="AC50" s="285"/>
      <c r="AD50" s="285"/>
      <c r="AE50" s="285"/>
      <c r="AF50" s="285"/>
      <c r="AG50" s="285"/>
      <c r="AH50" s="285"/>
      <c r="AI50" s="285"/>
      <c r="AJ50" s="285"/>
      <c r="AK50" s="285"/>
      <c r="AL50" s="285"/>
      <c r="AM50" s="285"/>
      <c r="AN50" s="285"/>
      <c r="AO50" s="285"/>
      <c r="AP50" s="285"/>
      <c r="AQ50" s="285"/>
      <c r="AR50" s="285"/>
      <c r="AS50" s="285"/>
      <c r="AT50" s="285"/>
      <c r="AU50" s="285"/>
      <c r="AV50" s="285"/>
      <c r="AW50" s="285"/>
      <c r="AX50" s="285"/>
      <c r="AY50" s="285"/>
      <c r="AZ50" s="285"/>
      <c r="BA50" s="285"/>
      <c r="BB50" s="285"/>
      <c r="BC50" s="285"/>
      <c r="BD50" s="285"/>
      <c r="BE50" s="285"/>
      <c r="BF50" s="285"/>
      <c r="BG50" s="285"/>
      <c r="BH50" s="285"/>
      <c r="BI50" s="285"/>
      <c r="BJ50" s="285"/>
      <c r="BK50" s="285"/>
      <c r="BL50" s="285"/>
      <c r="BM50" s="285"/>
      <c r="BN50" s="285"/>
      <c r="BO50" s="285"/>
      <c r="BP50" s="285"/>
      <c r="BQ50" s="285"/>
      <c r="BR50" s="285"/>
      <c r="BS50" s="285"/>
      <c r="BT50" s="285"/>
      <c r="BU50" s="285"/>
    </row>
    <row r="51" spans="15:73">
      <c r="O51" s="285"/>
      <c r="P51" s="285"/>
      <c r="Q51" s="285"/>
      <c r="R51" s="285"/>
      <c r="S51" s="285"/>
      <c r="T51" s="285"/>
      <c r="U51" s="285"/>
      <c r="V51" s="285"/>
      <c r="W51" s="285"/>
      <c r="X51" s="285"/>
      <c r="Y51" s="285"/>
      <c r="Z51" s="285"/>
      <c r="AA51" s="285"/>
      <c r="AB51" s="285"/>
      <c r="AC51" s="285"/>
      <c r="AD51" s="285"/>
      <c r="AE51" s="285"/>
      <c r="AF51" s="285"/>
      <c r="AG51" s="285"/>
      <c r="AH51" s="285"/>
      <c r="AI51" s="285"/>
      <c r="AJ51" s="285"/>
      <c r="AK51" s="285"/>
      <c r="AL51" s="285"/>
      <c r="AM51" s="285"/>
      <c r="AN51" s="285"/>
      <c r="AO51" s="285"/>
      <c r="AP51" s="285"/>
      <c r="AQ51" s="285"/>
      <c r="AR51" s="285"/>
      <c r="AS51" s="285"/>
      <c r="AT51" s="285"/>
      <c r="AU51" s="285"/>
      <c r="AV51" s="285"/>
      <c r="AW51" s="285"/>
      <c r="AX51" s="285"/>
      <c r="AY51" s="285"/>
      <c r="AZ51" s="285"/>
      <c r="BA51" s="285"/>
      <c r="BB51" s="285"/>
      <c r="BC51" s="285"/>
      <c r="BD51" s="285"/>
      <c r="BE51" s="285"/>
      <c r="BF51" s="285"/>
      <c r="BG51" s="285"/>
      <c r="BH51" s="285"/>
      <c r="BI51" s="285"/>
      <c r="BJ51" s="285"/>
      <c r="BK51" s="285"/>
      <c r="BL51" s="285"/>
      <c r="BM51" s="285"/>
      <c r="BN51" s="285"/>
      <c r="BO51" s="285"/>
      <c r="BP51" s="285"/>
      <c r="BQ51" s="285"/>
      <c r="BR51" s="285"/>
      <c r="BS51" s="285"/>
      <c r="BT51" s="285"/>
      <c r="BU51" s="285"/>
    </row>
    <row r="52" spans="15:73">
      <c r="O52" s="285"/>
      <c r="P52" s="285"/>
      <c r="Q52" s="285"/>
      <c r="R52" s="285"/>
      <c r="S52" s="285"/>
      <c r="T52" s="285"/>
      <c r="U52" s="285"/>
      <c r="V52" s="285"/>
      <c r="W52" s="285"/>
      <c r="X52" s="285"/>
      <c r="Y52" s="285"/>
      <c r="Z52" s="285"/>
      <c r="AA52" s="285"/>
      <c r="AB52" s="285"/>
      <c r="AC52" s="285"/>
      <c r="AD52" s="285"/>
      <c r="AE52" s="285"/>
      <c r="AF52" s="285"/>
      <c r="AG52" s="285"/>
      <c r="AH52" s="285"/>
      <c r="AI52" s="285"/>
      <c r="AJ52" s="285"/>
      <c r="AK52" s="285"/>
      <c r="AL52" s="285"/>
      <c r="AM52" s="285"/>
      <c r="AN52" s="285"/>
      <c r="AO52" s="285"/>
      <c r="AP52" s="285"/>
      <c r="AQ52" s="285"/>
      <c r="AR52" s="285"/>
      <c r="AS52" s="285"/>
      <c r="AT52" s="285"/>
      <c r="AU52" s="285"/>
      <c r="AV52" s="285"/>
      <c r="AW52" s="285"/>
      <c r="AX52" s="285"/>
      <c r="AY52" s="285"/>
      <c r="AZ52" s="285"/>
      <c r="BA52" s="285"/>
      <c r="BB52" s="285"/>
      <c r="BC52" s="285"/>
      <c r="BD52" s="285"/>
      <c r="BE52" s="285"/>
      <c r="BF52" s="285"/>
      <c r="BG52" s="285"/>
      <c r="BH52" s="285"/>
      <c r="BI52" s="285"/>
      <c r="BJ52" s="285"/>
      <c r="BK52" s="285"/>
      <c r="BL52" s="285"/>
      <c r="BM52" s="285"/>
      <c r="BN52" s="285"/>
      <c r="BO52" s="285"/>
      <c r="BP52" s="285"/>
      <c r="BQ52" s="285"/>
      <c r="BR52" s="285"/>
      <c r="BS52" s="285"/>
      <c r="BT52" s="285"/>
      <c r="BU52" s="285"/>
    </row>
    <row r="53" spans="15:73">
      <c r="O53" s="285"/>
      <c r="P53" s="285"/>
      <c r="Q53" s="285"/>
      <c r="R53" s="285"/>
      <c r="S53" s="285"/>
      <c r="T53" s="285"/>
      <c r="U53" s="285"/>
      <c r="V53" s="285"/>
      <c r="W53" s="285"/>
      <c r="X53" s="285"/>
      <c r="Y53" s="285"/>
      <c r="Z53" s="285"/>
      <c r="AA53" s="285"/>
      <c r="AB53" s="285"/>
      <c r="AC53" s="285"/>
      <c r="AD53" s="285"/>
      <c r="AE53" s="285"/>
      <c r="AF53" s="285"/>
      <c r="AG53" s="285"/>
      <c r="AH53" s="285"/>
      <c r="AI53" s="285"/>
      <c r="AJ53" s="285"/>
      <c r="AK53" s="285"/>
      <c r="AL53" s="285"/>
      <c r="AM53" s="285"/>
      <c r="AN53" s="285"/>
      <c r="AO53" s="285"/>
      <c r="AP53" s="285"/>
      <c r="AQ53" s="285"/>
      <c r="AR53" s="285"/>
      <c r="AS53" s="285"/>
      <c r="AT53" s="285"/>
      <c r="AU53" s="285"/>
      <c r="AV53" s="285"/>
      <c r="AW53" s="285"/>
      <c r="AX53" s="285"/>
      <c r="AY53" s="285"/>
      <c r="AZ53" s="285"/>
      <c r="BA53" s="285"/>
      <c r="BB53" s="285"/>
      <c r="BC53" s="285"/>
      <c r="BD53" s="285"/>
      <c r="BE53" s="285"/>
      <c r="BF53" s="285"/>
      <c r="BG53" s="285"/>
      <c r="BH53" s="285"/>
      <c r="BI53" s="285"/>
      <c r="BJ53" s="285"/>
      <c r="BK53" s="285"/>
      <c r="BL53" s="285"/>
      <c r="BM53" s="285"/>
      <c r="BN53" s="285"/>
      <c r="BO53" s="285"/>
      <c r="BP53" s="285"/>
      <c r="BQ53" s="285"/>
      <c r="BR53" s="285"/>
      <c r="BS53" s="285"/>
      <c r="BT53" s="285"/>
      <c r="BU53" s="285"/>
    </row>
  </sheetData>
  <mergeCells count="10">
    <mergeCell ref="BB7:BC7"/>
    <mergeCell ref="BF7:BG7"/>
    <mergeCell ref="BJ7:BK7"/>
    <mergeCell ref="BN7:BO7"/>
    <mergeCell ref="E5:J5"/>
    <mergeCell ref="BR5:BT5"/>
    <mergeCell ref="BB5:BD5"/>
    <mergeCell ref="BF5:BH5"/>
    <mergeCell ref="BJ5:BL5"/>
    <mergeCell ref="BN5:BP5"/>
  </mergeCells>
  <pageMargins left="0.25" right="0.25" top="0.25" bottom="0.25" header="0.3" footer="0.3"/>
  <pageSetup scale="61" orientation="landscape" r:id="rId1"/>
  <headerFooter>
    <oddHeader>&amp;L&amp;"Aptos"&amp;10&amp;K000000 Internal Use Only&amp;1#_x000D_</oddHead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552BA-EE0D-4968-95D6-9FC936CC167E}">
  <sheetPr codeName="Sheet12">
    <tabColor theme="1" tint="0.34998626667073579"/>
  </sheetPr>
  <dimension ref="B1:AA19"/>
  <sheetViews>
    <sheetView showGridLines="0" workbookViewId="0"/>
  </sheetViews>
  <sheetFormatPr defaultColWidth="9.1796875" defaultRowHeight="12.5"/>
  <cols>
    <col min="1" max="1" width="1.453125" style="123" customWidth="1"/>
    <col min="2" max="2" width="32.81640625" style="26" customWidth="1"/>
    <col min="3" max="4" width="6.81640625" style="135" customWidth="1"/>
    <col min="5" max="7" width="7" style="26" customWidth="1"/>
    <col min="8" max="8" width="0.81640625" style="26" customWidth="1"/>
    <col min="9" max="10" width="7" style="26" customWidth="1"/>
    <col min="11" max="11" width="10.26953125" style="26" customWidth="1"/>
    <col min="12" max="12" width="0.81640625" style="26" customWidth="1"/>
    <col min="13" max="13" width="7.453125" style="26" hidden="1" customWidth="1"/>
    <col min="14" max="14" width="7" style="26" customWidth="1"/>
    <col min="15" max="15" width="7.453125" style="26" hidden="1" customWidth="1"/>
    <col min="16" max="16" width="0.81640625" style="26" customWidth="1"/>
    <col min="17" max="17" width="7.453125" style="26" hidden="1" customWidth="1"/>
    <col min="18" max="18" width="7" style="26" customWidth="1"/>
    <col min="19" max="19" width="7.453125" style="26" hidden="1" customWidth="1"/>
    <col min="20" max="20" width="0.81640625" style="26" customWidth="1"/>
    <col min="21" max="21" width="7.453125" style="26" hidden="1" customWidth="1"/>
    <col min="22" max="22" width="7" style="26" customWidth="1"/>
    <col min="23" max="23" width="7.453125" style="26" hidden="1" customWidth="1"/>
    <col min="24" max="24" width="0.81640625" style="26" customWidth="1"/>
    <col min="25" max="27" width="7" style="26" customWidth="1"/>
    <col min="28" max="16384" width="9.1796875" style="123"/>
  </cols>
  <sheetData>
    <row r="1" spans="2:27" ht="6.75" customHeight="1"/>
    <row r="2" spans="2:27">
      <c r="B2" s="26" t="str">
        <f>'2023 Control'!$C$3</f>
        <v>Concertiv</v>
      </c>
    </row>
    <row r="3" spans="2:27">
      <c r="B3" s="30" t="str">
        <f>TEXT(MONTH('2023 Control'!$C$4),"MMM")&amp;" "&amp;TEXT(('2023 Control'!$C$4),"YYYY")&amp;" Reporting Package"</f>
        <v>Jan 2023 Reporting Package</v>
      </c>
      <c r="C3" s="136"/>
      <c r="D3" s="136"/>
      <c r="E3" s="30"/>
      <c r="F3" s="30"/>
      <c r="G3" s="30"/>
      <c r="H3" s="30"/>
      <c r="I3" s="30"/>
      <c r="J3" s="30"/>
      <c r="K3" s="30"/>
      <c r="L3" s="30"/>
      <c r="M3" s="30"/>
      <c r="N3" s="30"/>
      <c r="O3" s="30"/>
      <c r="P3" s="30"/>
      <c r="Q3" s="30"/>
      <c r="R3" s="30"/>
      <c r="S3" s="30"/>
      <c r="T3" s="30"/>
      <c r="U3" s="30"/>
      <c r="V3" s="30"/>
      <c r="W3" s="30"/>
      <c r="X3" s="30"/>
      <c r="Y3" s="30"/>
      <c r="Z3" s="30"/>
      <c r="AA3" s="30"/>
    </row>
    <row r="4" spans="2:27" ht="20">
      <c r="B4" s="130" t="s">
        <v>198</v>
      </c>
      <c r="C4" s="137"/>
      <c r="D4" s="137"/>
      <c r="E4" s="130"/>
      <c r="F4" s="130"/>
      <c r="G4" s="130"/>
      <c r="H4" s="130"/>
      <c r="I4" s="130"/>
      <c r="J4" s="130"/>
      <c r="K4" s="130"/>
      <c r="L4" s="130"/>
      <c r="M4" s="130"/>
      <c r="N4" s="130"/>
      <c r="O4" s="130"/>
      <c r="P4" s="130"/>
      <c r="Q4" s="130"/>
      <c r="R4" s="130"/>
      <c r="S4" s="130"/>
      <c r="T4" s="130"/>
      <c r="U4" s="130"/>
      <c r="V4" s="130"/>
      <c r="W4" s="130"/>
      <c r="X4" s="130"/>
      <c r="Y4" s="130"/>
      <c r="Z4" s="130"/>
      <c r="AA4" s="130"/>
    </row>
    <row r="5" spans="2:27" ht="15.75" customHeight="1" thickBot="1">
      <c r="E5" s="388" t="s">
        <v>33</v>
      </c>
      <c r="F5" s="388"/>
      <c r="G5" s="388"/>
      <c r="H5" s="146"/>
      <c r="I5" s="389">
        <v>1</v>
      </c>
      <c r="J5" s="389"/>
      <c r="K5" s="389"/>
      <c r="L5" s="146"/>
      <c r="M5" s="389">
        <v>2</v>
      </c>
      <c r="N5" s="389"/>
      <c r="O5" s="389"/>
      <c r="P5" s="146"/>
      <c r="Q5" s="389">
        <v>3</v>
      </c>
      <c r="R5" s="389"/>
      <c r="S5" s="389"/>
      <c r="T5" s="146"/>
      <c r="U5" s="389">
        <v>4</v>
      </c>
      <c r="V5" s="389"/>
      <c r="W5" s="389"/>
      <c r="X5" s="146"/>
      <c r="Y5" s="388" t="s">
        <v>34</v>
      </c>
      <c r="Z5" s="388"/>
      <c r="AA5" s="388"/>
    </row>
    <row r="6" spans="2:27" ht="13.5" thickBot="1">
      <c r="D6" s="167" t="s">
        <v>35</v>
      </c>
      <c r="E6" s="203">
        <v>44957</v>
      </c>
      <c r="F6" s="203">
        <v>44985</v>
      </c>
      <c r="G6" s="203">
        <v>45016</v>
      </c>
      <c r="I6" s="118" t="s">
        <v>36</v>
      </c>
      <c r="J6" s="117" t="s">
        <v>37</v>
      </c>
      <c r="K6" s="117" t="s">
        <v>38</v>
      </c>
      <c r="M6" s="118" t="s">
        <v>36</v>
      </c>
      <c r="N6" s="117" t="s">
        <v>37</v>
      </c>
      <c r="O6" s="117" t="s">
        <v>38</v>
      </c>
      <c r="Q6" s="118" t="s">
        <v>36</v>
      </c>
      <c r="R6" s="117" t="s">
        <v>37</v>
      </c>
      <c r="S6" s="117" t="s">
        <v>38</v>
      </c>
      <c r="U6" s="118" t="s">
        <v>36</v>
      </c>
      <c r="V6" s="117" t="s">
        <v>37</v>
      </c>
      <c r="W6" s="117" t="s">
        <v>38</v>
      </c>
      <c r="Y6" s="118" t="s">
        <v>39</v>
      </c>
      <c r="Z6" s="117" t="s">
        <v>37</v>
      </c>
      <c r="AA6" s="117" t="s">
        <v>38</v>
      </c>
    </row>
    <row r="7" spans="2:27">
      <c r="E7" s="120"/>
      <c r="F7" s="120"/>
      <c r="G7" s="120"/>
      <c r="I7" s="121"/>
      <c r="J7" s="121"/>
      <c r="K7" s="120"/>
      <c r="M7" s="121"/>
      <c r="N7" s="121"/>
      <c r="O7" s="120"/>
      <c r="Q7" s="121"/>
      <c r="R7" s="121"/>
      <c r="S7" s="120"/>
      <c r="U7" s="121"/>
      <c r="V7" s="121"/>
      <c r="W7" s="120"/>
      <c r="Y7" s="121"/>
      <c r="Z7" s="121"/>
      <c r="AA7" s="120"/>
    </row>
    <row r="8" spans="2:27" ht="13">
      <c r="B8" s="126" t="s">
        <v>198</v>
      </c>
      <c r="C8" s="138"/>
      <c r="D8" s="138"/>
      <c r="E8" s="127"/>
      <c r="F8" s="127"/>
      <c r="G8" s="127"/>
      <c r="H8" s="127"/>
      <c r="I8" s="127"/>
      <c r="J8" s="127"/>
      <c r="K8" s="127"/>
      <c r="L8" s="127"/>
      <c r="M8" s="127"/>
      <c r="N8" s="127"/>
      <c r="O8" s="127"/>
      <c r="P8" s="127"/>
      <c r="Q8" s="127"/>
      <c r="R8" s="127"/>
      <c r="S8" s="127"/>
      <c r="T8" s="127"/>
      <c r="U8" s="127"/>
      <c r="V8" s="127"/>
      <c r="W8" s="127"/>
      <c r="X8" s="127"/>
      <c r="Y8" s="127"/>
      <c r="Z8" s="127"/>
      <c r="AA8" s="127"/>
    </row>
    <row r="9" spans="2:27">
      <c r="B9" s="26" t="s">
        <v>199</v>
      </c>
      <c r="C9" s="139" t="s">
        <v>200</v>
      </c>
      <c r="D9" s="171" t="str">
        <f>VLOOKUP($B$4&amp;" "&amp;$B9,Actuals!$D$4:$AG$131,3,FALSE)</f>
        <v>#</v>
      </c>
      <c r="E9" s="168" t="str">
        <f>VLOOKUP($B$4&amp;" "&amp;$B9,Actuals!$D$4:$AG$131,MONTH(E$6)+4,FALSE)</f>
        <v>N/A</v>
      </c>
      <c r="F9" s="168" t="str">
        <f>VLOOKUP($B$4&amp;" "&amp;$B9,Actuals!$D$4:$AG$131,MONTH(F$6)+4,FALSE)</f>
        <v>N/A</v>
      </c>
      <c r="G9" s="168" t="str">
        <f>VLOOKUP($B$4&amp;" "&amp;$B9,Actuals!$D$4:$AG$131,MONTH(G$6)+4,FALSE)</f>
        <v>N/A</v>
      </c>
      <c r="H9" s="168"/>
      <c r="I9" s="168">
        <f>VLOOKUP($B$4&amp;" "&amp;$B9,Actuals!$BG$4:$BL$131,$I$5+1,FALSE)</f>
        <v>0</v>
      </c>
      <c r="J9" s="168">
        <f>VLOOKUP($B$4&amp;" "&amp;$B9,Budget!$AG$4:$AL$132,$I$5+1,FALSE)</f>
        <v>0</v>
      </c>
      <c r="K9" s="168">
        <f>I9-J9</f>
        <v>0</v>
      </c>
      <c r="L9" s="168"/>
      <c r="M9" s="168"/>
      <c r="N9" s="168">
        <f>VLOOKUP($B$4&amp;" "&amp;$B9,Budget!$AG$4:$AL$132,M$5+1,FALSE)</f>
        <v>0</v>
      </c>
      <c r="O9" s="168"/>
      <c r="P9" s="168"/>
      <c r="Q9" s="168"/>
      <c r="R9" s="168">
        <f>VLOOKUP($B$4&amp;" "&amp;$B9,Budget!$AG$4:$AL$132,Q$5+1,FALSE)</f>
        <v>0</v>
      </c>
      <c r="S9" s="168"/>
      <c r="T9" s="168"/>
      <c r="U9" s="168"/>
      <c r="V9" s="168">
        <f>VLOOKUP($B$4&amp;" "&amp;$B9,Budget!$AG$4:$AL$132,U$5+1,FALSE)</f>
        <v>0</v>
      </c>
      <c r="W9" s="168"/>
      <c r="X9" s="168"/>
      <c r="Y9" s="168">
        <f ca="1">VLOOKUP($B$4&amp;" "&amp;$B9,Actuals!$BG$4:$BL$131,6,FALSE)</f>
        <v>0</v>
      </c>
      <c r="Z9" s="168">
        <f ca="1">VLOOKUP($B$4&amp;" "&amp;$B9,Budget!$AG$4:$AL$132,6,FALSE)</f>
        <v>0</v>
      </c>
      <c r="AA9" s="168">
        <f ca="1">Y9-Z9</f>
        <v>0</v>
      </c>
    </row>
    <row r="10" spans="2:27">
      <c r="B10" s="27" t="s">
        <v>201</v>
      </c>
      <c r="C10" s="139" t="s">
        <v>49</v>
      </c>
      <c r="D10" s="171" t="str">
        <f>VLOOKUP($B$4&amp;" "&amp;$B10,Actuals!$D$4:$AG$131,3,FALSE)</f>
        <v>#</v>
      </c>
      <c r="E10" s="168" t="str">
        <f>VLOOKUP($B$4&amp;" "&amp;$B10,Actuals!$D$4:$AG$131,MONTH(E$6)+4,FALSE)</f>
        <v>N/A</v>
      </c>
      <c r="F10" s="168" t="str">
        <f>VLOOKUP($B$4&amp;" "&amp;$B10,Actuals!$D$4:$AG$131,MONTH(F$6)+4,FALSE)</f>
        <v>N/A</v>
      </c>
      <c r="G10" s="168" t="str">
        <f>VLOOKUP($B$4&amp;" "&amp;$B10,Actuals!$D$4:$AG$131,MONTH(G$6)+4,FALSE)</f>
        <v>N/A</v>
      </c>
      <c r="H10" s="168"/>
      <c r="I10" s="168">
        <f>VLOOKUP($B$4&amp;" "&amp;$B10,Actuals!$BG$4:$BL$131,$I$5+1,FALSE)</f>
        <v>0</v>
      </c>
      <c r="J10" s="168">
        <f>VLOOKUP($B$4&amp;" "&amp;$B10,Budget!$AG$4:$AL$132,$I$5+1,FALSE)</f>
        <v>0</v>
      </c>
      <c r="K10" s="168">
        <f>I10-J10</f>
        <v>0</v>
      </c>
      <c r="L10" s="168"/>
      <c r="M10" s="168"/>
      <c r="N10" s="168">
        <f>VLOOKUP($B$4&amp;" "&amp;$B10,Budget!$AG$4:$AL$132,M$5+1,FALSE)</f>
        <v>0</v>
      </c>
      <c r="O10" s="168"/>
      <c r="P10" s="168"/>
      <c r="Q10" s="168"/>
      <c r="R10" s="168">
        <f>VLOOKUP($B$4&amp;" "&amp;$B10,Budget!$AG$4:$AL$132,Q$5+1,FALSE)</f>
        <v>0</v>
      </c>
      <c r="S10" s="168"/>
      <c r="T10" s="168"/>
      <c r="U10" s="168"/>
      <c r="V10" s="168">
        <f>VLOOKUP($B$4&amp;" "&amp;$B10,Budget!$AG$4:$AL$132,U$5+1,FALSE)</f>
        <v>0</v>
      </c>
      <c r="W10" s="168"/>
      <c r="X10" s="168"/>
      <c r="Y10" s="168">
        <f ca="1">VLOOKUP($B$4&amp;" "&amp;$B10,Actuals!$BG$4:$BL$131,6,FALSE)</f>
        <v>0</v>
      </c>
      <c r="Z10" s="168">
        <f ca="1">VLOOKUP($B$4&amp;" "&amp;$B10,Budget!$AG$4:$AL$132,6,FALSE)</f>
        <v>0</v>
      </c>
      <c r="AA10" s="168">
        <f ca="1">Y10-Z10</f>
        <v>0</v>
      </c>
    </row>
    <row r="11" spans="2:27">
      <c r="B11" s="132" t="s">
        <v>202</v>
      </c>
      <c r="C11" s="139" t="s">
        <v>49</v>
      </c>
      <c r="D11" s="171" t="str">
        <f>VLOOKUP($B$4&amp;" "&amp;$B11,Actuals!$D$4:$AG$131,3,FALSE)</f>
        <v>#</v>
      </c>
      <c r="E11" s="168" t="str">
        <f>VLOOKUP($B$4&amp;" "&amp;$B11,Actuals!$D$4:$AG$131,MONTH(E$6)+4,FALSE)</f>
        <v>N/A</v>
      </c>
      <c r="F11" s="168" t="str">
        <f>VLOOKUP($B$4&amp;" "&amp;$B11,Actuals!$D$4:$AG$131,MONTH(F$6)+4,FALSE)</f>
        <v>N/A</v>
      </c>
      <c r="G11" s="168" t="str">
        <f>VLOOKUP($B$4&amp;" "&amp;$B11,Actuals!$D$4:$AG$131,MONTH(G$6)+4,FALSE)</f>
        <v>N/A</v>
      </c>
      <c r="H11" s="168"/>
      <c r="I11" s="168">
        <f>VLOOKUP($B$4&amp;" "&amp;$B11,Actuals!$BG$4:$BL$131,$I$5+1,FALSE)</f>
        <v>0</v>
      </c>
      <c r="J11" s="168">
        <f>VLOOKUP($B$4&amp;" "&amp;$B11,Budget!$AG$4:$AL$132,$I$5+1,FALSE)</f>
        <v>0</v>
      </c>
      <c r="K11" s="168">
        <f>I11-J11</f>
        <v>0</v>
      </c>
      <c r="L11" s="168"/>
      <c r="M11" s="168"/>
      <c r="N11" s="168">
        <f>VLOOKUP($B$4&amp;" "&amp;$B11,Budget!$AG$4:$AL$132,M$5+1,FALSE)</f>
        <v>0</v>
      </c>
      <c r="O11" s="168"/>
      <c r="P11" s="168"/>
      <c r="Q11" s="168"/>
      <c r="R11" s="168">
        <f>VLOOKUP($B$4&amp;" "&amp;$B11,Budget!$AG$4:$AL$132,Q$5+1,FALSE)</f>
        <v>0</v>
      </c>
      <c r="S11" s="168"/>
      <c r="T11" s="168"/>
      <c r="U11" s="168"/>
      <c r="V11" s="168">
        <f>VLOOKUP($B$4&amp;" "&amp;$B11,Budget!$AG$4:$AL$132,U$5+1,FALSE)</f>
        <v>0</v>
      </c>
      <c r="W11" s="168"/>
      <c r="X11" s="168"/>
      <c r="Y11" s="168">
        <f ca="1">VLOOKUP($B$4&amp;" "&amp;$B11,Actuals!$BG$4:$BL$131,6,FALSE)</f>
        <v>0</v>
      </c>
      <c r="Z11" s="168">
        <f ca="1">VLOOKUP($B$4&amp;" "&amp;$B11,Budget!$AG$4:$AL$132,6,FALSE)</f>
        <v>0</v>
      </c>
      <c r="AA11" s="168">
        <f ca="1">Y11-Z11</f>
        <v>0</v>
      </c>
    </row>
    <row r="12" spans="2:27">
      <c r="B12" s="26" t="s">
        <v>203</v>
      </c>
      <c r="C12" s="142" t="s">
        <v>47</v>
      </c>
      <c r="D12" s="172" t="str">
        <f>VLOOKUP($B$4&amp;" "&amp;$B12,Actuals!$D$4:$AG$131,3,FALSE)</f>
        <v>#</v>
      </c>
      <c r="E12" s="182" t="str">
        <f>VLOOKUP($B$4&amp;" "&amp;$B12,Actuals!$D$4:$AG$131,MONTH(E$6)+4,FALSE)</f>
        <v>N/A</v>
      </c>
      <c r="F12" s="182" t="str">
        <f>VLOOKUP($B$4&amp;" "&amp;$B12,Actuals!$D$4:$AG$131,MONTH(F$6)+4,FALSE)</f>
        <v>N/A</v>
      </c>
      <c r="G12" s="182" t="str">
        <f>VLOOKUP($B$4&amp;" "&amp;$B12,Actuals!$D$4:$AG$131,MONTH(G$6)+4,FALSE)</f>
        <v>N/A</v>
      </c>
      <c r="H12" s="182"/>
      <c r="I12" s="182">
        <f>VLOOKUP($B$4&amp;" "&amp;$B12,Actuals!$BG$4:$BL$131,$I$5+1,FALSE)</f>
        <v>0</v>
      </c>
      <c r="J12" s="182">
        <f>VLOOKUP($B$4&amp;" "&amp;$B12,Budget!$AG$4:$AL$132,$I$5+1,FALSE)</f>
        <v>0</v>
      </c>
      <c r="K12" s="182">
        <f>I12-J12</f>
        <v>0</v>
      </c>
      <c r="L12" s="182"/>
      <c r="M12" s="182"/>
      <c r="N12" s="182">
        <f>VLOOKUP($B$4&amp;" "&amp;$B12,Budget!$AG$4:$AL$132,M$5+1,FALSE)</f>
        <v>0</v>
      </c>
      <c r="O12" s="182"/>
      <c r="P12" s="182"/>
      <c r="Q12" s="182"/>
      <c r="R12" s="182">
        <f>VLOOKUP($B$4&amp;" "&amp;$B12,Budget!$AG$4:$AL$132,Q$5+1,FALSE)</f>
        <v>0</v>
      </c>
      <c r="S12" s="182"/>
      <c r="T12" s="182"/>
      <c r="U12" s="182"/>
      <c r="V12" s="182">
        <f>VLOOKUP($B$4&amp;" "&amp;$B12,Budget!$AG$4:$AL$132,U$5+1,FALSE)</f>
        <v>0</v>
      </c>
      <c r="W12" s="182"/>
      <c r="X12" s="182"/>
      <c r="Y12" s="182">
        <f ca="1">VLOOKUP($B$4&amp;" "&amp;$B12,Actuals!$BG$4:$BL$131,6,FALSE)</f>
        <v>0</v>
      </c>
      <c r="Z12" s="182">
        <f ca="1">VLOOKUP($B$4&amp;" "&amp;$B12,Budget!$AG$4:$AL$132,6,FALSE)</f>
        <v>0</v>
      </c>
      <c r="AA12" s="182">
        <f ca="1">Y12-Z12</f>
        <v>0</v>
      </c>
    </row>
    <row r="13" spans="2:27">
      <c r="C13" s="139"/>
      <c r="D13" s="171"/>
    </row>
    <row r="14" spans="2:27">
      <c r="B14" s="26" t="s">
        <v>204</v>
      </c>
      <c r="C14" s="139" t="s">
        <v>47</v>
      </c>
      <c r="D14" s="171" t="str">
        <f>VLOOKUP($B$4&amp;" "&amp;$B14,Actuals!$D$4:$AG$131,3,FALSE)</f>
        <v>#</v>
      </c>
      <c r="E14" s="162" t="str">
        <f>VLOOKUP($B$4&amp;" "&amp;$B14,Actuals!$D$4:$AG$131,MONTH(E$6)+4,FALSE)</f>
        <v>N/A</v>
      </c>
      <c r="F14" s="162" t="str">
        <f>VLOOKUP($B$4&amp;" "&amp;$B14,Actuals!$D$4:$AG$131,MONTH(F$6)+4,FALSE)</f>
        <v>N/A</v>
      </c>
      <c r="G14" s="162" t="str">
        <f>VLOOKUP($B$4&amp;" "&amp;$B14,Actuals!$D$4:$AG$131,MONTH(G$6)+4,FALSE)</f>
        <v>N/A</v>
      </c>
      <c r="H14" s="162"/>
      <c r="I14" s="162" t="str">
        <f>VLOOKUP($B$4&amp;" "&amp;$B14,Actuals!$BG$4:$BL$131,$I$5+1,FALSE)</f>
        <v>-</v>
      </c>
      <c r="J14" s="162" t="e">
        <f>VLOOKUP($B$4&amp;" "&amp;$B14,Budget!$AG$4:$AL$132,$I$5+1,FALSE)</f>
        <v>#DIV/0!</v>
      </c>
      <c r="K14" s="162" t="e">
        <f>I14-J14</f>
        <v>#VALUE!</v>
      </c>
      <c r="L14" s="162"/>
      <c r="M14" s="162"/>
      <c r="N14" s="162" t="e">
        <f>VLOOKUP($B$4&amp;" "&amp;$B14,Budget!$AG$4:$AL$132,M$5+1,FALSE)</f>
        <v>#DIV/0!</v>
      </c>
      <c r="O14" s="162"/>
      <c r="P14" s="162"/>
      <c r="Q14" s="162"/>
      <c r="R14" s="162" t="e">
        <f>VLOOKUP($B$4&amp;" "&amp;$B14,Budget!$AG$4:$AL$132,Q$5+1,FALSE)</f>
        <v>#DIV/0!</v>
      </c>
      <c r="S14" s="162"/>
      <c r="T14" s="162"/>
      <c r="U14" s="162"/>
      <c r="V14" s="162" t="e">
        <f>VLOOKUP($B$4&amp;" "&amp;$B14,Budget!$AG$4:$AL$132,U$5+1,FALSE)</f>
        <v>#DIV/0!</v>
      </c>
      <c r="W14" s="162"/>
      <c r="X14" s="162"/>
      <c r="Y14" s="162">
        <f ca="1">VLOOKUP($B$4&amp;" "&amp;$B14,Actuals!$BG$4:$BL$131,6,FALSE)</f>
        <v>0</v>
      </c>
      <c r="Z14" s="162">
        <f ca="1">VLOOKUP($B$4&amp;" "&amp;$B14,Budget!$AG$4:$AL$132,6,FALSE)</f>
        <v>0</v>
      </c>
      <c r="AA14" s="162">
        <f ca="1">Y14-Z14</f>
        <v>0</v>
      </c>
    </row>
    <row r="15" spans="2:27">
      <c r="B15" s="26" t="s">
        <v>205</v>
      </c>
      <c r="C15" s="139" t="s">
        <v>47</v>
      </c>
      <c r="D15" s="171" t="str">
        <f>VLOOKUP($B$4&amp;" "&amp;$B15,Actuals!$D$4:$AG$131,3,FALSE)</f>
        <v>$</v>
      </c>
      <c r="E15" s="162" t="str">
        <f>VLOOKUP($B$4&amp;" "&amp;$B15,Actuals!$D$4:$AG$131,MONTH(E$6)+4,FALSE)</f>
        <v>N/A</v>
      </c>
      <c r="F15" s="162" t="str">
        <f>VLOOKUP($B$4&amp;" "&amp;$B15,Actuals!$D$4:$AG$131,MONTH(F$6)+4,FALSE)</f>
        <v>N/A</v>
      </c>
      <c r="G15" s="162" t="str">
        <f>VLOOKUP($B$4&amp;" "&amp;$B15,Actuals!$D$4:$AG$131,MONTH(G$6)+4,FALSE)</f>
        <v>N/A</v>
      </c>
      <c r="H15" s="162"/>
      <c r="I15" s="162">
        <f>VLOOKUP($B$4&amp;" "&amp;$B15,Actuals!$BG$4:$BL$131,$I$5+1,FALSE)</f>
        <v>0</v>
      </c>
      <c r="J15" s="162">
        <f>VLOOKUP($B$4&amp;" "&amp;$B15,Budget!$AG$4:$AL$132,$I$5+1,FALSE)</f>
        <v>0</v>
      </c>
      <c r="K15" s="162">
        <f>I15-J15</f>
        <v>0</v>
      </c>
      <c r="L15" s="162"/>
      <c r="M15" s="162"/>
      <c r="N15" s="162">
        <f>VLOOKUP($B$4&amp;" "&amp;$B15,Budget!$AG$4:$AL$132,M$5+1,FALSE)</f>
        <v>0</v>
      </c>
      <c r="O15" s="162"/>
      <c r="P15" s="162"/>
      <c r="Q15" s="162"/>
      <c r="R15" s="162">
        <f>VLOOKUP($B$4&amp;" "&amp;$B15,Budget!$AG$4:$AL$132,Q$5+1,FALSE)</f>
        <v>0</v>
      </c>
      <c r="S15" s="162"/>
      <c r="T15" s="162"/>
      <c r="U15" s="162"/>
      <c r="V15" s="162">
        <f>VLOOKUP($B$4&amp;" "&amp;$B15,Budget!$AG$4:$AL$132,U$5+1,FALSE)</f>
        <v>0</v>
      </c>
      <c r="W15" s="162"/>
      <c r="X15" s="162"/>
      <c r="Y15" s="162">
        <f ca="1">VLOOKUP($B$4&amp;" "&amp;$B15,Actuals!$BG$4:$BL$131,6,FALSE)</f>
        <v>0</v>
      </c>
      <c r="Z15" s="162">
        <f ca="1">VLOOKUP($B$4&amp;" "&amp;$B15,Budget!$AG$4:$AL$132,6,FALSE)</f>
        <v>0</v>
      </c>
      <c r="AA15" s="162">
        <f ca="1">Y15-Z15</f>
        <v>0</v>
      </c>
    </row>
    <row r="16" spans="2:27">
      <c r="C16" s="141"/>
      <c r="D16" s="177"/>
    </row>
    <row r="17" spans="2:27" ht="13">
      <c r="B17" s="126" t="s">
        <v>57</v>
      </c>
      <c r="C17" s="143"/>
      <c r="D17" s="178"/>
      <c r="E17" s="128"/>
      <c r="F17" s="128"/>
      <c r="G17" s="128"/>
      <c r="H17" s="128"/>
      <c r="I17" s="128"/>
      <c r="J17" s="128"/>
      <c r="K17" s="128"/>
      <c r="L17" s="128"/>
      <c r="M17" s="128"/>
      <c r="N17" s="128"/>
      <c r="O17" s="128"/>
      <c r="P17" s="128"/>
      <c r="Q17" s="128"/>
      <c r="R17" s="128"/>
      <c r="S17" s="128"/>
      <c r="T17" s="128"/>
      <c r="U17" s="128"/>
      <c r="V17" s="128"/>
      <c r="W17" s="128"/>
      <c r="X17" s="128"/>
      <c r="Y17" s="128"/>
      <c r="Z17" s="128"/>
      <c r="AA17" s="128"/>
    </row>
    <row r="18" spans="2:27">
      <c r="B18" s="26" t="s">
        <v>97</v>
      </c>
      <c r="C18" s="139" t="s">
        <v>47</v>
      </c>
      <c r="D18" s="171" t="str">
        <f>VLOOKUP($B$4&amp;" "&amp;$B18,Actuals!$D$4:$AG$131,3,FALSE)</f>
        <v>#</v>
      </c>
      <c r="E18" s="168" t="str">
        <f>VLOOKUP($B$4&amp;" "&amp;$B18,Actuals!$D$4:$AG$131,MONTH(E$6)+4,FALSE)</f>
        <v>N/A</v>
      </c>
      <c r="F18" s="168" t="str">
        <f>VLOOKUP($B$4&amp;" "&amp;$B18,Actuals!$D$4:$AG$131,MONTH(F$6)+4,FALSE)</f>
        <v>N/A</v>
      </c>
      <c r="G18" s="168" t="str">
        <f>VLOOKUP($B$4&amp;" "&amp;$B18,Actuals!$D$4:$AG$131,MONTH(G$6)+4,FALSE)</f>
        <v>N/A</v>
      </c>
      <c r="H18" s="168"/>
      <c r="I18" s="168">
        <f>VLOOKUP($B$4&amp;" "&amp;$B18,Actuals!$BG$4:$BL$131,$I$5+1,FALSE)</f>
        <v>0</v>
      </c>
      <c r="J18" s="168">
        <f>VLOOKUP($B$4&amp;" "&amp;$B18,Budget!$AG$4:$AL$132,$I$5+1,FALSE)</f>
        <v>0</v>
      </c>
      <c r="K18" s="168">
        <f>I18-J18</f>
        <v>0</v>
      </c>
      <c r="L18" s="168"/>
      <c r="M18" s="168"/>
      <c r="N18" s="168">
        <f>VLOOKUP($B$4&amp;" "&amp;$B18,Budget!$AG$4:$AL$132,M$5+1,FALSE)</f>
        <v>0</v>
      </c>
      <c r="O18" s="168"/>
      <c r="P18" s="168"/>
      <c r="Q18" s="168"/>
      <c r="R18" s="168">
        <f>VLOOKUP($B$4&amp;" "&amp;$B18,Budget!$AG$4:$AL$132,Q$5+1,FALSE)</f>
        <v>0</v>
      </c>
      <c r="S18" s="168"/>
      <c r="T18" s="168"/>
      <c r="U18" s="168"/>
      <c r="V18" s="168">
        <f>VLOOKUP($B$4&amp;" "&amp;$B18,Budget!$AG$4:$AL$132,U$5+1,FALSE)</f>
        <v>0</v>
      </c>
      <c r="W18" s="168"/>
      <c r="X18" s="168"/>
      <c r="Y18" s="168">
        <f ca="1">VLOOKUP($B$4&amp;" "&amp;$B18,Actuals!$BG$4:$BL$131,6,FALSE)</f>
        <v>0</v>
      </c>
      <c r="Z18" s="168">
        <f ca="1">VLOOKUP($B$4&amp;" "&amp;$B18,Budget!$AG$4:$AL$132,6,FALSE)</f>
        <v>0</v>
      </c>
      <c r="AA18" s="168">
        <f ca="1">Y18-Z18</f>
        <v>0</v>
      </c>
    </row>
    <row r="19" spans="2:27">
      <c r="B19" s="26" t="s">
        <v>206</v>
      </c>
      <c r="C19" s="139" t="s">
        <v>49</v>
      </c>
      <c r="D19" s="171" t="str">
        <f>VLOOKUP($B$4&amp;" "&amp;$B19,Actuals!$D$4:$AG$131,3,FALSE)</f>
        <v>$</v>
      </c>
      <c r="E19" s="162" t="str">
        <f>VLOOKUP($B$4&amp;" "&amp;$B19,Actuals!$D$4:$AG$131,MONTH(E$6)+4,FALSE)</f>
        <v>N/A</v>
      </c>
      <c r="F19" s="162" t="str">
        <f>VLOOKUP($B$4&amp;" "&amp;$B19,Actuals!$D$4:$AG$131,MONTH(F$6)+4,FALSE)</f>
        <v>N/A</v>
      </c>
      <c r="G19" s="162" t="str">
        <f>VLOOKUP($B$4&amp;" "&amp;$B19,Actuals!$D$4:$AG$131,MONTH(G$6)+4,FALSE)</f>
        <v>N/A</v>
      </c>
      <c r="H19" s="162"/>
      <c r="I19" s="162">
        <f>VLOOKUP($B$4&amp;" "&amp;$B19,Actuals!$BG$4:$BL$131,$I$5+1,FALSE)</f>
        <v>0</v>
      </c>
      <c r="J19" s="162">
        <f>VLOOKUP($B$4&amp;" "&amp;$B19,Budget!$AG$4:$AL$132,$I$5+1,FALSE)</f>
        <v>0</v>
      </c>
      <c r="K19" s="162">
        <f>I19-J19</f>
        <v>0</v>
      </c>
      <c r="L19" s="162"/>
      <c r="M19" s="162"/>
      <c r="N19" s="162">
        <f>VLOOKUP($B$4&amp;" "&amp;$B19,Budget!$AG$4:$AL$132,M$5+1,FALSE)</f>
        <v>0</v>
      </c>
      <c r="O19" s="162"/>
      <c r="P19" s="162"/>
      <c r="Q19" s="162"/>
      <c r="R19" s="162">
        <f>VLOOKUP($B$4&amp;" "&amp;$B19,Budget!$AG$4:$AL$132,Q$5+1,FALSE)</f>
        <v>0</v>
      </c>
      <c r="S19" s="162"/>
      <c r="T19" s="162"/>
      <c r="U19" s="162"/>
      <c r="V19" s="162">
        <f>VLOOKUP($B$4&amp;" "&amp;$B19,Budget!$AG$4:$AL$132,U$5+1,FALSE)</f>
        <v>0</v>
      </c>
      <c r="W19" s="162"/>
      <c r="X19" s="162"/>
      <c r="Y19" s="162">
        <f ca="1">VLOOKUP($B$4&amp;" "&amp;$B19,Actuals!$BG$4:$BL$131,6,FALSE)</f>
        <v>0</v>
      </c>
      <c r="Z19" s="162">
        <f ca="1">VLOOKUP($B$4&amp;" "&amp;$B19,Budget!$AG$4:$AL$132,6,FALSE)</f>
        <v>0</v>
      </c>
      <c r="AA19" s="162">
        <f ca="1">Y19-Z19</f>
        <v>0</v>
      </c>
    </row>
  </sheetData>
  <mergeCells count="6">
    <mergeCell ref="Y5:AA5"/>
    <mergeCell ref="E5:G5"/>
    <mergeCell ref="I5:K5"/>
    <mergeCell ref="M5:O5"/>
    <mergeCell ref="Q5:S5"/>
    <mergeCell ref="U5:W5"/>
  </mergeCells>
  <pageMargins left="0.25" right="0.25" top="0.25" bottom="0.25" header="0.3" footer="0.3"/>
  <pageSetup scale="93" fitToHeight="0" orientation="landscape" r:id="rId1"/>
  <headerFooter>
    <oddHeader>&amp;L&amp;"Aptos"&amp;10&amp;K000000 Internal Use Only&amp;1#_x000D_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154EA-89AB-430B-A3E9-58EF25BBBAD5}">
  <sheetPr codeName="Sheet13">
    <tabColor rgb="FF7030A0"/>
    <pageSetUpPr fitToPage="1"/>
  </sheetPr>
  <dimension ref="B1:BW53"/>
  <sheetViews>
    <sheetView showGridLines="0" zoomScaleNormal="100" workbookViewId="0">
      <selection activeCell="AO43" sqref="AO43"/>
    </sheetView>
  </sheetViews>
  <sheetFormatPr defaultColWidth="9.1796875" defaultRowHeight="12.5" outlineLevelCol="2"/>
  <cols>
    <col min="1" max="1" width="1.453125" style="123" customWidth="1"/>
    <col min="2" max="2" width="32.81640625" style="26" customWidth="1"/>
    <col min="3" max="4" width="6.81640625" style="135" customWidth="1"/>
    <col min="5" max="7" width="13.453125" style="123" hidden="1" customWidth="1" outlineLevel="2"/>
    <col min="8" max="8" width="13.453125" style="123" hidden="1" customWidth="1" outlineLevel="1" collapsed="1"/>
    <col min="9" max="9" width="13.453125" style="123" hidden="1" customWidth="1" outlineLevel="1"/>
    <col min="10" max="10" width="12.453125" style="123" hidden="1" customWidth="1" outlineLevel="1"/>
    <col min="11" max="11" width="13.453125" style="123" hidden="1" customWidth="1" collapsed="1"/>
    <col min="12" max="12" width="13.453125" style="123" hidden="1" customWidth="1"/>
    <col min="13" max="16" width="12.453125" style="123" hidden="1" customWidth="1"/>
    <col min="17" max="28" width="12.453125" style="123" hidden="1" customWidth="1" outlineLevel="1"/>
    <col min="29" max="29" width="12.453125" style="123" hidden="1" customWidth="1" outlineLevel="1" collapsed="1"/>
    <col min="30" max="40" width="12.453125" style="123" hidden="1" customWidth="1" outlineLevel="1"/>
    <col min="41" max="41" width="12.453125" style="123" customWidth="1" collapsed="1"/>
    <col min="42" max="52" width="12.453125" style="123" customWidth="1"/>
    <col min="53" max="53" width="2.453125" style="123" hidden="1" customWidth="1" outlineLevel="1"/>
    <col min="54" max="55" width="11.453125" style="123" hidden="1" customWidth="1" outlineLevel="1"/>
    <col min="56" max="56" width="13.453125" style="123" hidden="1" customWidth="1" outlineLevel="1"/>
    <col min="57" max="57" width="0.81640625" style="123" hidden="1" customWidth="1" outlineLevel="1"/>
    <col min="58" max="58" width="12.453125" style="123" hidden="1" customWidth="1" outlineLevel="1"/>
    <col min="59" max="59" width="13.453125" style="123" hidden="1" customWidth="1" outlineLevel="1"/>
    <col min="60" max="60" width="12.453125" style="123" hidden="1" customWidth="1" outlineLevel="1"/>
    <col min="61" max="61" width="0.81640625" style="123" hidden="1" customWidth="1" outlineLevel="1"/>
    <col min="62" max="62" width="11.1796875" style="123" hidden="1" customWidth="1" outlineLevel="1"/>
    <col min="63" max="63" width="13.453125" style="123" hidden="1" customWidth="1" outlineLevel="1"/>
    <col min="64" max="64" width="12.7265625" style="123" hidden="1" customWidth="1" outlineLevel="1"/>
    <col min="65" max="65" width="0.81640625" style="123" hidden="1" customWidth="1" outlineLevel="1"/>
    <col min="66" max="66" width="11.1796875" style="123" hidden="1" customWidth="1" outlineLevel="1"/>
    <col min="67" max="67" width="15.453125" style="123" hidden="1" customWidth="1" outlineLevel="1"/>
    <col min="68" max="68" width="9.1796875" style="123" hidden="1" customWidth="1" outlineLevel="1"/>
    <col min="69" max="69" width="0.81640625" style="123" hidden="1" customWidth="1" outlineLevel="1"/>
    <col min="70" max="72" width="12.7265625" style="123" hidden="1" customWidth="1" outlineLevel="1"/>
    <col min="73" max="73" width="0.81640625" style="123" hidden="1" customWidth="1" outlineLevel="1"/>
    <col min="74" max="74" width="11.453125" style="328" hidden="1" customWidth="1" outlineLevel="1"/>
    <col min="75" max="75" width="12.453125" style="123" bestFit="1" customWidth="1" collapsed="1"/>
    <col min="76" max="16384" width="9.1796875" style="123"/>
  </cols>
  <sheetData>
    <row r="1" spans="2:74" ht="6.75" customHeight="1">
      <c r="E1" s="26"/>
      <c r="F1" s="26"/>
      <c r="G1" s="26"/>
      <c r="H1" s="26"/>
      <c r="I1" s="26"/>
      <c r="J1" s="26" t="s">
        <v>31</v>
      </c>
      <c r="K1" s="26"/>
      <c r="L1" s="26"/>
      <c r="M1" s="26" t="s">
        <v>31</v>
      </c>
      <c r="N1" s="26" t="s">
        <v>31</v>
      </c>
      <c r="O1" s="26" t="s">
        <v>31</v>
      </c>
      <c r="P1" s="26" t="s">
        <v>31</v>
      </c>
      <c r="Q1" s="26" t="s">
        <v>31</v>
      </c>
      <c r="R1" s="26" t="s">
        <v>31</v>
      </c>
      <c r="S1" s="26" t="s">
        <v>31</v>
      </c>
      <c r="T1" s="26" t="s">
        <v>31</v>
      </c>
      <c r="U1" s="26" t="s">
        <v>31</v>
      </c>
      <c r="V1" s="26" t="s">
        <v>31</v>
      </c>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85"/>
    </row>
    <row r="2" spans="2:74">
      <c r="B2" s="26" t="str">
        <f>'2023 Control'!$C$3</f>
        <v>Concertiv</v>
      </c>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85"/>
    </row>
    <row r="3" spans="2:74">
      <c r="B3" s="30" t="str">
        <f>('2024 Control'!$C$4)&amp;" Reporting Package"</f>
        <v>December 2025 Reporting Package</v>
      </c>
      <c r="C3" s="136"/>
      <c r="D3" s="136"/>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152"/>
    </row>
    <row r="4" spans="2:74" ht="20">
      <c r="B4" s="130" t="s">
        <v>4</v>
      </c>
      <c r="C4" s="137"/>
      <c r="D4" s="137"/>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0"/>
      <c r="AX4" s="130"/>
      <c r="AY4" s="130"/>
      <c r="AZ4" s="130"/>
      <c r="BA4" s="130"/>
      <c r="BB4" s="130"/>
      <c r="BC4" s="130"/>
      <c r="BD4" s="130"/>
      <c r="BE4" s="130"/>
      <c r="BF4" s="130"/>
      <c r="BG4" s="130"/>
      <c r="BH4" s="130"/>
      <c r="BI4" s="130"/>
      <c r="BJ4" s="130"/>
      <c r="BK4" s="130"/>
      <c r="BL4" s="130"/>
      <c r="BM4" s="130"/>
      <c r="BN4" s="130"/>
      <c r="BO4" s="130"/>
      <c r="BP4" s="130"/>
      <c r="BQ4" s="130"/>
      <c r="BR4" s="130"/>
      <c r="BS4" s="130"/>
      <c r="BT4" s="130"/>
      <c r="BU4" s="130"/>
      <c r="BV4" s="318"/>
    </row>
    <row r="5" spans="2:74" ht="15.75" customHeight="1" thickBot="1">
      <c r="E5" s="388" t="s">
        <v>33</v>
      </c>
      <c r="F5" s="388"/>
      <c r="G5" s="388"/>
      <c r="H5" s="388"/>
      <c r="I5" s="388"/>
      <c r="J5" s="388"/>
      <c r="K5" s="312"/>
      <c r="L5" s="312"/>
      <c r="M5" s="312"/>
      <c r="N5" s="312"/>
      <c r="O5" s="312"/>
      <c r="P5" s="312"/>
      <c r="Q5" s="312"/>
      <c r="R5" s="312"/>
      <c r="S5" s="312"/>
      <c r="T5" s="312"/>
      <c r="U5" s="312"/>
      <c r="V5" s="312"/>
      <c r="W5" s="312"/>
      <c r="X5" s="312"/>
      <c r="Y5" s="312"/>
      <c r="Z5" s="312"/>
      <c r="AA5" s="312"/>
      <c r="AB5" s="312"/>
      <c r="AC5" s="312"/>
      <c r="AD5" s="312"/>
      <c r="AE5" s="312"/>
      <c r="AF5" s="312"/>
      <c r="AG5" s="312"/>
      <c r="AH5" s="312"/>
      <c r="AI5" s="312"/>
      <c r="AJ5" s="312"/>
      <c r="AK5" s="312"/>
      <c r="AL5" s="312"/>
      <c r="AM5" s="312"/>
      <c r="AN5" s="312"/>
      <c r="AO5" s="312"/>
      <c r="AP5" s="312"/>
      <c r="AQ5" s="312"/>
      <c r="AR5" s="312"/>
      <c r="AS5" s="312"/>
      <c r="AT5" s="312"/>
      <c r="AU5" s="312"/>
      <c r="AV5" s="312"/>
      <c r="AW5" s="312"/>
      <c r="AX5" s="312"/>
      <c r="AY5" s="312"/>
      <c r="AZ5" s="312"/>
      <c r="BA5" s="146"/>
      <c r="BB5" s="389">
        <v>1</v>
      </c>
      <c r="BC5" s="389"/>
      <c r="BD5" s="389"/>
      <c r="BE5" s="146"/>
      <c r="BF5" s="389">
        <v>2</v>
      </c>
      <c r="BG5" s="389"/>
      <c r="BH5" s="389"/>
      <c r="BI5" s="146"/>
      <c r="BJ5" s="389">
        <v>3</v>
      </c>
      <c r="BK5" s="389"/>
      <c r="BL5" s="389"/>
      <c r="BM5" s="146"/>
      <c r="BN5" s="389">
        <v>4</v>
      </c>
      <c r="BO5" s="389"/>
      <c r="BP5" s="389"/>
      <c r="BQ5" s="146"/>
      <c r="BR5" s="388" t="s">
        <v>34</v>
      </c>
      <c r="BS5" s="388"/>
      <c r="BT5" s="388"/>
      <c r="BU5" s="146"/>
      <c r="BV5" s="312" t="s">
        <v>40</v>
      </c>
    </row>
    <row r="6" spans="2:74" ht="13.5" thickBot="1">
      <c r="D6" s="167" t="s">
        <v>35</v>
      </c>
      <c r="E6" s="203">
        <v>44957</v>
      </c>
      <c r="F6" s="203">
        <v>44985</v>
      </c>
      <c r="G6" s="203">
        <v>45016</v>
      </c>
      <c r="H6" s="203">
        <f>EOMONTH(G6,1)</f>
        <v>45046</v>
      </c>
      <c r="I6" s="203">
        <f t="shared" ref="I6:J6" si="0">EOMONTH(H6,1)</f>
        <v>45077</v>
      </c>
      <c r="J6" s="203">
        <f t="shared" si="0"/>
        <v>45107</v>
      </c>
      <c r="K6" s="203">
        <f>EOMONTH(J6,1)</f>
        <v>45138</v>
      </c>
      <c r="L6" s="203">
        <f t="shared" ref="L6" si="1">EOMONTH(K6,1)</f>
        <v>45169</v>
      </c>
      <c r="M6" s="203">
        <f t="shared" ref="M6:V6" si="2">EOMONTH(L6,1)</f>
        <v>45199</v>
      </c>
      <c r="N6" s="203">
        <f t="shared" si="2"/>
        <v>45230</v>
      </c>
      <c r="O6" s="203">
        <f t="shared" si="2"/>
        <v>45260</v>
      </c>
      <c r="P6" s="203">
        <f t="shared" si="2"/>
        <v>45291</v>
      </c>
      <c r="Q6" s="203">
        <f t="shared" si="2"/>
        <v>45322</v>
      </c>
      <c r="R6" s="203">
        <f t="shared" si="2"/>
        <v>45351</v>
      </c>
      <c r="S6" s="203">
        <f t="shared" si="2"/>
        <v>45382</v>
      </c>
      <c r="T6" s="203">
        <f t="shared" si="2"/>
        <v>45412</v>
      </c>
      <c r="U6" s="203">
        <f t="shared" si="2"/>
        <v>45443</v>
      </c>
      <c r="V6" s="203">
        <f t="shared" si="2"/>
        <v>45473</v>
      </c>
      <c r="W6" s="203">
        <f t="shared" ref="W6:AN6" si="3">EOMONTH(V6,1)</f>
        <v>45504</v>
      </c>
      <c r="X6" s="203">
        <f t="shared" si="3"/>
        <v>45535</v>
      </c>
      <c r="Y6" s="203">
        <f t="shared" si="3"/>
        <v>45565</v>
      </c>
      <c r="Z6" s="203">
        <f t="shared" si="3"/>
        <v>45596</v>
      </c>
      <c r="AA6" s="203">
        <f t="shared" si="3"/>
        <v>45626</v>
      </c>
      <c r="AB6" s="203">
        <f t="shared" si="3"/>
        <v>45657</v>
      </c>
      <c r="AC6" s="203">
        <f t="shared" si="3"/>
        <v>45688</v>
      </c>
      <c r="AD6" s="203">
        <f t="shared" si="3"/>
        <v>45716</v>
      </c>
      <c r="AE6" s="203">
        <f t="shared" si="3"/>
        <v>45747</v>
      </c>
      <c r="AF6" s="203">
        <f t="shared" si="3"/>
        <v>45777</v>
      </c>
      <c r="AG6" s="203">
        <f t="shared" si="3"/>
        <v>45808</v>
      </c>
      <c r="AH6" s="203">
        <f t="shared" si="3"/>
        <v>45838</v>
      </c>
      <c r="AI6" s="203">
        <f t="shared" si="3"/>
        <v>45869</v>
      </c>
      <c r="AJ6" s="203">
        <f t="shared" si="3"/>
        <v>45900</v>
      </c>
      <c r="AK6" s="203">
        <f t="shared" si="3"/>
        <v>45930</v>
      </c>
      <c r="AL6" s="203">
        <f t="shared" si="3"/>
        <v>45961</v>
      </c>
      <c r="AM6" s="203">
        <f t="shared" si="3"/>
        <v>45991</v>
      </c>
      <c r="AN6" s="203">
        <f t="shared" si="3"/>
        <v>46022</v>
      </c>
      <c r="AO6" s="203">
        <f t="shared" ref="AO6" si="4">EOMONTH(AN6,1)</f>
        <v>46053</v>
      </c>
      <c r="AP6" s="203">
        <f t="shared" ref="AP6" si="5">EOMONTH(AO6,1)</f>
        <v>46081</v>
      </c>
      <c r="AQ6" s="203">
        <f t="shared" ref="AQ6" si="6">EOMONTH(AP6,1)</f>
        <v>46112</v>
      </c>
      <c r="AR6" s="203">
        <f t="shared" ref="AR6" si="7">EOMONTH(AQ6,1)</f>
        <v>46142</v>
      </c>
      <c r="AS6" s="203">
        <f t="shared" ref="AS6" si="8">EOMONTH(AR6,1)</f>
        <v>46173</v>
      </c>
      <c r="AT6" s="203">
        <f t="shared" ref="AT6" si="9">EOMONTH(AS6,1)</f>
        <v>46203</v>
      </c>
      <c r="AU6" s="203">
        <f t="shared" ref="AU6" si="10">EOMONTH(AT6,1)</f>
        <v>46234</v>
      </c>
      <c r="AV6" s="203">
        <f t="shared" ref="AV6" si="11">EOMONTH(AU6,1)</f>
        <v>46265</v>
      </c>
      <c r="AW6" s="203">
        <f t="shared" ref="AW6" si="12">EOMONTH(AV6,1)</f>
        <v>46295</v>
      </c>
      <c r="AX6" s="203">
        <f t="shared" ref="AX6" si="13">EOMONTH(AW6,1)</f>
        <v>46326</v>
      </c>
      <c r="AY6" s="203">
        <f t="shared" ref="AY6" si="14">EOMONTH(AX6,1)</f>
        <v>46356</v>
      </c>
      <c r="AZ6" s="203">
        <f t="shared" ref="AZ6" si="15">EOMONTH(AY6,1)</f>
        <v>46387</v>
      </c>
      <c r="BA6" s="26"/>
      <c r="BB6" s="118" t="s">
        <v>36</v>
      </c>
      <c r="BC6" s="117" t="s">
        <v>37</v>
      </c>
      <c r="BD6" s="117" t="s">
        <v>38</v>
      </c>
      <c r="BE6" s="26"/>
      <c r="BF6" s="118" t="s">
        <v>36</v>
      </c>
      <c r="BG6" s="117" t="s">
        <v>37</v>
      </c>
      <c r="BH6" s="117" t="s">
        <v>38</v>
      </c>
      <c r="BI6" s="26"/>
      <c r="BJ6" s="118" t="s">
        <v>36</v>
      </c>
      <c r="BK6" s="117" t="s">
        <v>37</v>
      </c>
      <c r="BL6" s="117" t="s">
        <v>38</v>
      </c>
      <c r="BM6" s="26"/>
      <c r="BN6" s="118" t="s">
        <v>36</v>
      </c>
      <c r="BO6" s="117" t="s">
        <v>37</v>
      </c>
      <c r="BP6" s="117" t="s">
        <v>38</v>
      </c>
      <c r="BQ6" s="26"/>
      <c r="BR6" s="118" t="s">
        <v>39</v>
      </c>
      <c r="BS6" s="117" t="s">
        <v>37</v>
      </c>
      <c r="BT6" s="117" t="s">
        <v>38</v>
      </c>
      <c r="BU6" s="26"/>
      <c r="BV6" s="118" t="s">
        <v>40</v>
      </c>
    </row>
    <row r="7" spans="2:74">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26"/>
      <c r="BB7" s="390" t="s">
        <v>41</v>
      </c>
      <c r="BC7" s="390"/>
      <c r="BD7" s="120"/>
      <c r="BE7" s="26"/>
      <c r="BF7" s="390" t="s">
        <v>42</v>
      </c>
      <c r="BG7" s="390"/>
      <c r="BH7" s="120"/>
      <c r="BI7" s="26"/>
      <c r="BJ7" s="390" t="s">
        <v>43</v>
      </c>
      <c r="BK7" s="390"/>
      <c r="BL7" s="120"/>
      <c r="BM7" s="26"/>
      <c r="BN7" s="390" t="s">
        <v>44</v>
      </c>
      <c r="BO7" s="390"/>
      <c r="BP7" s="120"/>
      <c r="BQ7" s="26"/>
      <c r="BR7" s="121"/>
      <c r="BS7" s="121"/>
      <c r="BT7" s="120"/>
      <c r="BU7" s="26"/>
      <c r="BV7" s="320"/>
    </row>
    <row r="8" spans="2:74" s="26" customFormat="1" ht="13">
      <c r="B8" s="126" t="s">
        <v>207</v>
      </c>
      <c r="C8" s="138"/>
      <c r="D8" s="138"/>
      <c r="E8" s="127"/>
      <c r="F8" s="127"/>
      <c r="G8" s="127"/>
      <c r="H8" s="127"/>
      <c r="I8" s="127"/>
      <c r="J8" s="127"/>
      <c r="K8" s="127"/>
      <c r="L8" s="127"/>
      <c r="M8" s="127"/>
      <c r="N8" s="127"/>
      <c r="O8" s="127"/>
      <c r="P8" s="127"/>
      <c r="Q8" s="127"/>
      <c r="R8" s="127"/>
      <c r="S8" s="127"/>
      <c r="T8" s="127"/>
      <c r="U8" s="127"/>
      <c r="V8" s="127"/>
      <c r="W8" s="127"/>
      <c r="X8" s="127"/>
      <c r="Y8" s="127"/>
      <c r="Z8" s="127"/>
      <c r="AA8" s="127"/>
      <c r="AB8" s="127"/>
      <c r="AC8" s="127"/>
      <c r="AD8" s="127"/>
      <c r="AE8" s="127"/>
      <c r="AF8" s="127"/>
      <c r="AG8" s="127"/>
      <c r="AH8" s="127"/>
      <c r="AI8" s="127"/>
      <c r="AJ8" s="127"/>
      <c r="AK8" s="127"/>
      <c r="AL8" s="127"/>
      <c r="AM8" s="127"/>
      <c r="AN8" s="127"/>
      <c r="AO8" s="127"/>
      <c r="AP8" s="127"/>
      <c r="AQ8" s="127"/>
      <c r="AR8" s="127"/>
      <c r="AS8" s="127"/>
      <c r="AT8" s="127"/>
      <c r="AU8" s="127"/>
      <c r="AV8" s="127"/>
      <c r="AW8" s="127"/>
      <c r="AX8" s="127"/>
      <c r="AY8" s="127"/>
      <c r="AZ8" s="127"/>
      <c r="BA8" s="127"/>
      <c r="BB8" s="127"/>
      <c r="BC8" s="127"/>
      <c r="BD8" s="127"/>
      <c r="BE8" s="127"/>
      <c r="BF8" s="127"/>
      <c r="BG8" s="127"/>
      <c r="BH8" s="127"/>
      <c r="BI8" s="127"/>
      <c r="BJ8" s="127"/>
      <c r="BK8" s="127"/>
      <c r="BL8" s="127"/>
      <c r="BM8" s="127"/>
      <c r="BN8" s="127"/>
      <c r="BO8" s="127"/>
      <c r="BP8" s="127"/>
      <c r="BQ8" s="127"/>
      <c r="BR8" s="127"/>
      <c r="BS8" s="127"/>
      <c r="BT8" s="127"/>
      <c r="BU8" s="127"/>
      <c r="BV8" s="321"/>
    </row>
    <row r="9" spans="2:74" s="26" customFormat="1">
      <c r="B9" s="26" t="s">
        <v>208</v>
      </c>
      <c r="C9" s="139" t="s">
        <v>47</v>
      </c>
      <c r="D9" s="171" t="str">
        <f>VLOOKUP($B$4&amp;" "&amp;$B9,Actuals!$D$4:$AG$131,3,FALSE)</f>
        <v>$</v>
      </c>
      <c r="E9" s="215">
        <f>VLOOKUP($B$4&amp;" "&amp;$B9,Actuals!$D$4:$AG$131,MONTH(E$6)+4,FALSE)</f>
        <v>6931845</v>
      </c>
      <c r="F9" s="215">
        <f>VLOOKUP($B$4&amp;" "&amp;$B9,Actuals!$D$4:$AG$131,MONTH(F$6)+4,FALSE)</f>
        <v>7103938</v>
      </c>
      <c r="G9" s="215">
        <f>VLOOKUP($B$4&amp;" "&amp;$B9,Actuals!$D$4:$AG$131,MONTH(G$6)+4,FALSE)</f>
        <v>7312615</v>
      </c>
      <c r="H9" s="215">
        <f>VLOOKUP($B$4&amp;" "&amp;$B9,Actuals!$D$4:$AG$131,MONTH(H$6)+4,FALSE)</f>
        <v>7522355</v>
      </c>
      <c r="I9" s="215">
        <f>VLOOKUP($B$4&amp;" "&amp;$B9,Actuals!$D$4:$AG$131,MONTH(I$6)+4,FALSE)</f>
        <v>7561800</v>
      </c>
      <c r="J9" s="215">
        <f>VLOOKUP($B$4&amp;" "&amp;$B9,Actuals!$D$4:$AG$131,MONTH(J$6)+4,FALSE)</f>
        <v>7752073</v>
      </c>
      <c r="K9" s="215">
        <f>VLOOKUP($B$4&amp;" "&amp;$B9,Actuals!$D$4:$AG$131,MONTH(K$6)+4,FALSE)</f>
        <v>7669823</v>
      </c>
      <c r="L9" s="215">
        <f>VLOOKUP($B$4&amp;" "&amp;$B9,Actuals!$D$4:$AG$131,MONTH(L$6)+4,FALSE)</f>
        <v>8036627</v>
      </c>
      <c r="M9" s="215">
        <f>VLOOKUP($B$4&amp;" "&amp;$B9,Actuals!$D$4:$AG$131,MONTH(M$6)+4,FALSE)</f>
        <v>7997245</v>
      </c>
      <c r="N9" s="215">
        <f>VLOOKUP($B$4&amp;" "&amp;$B9,Actuals!$D$4:$AG$131,MONTH(N$6)+4,FALSE)</f>
        <v>8117232</v>
      </c>
      <c r="O9" s="219">
        <f>VLOOKUP($B$4&amp;" "&amp;$B9,Actuals!$D$4:$AG$131,MONTH(O$6)+4,FALSE)</f>
        <v>0</v>
      </c>
      <c r="P9" s="219">
        <f>VLOOKUP($B$4&amp;" "&amp;$B9,Actuals!$D$4:$AG$131,MONTH(P$6)+4,FALSE)</f>
        <v>0</v>
      </c>
      <c r="Q9" s="219">
        <f>VLOOKUP($B$4&amp;" "&amp;$B9,Actuals!$D$4:$AR$131,MONTH(Q$6)+16,FALSE)</f>
        <v>0</v>
      </c>
      <c r="R9" s="219">
        <f>VLOOKUP($B$4&amp;" "&amp;$B9,Actuals!$D$4:$AR$131,MONTH(R$6)+16,FALSE)</f>
        <v>0</v>
      </c>
      <c r="S9" s="219">
        <f>VLOOKUP($B$4&amp;" "&amp;$B9,Actuals!$D$4:$AR$131,MONTH(S$6)+16,FALSE)</f>
        <v>0</v>
      </c>
      <c r="T9" s="219">
        <f>VLOOKUP($B$4&amp;" "&amp;$B9,Actuals!$D$4:$AR$131,MONTH(T$6)+16,FALSE)</f>
        <v>0</v>
      </c>
      <c r="U9" s="219">
        <f>VLOOKUP($B$4&amp;" "&amp;$B9,Actuals!$D$4:$AR$131,MONTH(U$6)+16,FALSE)</f>
        <v>0</v>
      </c>
      <c r="V9" s="219">
        <f>VLOOKUP($B$4&amp;" "&amp;$B9,Actuals!$D$4:$AR$131,MONTH(V$6)+16,FALSE)</f>
        <v>0</v>
      </c>
      <c r="W9" s="219"/>
      <c r="X9" s="219"/>
      <c r="Y9" s="219"/>
      <c r="Z9" s="219"/>
      <c r="AA9" s="219"/>
      <c r="AB9" s="219"/>
      <c r="AC9" s="220" cm="1">
        <f t="array" ref="AC9">_xlfn.XLOOKUP(
   $B$4&amp;" "&amp;$B9,
   Actuals!$D:$D,
   _xlfn.XLOOKUP(
      AC$6,
      Actuals!$H$3:$BD$3,
      Actuals!$H:$BD
   )
)</f>
        <v>7946733.3100000005</v>
      </c>
      <c r="AD9" s="220" cm="1">
        <f t="array" ref="AD9">_xlfn.XLOOKUP(
   $B$4&amp;" "&amp;$B9,
   Actuals!$D:$D,
   _xlfn.XLOOKUP(
      AD$6,
      Actuals!$H$3:$BD$3,
      Actuals!$H:$BD
   )
)</f>
        <v>8026200.6431000009</v>
      </c>
      <c r="AE9" s="220" cm="1">
        <f t="array" ref="AE9">_xlfn.XLOOKUP(
   $B$4&amp;" "&amp;$B9,
   Actuals!$D:$D,
   _xlfn.XLOOKUP(
      AE$6,
      Actuals!$H$3:$BD$3,
      Actuals!$H:$BD
   )
)</f>
        <v>8106462.6495310012</v>
      </c>
      <c r="AF9" s="220" cm="1">
        <f t="array" ref="AF9">_xlfn.XLOOKUP(
   $B$4&amp;" "&amp;$B9,
   Actuals!$D:$D,
   _xlfn.XLOOKUP(
      AF$6,
      Actuals!$H$3:$BD$3,
      Actuals!$H:$BD
   )
)</f>
        <v>8187527.2760263113</v>
      </c>
      <c r="AG9" s="220" cm="1">
        <f t="array" ref="AG9">_xlfn.XLOOKUP(
   $B$4&amp;" "&amp;$B9,
   Actuals!$D:$D,
   _xlfn.XLOOKUP(
      AG$6,
      Actuals!$H$3:$BD$3,
      Actuals!$H:$BD
   )
)</f>
        <v>8269402.548786574</v>
      </c>
      <c r="AH9" s="220" cm="1">
        <f t="array" ref="AH9">_xlfn.XLOOKUP(
   $B$4&amp;" "&amp;$B9,
   Actuals!$D:$D,
   _xlfn.XLOOKUP(
      AH$6,
      Actuals!$H$3:$BD$3,
      Actuals!$H:$BD
   )
)</f>
        <v>8352096.5742744394</v>
      </c>
      <c r="AI9" s="220" cm="1">
        <f t="array" ref="AI9">_xlfn.XLOOKUP(
   $B$4&amp;" "&amp;$B9,
   Actuals!$D:$D,
   _xlfn.XLOOKUP(
      AI$6,
      Actuals!$H$3:$BD$3,
      Actuals!$H:$BD
   )
)</f>
        <v>8435617.5400171839</v>
      </c>
      <c r="AJ9" s="220" cm="1">
        <f t="array" ref="AJ9">_xlfn.XLOOKUP(
   $B$4&amp;" "&amp;$B9,
   Actuals!$D:$D,
   _xlfn.XLOOKUP(
      AJ$6,
      Actuals!$H$3:$BD$3,
      Actuals!$H:$BD
   )
)</f>
        <v>8519973.7154173553</v>
      </c>
      <c r="AK9" s="220" cm="1">
        <f t="array" ref="AK9">_xlfn.XLOOKUP(
   $B$4&amp;" "&amp;$B9,
   Actuals!$D:$D,
   _xlfn.XLOOKUP(
      AK$6,
      Actuals!$H$3:$BD$3,
      Actuals!$H:$BD
   )
)</f>
        <v>8605173.452571528</v>
      </c>
      <c r="AL9" s="220" cm="1">
        <f t="array" ref="AL9">_xlfn.XLOOKUP(
   $B$4&amp;" "&amp;$B9,
   Actuals!$D:$D,
   _xlfn.XLOOKUP(
      AL$6,
      Actuals!$H$3:$BD$3,
      Actuals!$H:$BD
   )
)</f>
        <v>8691225.187097244</v>
      </c>
      <c r="AM9" s="220" cm="1">
        <f t="array" ref="AM9">_xlfn.XLOOKUP(
   $B$4&amp;" "&amp;$B9,
   Actuals!$D:$D,
   _xlfn.XLOOKUP(
      AM$6,
      Actuals!$H$3:$BD$3,
      Actuals!$H:$BD
   )
)</f>
        <v>8778137.438968217</v>
      </c>
      <c r="AN9" s="220" cm="1">
        <f t="array" ref="AN9">_xlfn.XLOOKUP(
   $B$4&amp;" "&amp;$B9,
   Actuals!$D:$D,
   _xlfn.XLOOKUP(
      AN$6,
      Actuals!$H$3:$BD$3,
      Actuals!$H:$BD
   )
)</f>
        <v>8865918.813357899</v>
      </c>
      <c r="AO9" s="220" cm="1">
        <f t="array" ref="AO9">_xlfn.XLOOKUP(
   $B$4&amp;" "&amp;$B9,
   Actuals!$D:$D,
   _xlfn.XLOOKUP(
      AO$6,
      Actuals!$H$3:$BD$3,
      Actuals!$H:$BD
   )
)</f>
        <v>8954578.0014914777</v>
      </c>
      <c r="AP9" s="220" cm="1">
        <f t="array" ref="AP9">_xlfn.XLOOKUP(
   $B$4&amp;" "&amp;$B9,
   Actuals!$D:$D,
   _xlfn.XLOOKUP(
      AP$6,
      Actuals!$H$3:$BD$3,
      Actuals!$H:$BD
   )
)</f>
        <v>9044123.7815063931</v>
      </c>
      <c r="AQ9" s="220" cm="1">
        <f t="array" ref="AQ9">_xlfn.XLOOKUP(
   $B$4&amp;" "&amp;$B9,
   Actuals!$D:$D,
   _xlfn.XLOOKUP(
      AQ$6,
      Actuals!$H$3:$BD$3,
      Actuals!$H:$BD
   )
)</f>
        <v>9134565.0193214566</v>
      </c>
      <c r="AR9" s="220" cm="1">
        <f t="array" ref="AR9">_xlfn.XLOOKUP(
   $B$4&amp;" "&amp;$B9,
   Actuals!$D:$D,
   _xlfn.XLOOKUP(
      AR$6,
      Actuals!$H$3:$BD$3,
      Actuals!$H:$BD
   )
)</f>
        <v>0</v>
      </c>
      <c r="AS9" s="220" cm="1">
        <f t="array" ref="AS9">_xlfn.XLOOKUP(
   $B$4&amp;" "&amp;$B9,
   Actuals!$D:$D,
   _xlfn.XLOOKUP(
      AS$6,
      Actuals!$H$3:$BD$3,
      Actuals!$H:$BD
   )
)</f>
        <v>0</v>
      </c>
      <c r="AT9" s="220" cm="1">
        <f t="array" ref="AT9">_xlfn.XLOOKUP(
   $B$4&amp;" "&amp;$B9,
   Actuals!$D:$D,
   _xlfn.XLOOKUP(
      AT$6,
      Actuals!$H$3:$BD$3,
      Actuals!$H:$BD
   )
)</f>
        <v>0</v>
      </c>
      <c r="AU9" s="220" cm="1">
        <f t="array" ref="AU9">_xlfn.XLOOKUP(
   $B$4&amp;" "&amp;$B9,
   Actuals!$D:$D,
   _xlfn.XLOOKUP(
      AU$6,
      Actuals!$H$3:$BD$3,
      Actuals!$H:$BD
   )
)</f>
        <v>0</v>
      </c>
      <c r="AV9" s="220" cm="1">
        <f t="array" ref="AV9">_xlfn.XLOOKUP(
   $B$4&amp;" "&amp;$B9,
   Actuals!$D:$D,
   _xlfn.XLOOKUP(
      AV$6,
      Actuals!$H$3:$BD$3,
      Actuals!$H:$BD
   )
)</f>
        <v>0</v>
      </c>
      <c r="AW9" s="220" cm="1">
        <f t="array" ref="AW9">_xlfn.XLOOKUP(
   $B$4&amp;" "&amp;$B9,
   Actuals!$D:$D,
   _xlfn.XLOOKUP(
      AW$6,
      Actuals!$H$3:$BD$3,
      Actuals!$H:$BD
   )
)</f>
        <v>0</v>
      </c>
      <c r="AX9" s="220" cm="1">
        <f t="array" ref="AX9">_xlfn.XLOOKUP(
   $B$4&amp;" "&amp;$B9,
   Actuals!$D:$D,
   _xlfn.XLOOKUP(
      AX$6,
      Actuals!$H$3:$BD$3,
      Actuals!$H:$BD
   )
)</f>
        <v>0</v>
      </c>
      <c r="AY9" s="220" cm="1">
        <f t="array" ref="AY9">_xlfn.XLOOKUP(
   $B$4&amp;" "&amp;$B9,
   Actuals!$D:$D,
   _xlfn.XLOOKUP(
      AY$6,
      Actuals!$H$3:$BD$3,
      Actuals!$H:$BD
   )
)</f>
        <v>0</v>
      </c>
      <c r="AZ9" s="220" cm="1">
        <f t="array" ref="AZ9">_xlfn.XLOOKUP(
   $B$4&amp;" "&amp;$B9,
   Actuals!$D:$D,
   _xlfn.XLOOKUP(
      AZ$6,
      Actuals!$H$3:$BD$3,
      Actuals!$H:$BD
   )
)</f>
        <v>0</v>
      </c>
      <c r="BA9" s="210"/>
      <c r="BB9" s="219" cm="1">
        <f t="array" ref="BB9">_xlfn.XLOOKUP(
   $B$4&amp;" "&amp;$B9,
   Actuals!$D:$D,
   _xlfn.XLOOKUP(
      BB$7,
      Actuals!$H$3:$BM$3,
      Actuals!$H:$BM
   )
)</f>
        <v>9134565.0193214566</v>
      </c>
      <c r="BC9" s="219">
        <f>VLOOKUP($B$4&amp;" "&amp;$B9,Budget!$AG$4:$AL$132,$BB$5+1,FALSE)</f>
        <v>0</v>
      </c>
      <c r="BD9" s="219">
        <f t="shared" ref="BD9:BD18" si="16">BB9-BC9</f>
        <v>9134565.0193214566</v>
      </c>
      <c r="BE9" s="210"/>
      <c r="BF9" s="219" cm="1">
        <f t="array" ref="BF9">_xlfn.XLOOKUP(
   $B$4&amp;" "&amp;$B9,
   Actuals!$D:$D,
   _xlfn.XLOOKUP(
      BF$7,
      Actuals!$H$3:$BM$3,
      Actuals!$H:$BM
   )
)</f>
        <v>0</v>
      </c>
      <c r="BG9" s="219">
        <f>VLOOKUP($B$4&amp;" "&amp;$B9,Budget!$AG$4:$AL$132,BF$5+1,FALSE)</f>
        <v>8151360</v>
      </c>
      <c r="BH9" s="219">
        <f t="shared" ref="BH9:BH18" si="17">BF9-BG9</f>
        <v>-8151360</v>
      </c>
      <c r="BI9" s="210"/>
      <c r="BJ9" s="219" cm="1">
        <f t="array" ref="BJ9">_xlfn.XLOOKUP(
   $B$4&amp;" "&amp;$B9,
   Actuals!$D:$D,
   _xlfn.XLOOKUP(
      BJ$7,
      Actuals!$H$3:$BM$3,
      Actuals!$H:$BM
   )
)</f>
        <v>0</v>
      </c>
      <c r="BK9" s="219">
        <f>VLOOKUP($B$4&amp;" "&amp;$B9,Budget!$AG$4:$AL$132,BJ$5+1,FALSE)</f>
        <v>8610504</v>
      </c>
      <c r="BL9" s="219">
        <f t="shared" ref="BL9:BL18" si="18">BJ9-BK9</f>
        <v>-8610504</v>
      </c>
      <c r="BM9" s="210"/>
      <c r="BN9" s="210" cm="1">
        <f t="array" ref="BN9">_xlfn.XLOOKUP(
   $B$4&amp;" "&amp;$B9,
   Actuals!$D:$D,
   _xlfn.XLOOKUP(
      BN$7,
      Actuals!$H$3:$BM$3,
      Actuals!$H:$BM
   )
)</f>
        <v>0</v>
      </c>
      <c r="BO9" s="219">
        <f>VLOOKUP($B$4&amp;" "&amp;$B9,Budget!$AG$4:$AL$132,BN$5+1,FALSE)</f>
        <v>10176288</v>
      </c>
      <c r="BP9" s="210"/>
      <c r="BQ9" s="210"/>
      <c r="BR9" s="219" cm="1">
        <f t="array" aca="1" ref="BR9" ca="1">_xlfn.XLOOKUP(
   $B$4&amp;" "&amp;$B9,
   Actuals!$D:$D,
   _xlfn.XLOOKUP(
      BR$6,
      Actuals!$H$3:$BM$3,
      Actuals!$H:$BM
   )
)</f>
        <v>0</v>
      </c>
      <c r="BS9" s="219">
        <f ca="1">VLOOKUP($B$4&amp;" "&amp;$B9,Budget!$AG$4:$AL$132,6,FALSE)</f>
        <v>10176288</v>
      </c>
      <c r="BT9" s="219">
        <f ca="1">BR9-BS9</f>
        <v>-10176288</v>
      </c>
      <c r="BU9" s="210"/>
      <c r="BV9" s="219" cm="1">
        <f t="array" ref="BV9">_xlfn.XLOOKUP(
   $B$4&amp;" "&amp;$B9,
   Actuals!$D:$D,
   _xlfn.XLOOKUP(
      BV$6,
      Actuals!$H$3:$BM$3,
      Actuals!$H:$BM
   )
)</f>
        <v>8954578.0014914777</v>
      </c>
    </row>
    <row r="10" spans="2:74" s="26" customFormat="1">
      <c r="B10" s="29" t="s">
        <v>209</v>
      </c>
      <c r="C10" s="142" t="s">
        <v>49</v>
      </c>
      <c r="D10" s="172" t="str">
        <f>VLOOKUP($B$4&amp;" "&amp;$B10,Actuals!$D$4:$AG$131,3,FALSE)</f>
        <v>$</v>
      </c>
      <c r="E10" s="216">
        <f>VLOOKUP($B$4&amp;" "&amp;$B10,Actuals!$D$4:$AG$131,MONTH(E$6)+4,FALSE)</f>
        <v>579394.13</v>
      </c>
      <c r="F10" s="216">
        <f>VLOOKUP($B$4&amp;" "&amp;$B10,Actuals!$D$4:$AG$131,MONTH(F$6)+4,FALSE)</f>
        <v>549751.16</v>
      </c>
      <c r="G10" s="216">
        <f>VLOOKUP($B$4&amp;" "&amp;$B10,Actuals!$D$4:$AG$131,MONTH(G$6)+4,FALSE)</f>
        <v>610196.36</v>
      </c>
      <c r="H10" s="216">
        <f>VLOOKUP($B$4&amp;" "&amp;$B10,Actuals!$D$4:$AG$131,MONTH(H$6)+4,FALSE)</f>
        <v>571041.74</v>
      </c>
      <c r="I10" s="216">
        <f>VLOOKUP($B$4&amp;" "&amp;$B10,Actuals!$D$4:$AG$131,MONTH(I$6)+4,FALSE)</f>
        <v>707556.21</v>
      </c>
      <c r="J10" s="216">
        <f>VLOOKUP($B$4&amp;" "&amp;$B10,Actuals!$D$4:$AG$131,MONTH(J$6)+4,FALSE)</f>
        <v>666239</v>
      </c>
      <c r="K10" s="216">
        <f>VLOOKUP($B$4&amp;" "&amp;$B10,Actuals!$D$4:$AG$131,MONTH(K$6)+4,FALSE)</f>
        <v>635609.93000000005</v>
      </c>
      <c r="L10" s="216">
        <f>VLOOKUP($B$4&amp;" "&amp;$B10,Actuals!$D$4:$AG$131,MONTH(L$6)+4,FALSE)</f>
        <v>624865.65</v>
      </c>
      <c r="M10" s="216">
        <f>VLOOKUP($B$4&amp;" "&amp;$B10,Actuals!$D$4:$AG$131,MONTH(M$6)+4,FALSE)</f>
        <v>754985</v>
      </c>
      <c r="N10" s="216">
        <f>VLOOKUP($B$4&amp;" "&amp;$B10,Actuals!$D$4:$AG$131,MONTH(N$6)+4,FALSE)</f>
        <v>662942.24</v>
      </c>
      <c r="O10" s="327">
        <f>VLOOKUP($B$4&amp;" "&amp;$B10,Actuals!$D$4:$AG$131,MONTH(O$6)+4,FALSE)</f>
        <v>0</v>
      </c>
      <c r="P10" s="327">
        <f>VLOOKUP($B$4&amp;" "&amp;$B10,Actuals!$D$4:$AG$131,MONTH(P$6)+4,FALSE)</f>
        <v>0</v>
      </c>
      <c r="Q10" s="327">
        <f>VLOOKUP($B$4&amp;" "&amp;$B10,Actuals!$D$4:$AR$131,MONTH(Q$6)+16,FALSE)</f>
        <v>0</v>
      </c>
      <c r="R10" s="327">
        <f>VLOOKUP($B$4&amp;" "&amp;$B10,Actuals!$D$4:$AR$131,MONTH(R$6)+16,FALSE)</f>
        <v>0</v>
      </c>
      <c r="S10" s="327">
        <f>VLOOKUP($B$4&amp;" "&amp;$B10,Actuals!$D$4:$AR$131,MONTH(S$6)+16,FALSE)</f>
        <v>0</v>
      </c>
      <c r="T10" s="327">
        <f>VLOOKUP($B$4&amp;" "&amp;$B10,Actuals!$D$4:$AR$131,MONTH(T$6)+16,FALSE)</f>
        <v>0</v>
      </c>
      <c r="U10" s="327">
        <f>VLOOKUP($B$4&amp;" "&amp;$B10,Actuals!$D$4:$AR$131,MONTH(U$6)+16,FALSE)</f>
        <v>0</v>
      </c>
      <c r="V10" s="327">
        <f>VLOOKUP($B$4&amp;" "&amp;$B10,Actuals!$D$4:$AR$131,MONTH(V$6)+16,FALSE)</f>
        <v>0</v>
      </c>
      <c r="W10" s="327"/>
      <c r="X10" s="327"/>
      <c r="Y10" s="327"/>
      <c r="Z10" s="327"/>
      <c r="AA10" s="327"/>
      <c r="AB10" s="327"/>
      <c r="AC10" s="327" cm="1">
        <f t="array" ref="AC10">_xlfn.XLOOKUP(
   $B$4&amp;" "&amp;$B10,
   Actuals!$D:$D,
   _xlfn.XLOOKUP(
      AC$6,
      Actuals!$H$3:$BD$3,
      Actuals!$H:$BD
   )
)</f>
        <v>670348.32999999996</v>
      </c>
      <c r="AD10" s="327" cm="1">
        <f t="array" ref="AD10">_xlfn.XLOOKUP(
   $B$4&amp;" "&amp;$B10,
   Actuals!$D:$D,
   _xlfn.XLOOKUP(
      AD$6,
      Actuals!$H$3:$BD$3,
      Actuals!$H:$BD
   )
)</f>
        <v>677051.81329999992</v>
      </c>
      <c r="AE10" s="327" cm="1">
        <f t="array" ref="AE10">_xlfn.XLOOKUP(
   $B$4&amp;" "&amp;$B10,
   Actuals!$D:$D,
   _xlfn.XLOOKUP(
      AE$6,
      Actuals!$H$3:$BD$3,
      Actuals!$H:$BD
   )
)</f>
        <v>683822.33143299993</v>
      </c>
      <c r="AF10" s="327" cm="1">
        <f t="array" ref="AF10">_xlfn.XLOOKUP(
   $B$4&amp;" "&amp;$B10,
   Actuals!$D:$D,
   _xlfn.XLOOKUP(
      AF$6,
      Actuals!$H$3:$BD$3,
      Actuals!$H:$BD
   )
)</f>
        <v>690660.55474732991</v>
      </c>
      <c r="AG10" s="327" cm="1">
        <f t="array" ref="AG10">_xlfn.XLOOKUP(
   $B$4&amp;" "&amp;$B10,
   Actuals!$D:$D,
   _xlfn.XLOOKUP(
      AG$6,
      Actuals!$H$3:$BD$3,
      Actuals!$H:$BD
   )
)</f>
        <v>697567.16029480321</v>
      </c>
      <c r="AH10" s="327" cm="1">
        <f t="array" ref="AH10">_xlfn.XLOOKUP(
   $B$4&amp;" "&amp;$B10,
   Actuals!$D:$D,
   _xlfn.XLOOKUP(
      AH$6,
      Actuals!$H$3:$BD$3,
      Actuals!$H:$BD
   )
)</f>
        <v>704542.8318977512</v>
      </c>
      <c r="AI10" s="327" cm="1">
        <f t="array" ref="AI10">_xlfn.XLOOKUP(
   $B$4&amp;" "&amp;$B10,
   Actuals!$D:$D,
   _xlfn.XLOOKUP(
      AI$6,
      Actuals!$H$3:$BD$3,
      Actuals!$H:$BD
   )
)</f>
        <v>711588.26021672867</v>
      </c>
      <c r="AJ10" s="327" cm="1">
        <f t="array" ref="AJ10">_xlfn.XLOOKUP(
   $B$4&amp;" "&amp;$B10,
   Actuals!$D:$D,
   _xlfn.XLOOKUP(
      AJ$6,
      Actuals!$H$3:$BD$3,
      Actuals!$H:$BD
   )
)</f>
        <v>718704.14281889598</v>
      </c>
      <c r="AK10" s="327" cm="1">
        <f t="array" ref="AK10">_xlfn.XLOOKUP(
   $B$4&amp;" "&amp;$B10,
   Actuals!$D:$D,
   _xlfn.XLOOKUP(
      AK$6,
      Actuals!$H$3:$BD$3,
      Actuals!$H:$BD
   )
)</f>
        <v>725891.18424708489</v>
      </c>
      <c r="AL10" s="327" cm="1">
        <f t="array" ref="AL10">_xlfn.XLOOKUP(
   $B$4&amp;" "&amp;$B10,
   Actuals!$D:$D,
   _xlfn.XLOOKUP(
      AL$6,
      Actuals!$H$3:$BD$3,
      Actuals!$H:$BD
   )
)</f>
        <v>733150.09608955577</v>
      </c>
      <c r="AM10" s="327" cm="1">
        <f t="array" ref="AM10">_xlfn.XLOOKUP(
   $B$4&amp;" "&amp;$B10,
   Actuals!$D:$D,
   _xlfn.XLOOKUP(
      AM$6,
      Actuals!$H$3:$BD$3,
      Actuals!$H:$BD
   )
)</f>
        <v>740481.59705045132</v>
      </c>
      <c r="AN10" s="327" cm="1">
        <f t="array" ref="AN10">_xlfn.XLOOKUP(
   $B$4&amp;" "&amp;$B10,
   Actuals!$D:$D,
   _xlfn.XLOOKUP(
      AN$6,
      Actuals!$H$3:$BD$3,
      Actuals!$H:$BD
   )
)</f>
        <v>747886.41302095586</v>
      </c>
      <c r="AO10" s="327" cm="1">
        <f t="array" ref="AO10">_xlfn.XLOOKUP(
   $B$4&amp;" "&amp;$B10,
   Actuals!$D:$D,
   _xlfn.XLOOKUP(
      AO$6,
      Actuals!$H$3:$BD$3,
      Actuals!$H:$BD
   )
)</f>
        <v>755365.27715116541</v>
      </c>
      <c r="AP10" s="327" cm="1">
        <f t="array" ref="AP10">_xlfn.XLOOKUP(
   $B$4&amp;" "&amp;$B10,
   Actuals!$D:$D,
   _xlfn.XLOOKUP(
      AP$6,
      Actuals!$H$3:$BD$3,
      Actuals!$H:$BD
   )
)</f>
        <v>762918.92992267711</v>
      </c>
      <c r="AQ10" s="327" cm="1">
        <f t="array" ref="AQ10">_xlfn.XLOOKUP(
   $B$4&amp;" "&amp;$B10,
   Actuals!$D:$D,
   _xlfn.XLOOKUP(
      AQ$6,
      Actuals!$H$3:$BD$3,
      Actuals!$H:$BD
   )
)</f>
        <v>770548.11922190385</v>
      </c>
      <c r="AR10" s="327" cm="1">
        <f t="array" ref="AR10">_xlfn.XLOOKUP(
   $B$4&amp;" "&amp;$B10,
   Actuals!$D:$D,
   _xlfn.XLOOKUP(
      AR$6,
      Actuals!$H$3:$BD$3,
      Actuals!$H:$BD
   )
)</f>
        <v>0</v>
      </c>
      <c r="AS10" s="327" cm="1">
        <f t="array" ref="AS10">_xlfn.XLOOKUP(
   $B$4&amp;" "&amp;$B10,
   Actuals!$D:$D,
   _xlfn.XLOOKUP(
      AS$6,
      Actuals!$H$3:$BD$3,
      Actuals!$H:$BD
   )
)</f>
        <v>0</v>
      </c>
      <c r="AT10" s="327" cm="1">
        <f t="array" ref="AT10">_xlfn.XLOOKUP(
   $B$4&amp;" "&amp;$B10,
   Actuals!$D:$D,
   _xlfn.XLOOKUP(
      AT$6,
      Actuals!$H$3:$BD$3,
      Actuals!$H:$BD
   )
)</f>
        <v>0</v>
      </c>
      <c r="AU10" s="327" cm="1">
        <f t="array" ref="AU10">_xlfn.XLOOKUP(
   $B$4&amp;" "&amp;$B10,
   Actuals!$D:$D,
   _xlfn.XLOOKUP(
      AU$6,
      Actuals!$H$3:$BD$3,
      Actuals!$H:$BD
   )
)</f>
        <v>0</v>
      </c>
      <c r="AV10" s="327" cm="1">
        <f t="array" ref="AV10">_xlfn.XLOOKUP(
   $B$4&amp;" "&amp;$B10,
   Actuals!$D:$D,
   _xlfn.XLOOKUP(
      AV$6,
      Actuals!$H$3:$BD$3,
      Actuals!$H:$BD
   )
)</f>
        <v>0</v>
      </c>
      <c r="AW10" s="327" cm="1">
        <f t="array" ref="AW10">_xlfn.XLOOKUP(
   $B$4&amp;" "&amp;$B10,
   Actuals!$D:$D,
   _xlfn.XLOOKUP(
      AW$6,
      Actuals!$H$3:$BD$3,
      Actuals!$H:$BD
   )
)</f>
        <v>0</v>
      </c>
      <c r="AX10" s="327" cm="1">
        <f t="array" ref="AX10">_xlfn.XLOOKUP(
   $B$4&amp;" "&amp;$B10,
   Actuals!$D:$D,
   _xlfn.XLOOKUP(
      AX$6,
      Actuals!$H$3:$BD$3,
      Actuals!$H:$BD
   )
)</f>
        <v>0</v>
      </c>
      <c r="AY10" s="327" cm="1">
        <f t="array" ref="AY10">_xlfn.XLOOKUP(
   $B$4&amp;" "&amp;$B10,
   Actuals!$D:$D,
   _xlfn.XLOOKUP(
      AY$6,
      Actuals!$H$3:$BD$3,
      Actuals!$H:$BD
   )
)</f>
        <v>0</v>
      </c>
      <c r="AZ10" s="327" cm="1">
        <f t="array" ref="AZ10">_xlfn.XLOOKUP(
   $B$4&amp;" "&amp;$B10,
   Actuals!$D:$D,
   _xlfn.XLOOKUP(
      AZ$6,
      Actuals!$H$3:$BD$3,
      Actuals!$H:$BD
   )
)</f>
        <v>0</v>
      </c>
      <c r="BA10" s="333"/>
      <c r="BB10" s="327" cm="1">
        <f t="array" ref="BB10">_xlfn.XLOOKUP(
   $B$4&amp;" "&amp;$B10,
   Actuals!$D:$D,
   _xlfn.XLOOKUP(
      BB$7,
      Actuals!$H$3:$BM$3,
      Actuals!$H:$BM
   )
)</f>
        <v>2288832.3262957465</v>
      </c>
      <c r="BC10" s="327">
        <f>VLOOKUP($B$4&amp;" "&amp;$B10,Budget!$AG$4:$AL$132,$BB$5+1,FALSE)</f>
        <v>2009341</v>
      </c>
      <c r="BD10" s="327">
        <f t="shared" si="16"/>
        <v>279491.32629574649</v>
      </c>
      <c r="BE10" s="333"/>
      <c r="BF10" s="327" cm="1">
        <f t="array" ref="BF10">_xlfn.XLOOKUP(
   $B$4&amp;" "&amp;$B10,
   Actuals!$D:$D,
   _xlfn.XLOOKUP(
      BF$7,
      Actuals!$H$3:$BM$3,
      Actuals!$H:$BM
   )
)</f>
        <v>0</v>
      </c>
      <c r="BG10" s="327">
        <f>VLOOKUP($B$4&amp;" "&amp;$B10,Budget!$AG$4:$AL$132,BF$5+1,FALSE)</f>
        <v>2097951</v>
      </c>
      <c r="BH10" s="327">
        <f t="shared" si="17"/>
        <v>-2097951</v>
      </c>
      <c r="BI10" s="333"/>
      <c r="BJ10" s="327" cm="1">
        <f t="array" ref="BJ10">_xlfn.XLOOKUP(
   $B$4&amp;" "&amp;$B10,
   Actuals!$D:$D,
   _xlfn.XLOOKUP(
      BJ$7,
      Actuals!$H$3:$BM$3,
      Actuals!$H:$BM
   )
)</f>
        <v>0</v>
      </c>
      <c r="BK10" s="327">
        <f>VLOOKUP($B$4&amp;" "&amp;$B10,Budget!$AG$4:$AL$132,BJ$5+1,FALSE)</f>
        <v>2196951</v>
      </c>
      <c r="BL10" s="327">
        <f t="shared" si="18"/>
        <v>-2196951</v>
      </c>
      <c r="BM10" s="333"/>
      <c r="BN10" s="333" cm="1">
        <f t="array" ref="BN10">_xlfn.XLOOKUP(
   $B$4&amp;" "&amp;$B10,
   Actuals!$D:$D,
   _xlfn.XLOOKUP(
      BN$7,
      Actuals!$H$3:$BM$3,
      Actuals!$H:$BM
   )
)</f>
        <v>0</v>
      </c>
      <c r="BO10" s="327">
        <f>VLOOKUP($B$4&amp;" "&amp;$B10,Budget!$AG$4:$AL$132,BN$5+1,FALSE)</f>
        <v>2396729</v>
      </c>
      <c r="BP10" s="333"/>
      <c r="BQ10" s="333"/>
      <c r="BR10" s="327" cm="1">
        <f t="array" aca="1" ref="BR10" ca="1">_xlfn.XLOOKUP(
   $B$4&amp;" "&amp;$B10,
   Actuals!$D:$D,
   _xlfn.XLOOKUP(
      BR$6,
      Actuals!$H$3:$BM$3,
      Actuals!$H:$BM
   )
)</f>
        <v>2288832.3262957465</v>
      </c>
      <c r="BS10" s="327">
        <f ca="1">VLOOKUP($B$4&amp;" "&amp;$B10,Budget!$AG$4:$AL$132,6,FALSE)</f>
        <v>8750696</v>
      </c>
      <c r="BT10" s="327">
        <f t="shared" ref="BT10:BT18" ca="1" si="19">BR10-BS10</f>
        <v>-6461863.6737042535</v>
      </c>
      <c r="BU10" s="333"/>
      <c r="BV10" s="327" cm="1">
        <f t="array" ref="BV10">_xlfn.XLOOKUP(
   $B$4&amp;" "&amp;$B10,
   Actuals!$D:$D,
   _xlfn.XLOOKUP(
      BV$6,
      Actuals!$H$3:$BM$3,
      Actuals!$H:$BM
   )
)</f>
        <v>8586711.6622677222</v>
      </c>
    </row>
    <row r="11" spans="2:74" s="26" customFormat="1">
      <c r="B11" s="26" t="s">
        <v>210</v>
      </c>
      <c r="C11" s="139" t="s">
        <v>49</v>
      </c>
      <c r="D11" s="171" t="str">
        <f>VLOOKUP($B$4&amp;" "&amp;$B11,Actuals!$D$4:$AG$131,3,FALSE)</f>
        <v>$</v>
      </c>
      <c r="E11" s="215">
        <f>VLOOKUP($B$4&amp;" "&amp;$B11,Actuals!$D$4:$AG$131,MONTH(E$6)+4,FALSE)</f>
        <v>-222134.94</v>
      </c>
      <c r="F11" s="215">
        <f>VLOOKUP($B$4&amp;" "&amp;$B11,Actuals!$D$4:$AG$131,MONTH(F$6)+4,FALSE)</f>
        <v>-255152.71</v>
      </c>
      <c r="G11" s="215">
        <f>VLOOKUP($B$4&amp;" "&amp;$B11,Actuals!$D$4:$AG$131,MONTH(G$6)+4,FALSE)</f>
        <v>-268055.39</v>
      </c>
      <c r="H11" s="215">
        <f>VLOOKUP($B$4&amp;" "&amp;$B11,Actuals!$D$4:$AG$131,MONTH(H$6)+4,FALSE)</f>
        <v>-275785.14</v>
      </c>
      <c r="I11" s="215">
        <f>VLOOKUP($B$4&amp;" "&amp;$B11,Actuals!$D$4:$AG$131,MONTH(I$6)+4,FALSE)</f>
        <v>-252797.66</v>
      </c>
      <c r="J11" s="215">
        <f>VLOOKUP($B$4&amp;" "&amp;$B11,Actuals!$D$4:$AG$131,MONTH(J$6)+4,FALSE)</f>
        <v>-279179</v>
      </c>
      <c r="K11" s="215">
        <f>VLOOKUP($B$4&amp;" "&amp;$B11,Actuals!$D$4:$AG$131,MONTH(K$6)+4,FALSE)</f>
        <v>-254729.72999999998</v>
      </c>
      <c r="L11" s="215">
        <f>VLOOKUP($B$4&amp;" "&amp;$B11,Actuals!$D$4:$AG$131,MONTH(L$6)+4,FALSE)</f>
        <v>-272428.38</v>
      </c>
      <c r="M11" s="215">
        <f>VLOOKUP($B$4&amp;" "&amp;$B11,Actuals!$D$4:$AG$131,MONTH(M$6)+4,FALSE)</f>
        <v>-318322</v>
      </c>
      <c r="N11" s="215">
        <f>VLOOKUP($B$4&amp;" "&amp;$B11,Actuals!$D$4:$AG$131,MONTH(N$6)+4,FALSE)</f>
        <v>-298594.94</v>
      </c>
      <c r="O11" s="219">
        <f>VLOOKUP($B$4&amp;" "&amp;$B11,Actuals!$D$4:$AG$131,MONTH(O$6)+4,FALSE)</f>
        <v>0</v>
      </c>
      <c r="P11" s="219">
        <f>VLOOKUP($B$4&amp;" "&amp;$B11,Actuals!$D$4:$AG$131,MONTH(P$6)+4,FALSE)</f>
        <v>0</v>
      </c>
      <c r="Q11" s="219">
        <f>VLOOKUP($B$4&amp;" "&amp;$B11,Actuals!$D$4:$AR$131,MONTH(Q$6)+16,FALSE)</f>
        <v>0</v>
      </c>
      <c r="R11" s="219">
        <f>VLOOKUP($B$4&amp;" "&amp;$B11,Actuals!$D$4:$AR$131,MONTH(R$6)+16,FALSE)</f>
        <v>0</v>
      </c>
      <c r="S11" s="219">
        <f>VLOOKUP($B$4&amp;" "&amp;$B11,Actuals!$D$4:$AR$131,MONTH(S$6)+16,FALSE)</f>
        <v>0</v>
      </c>
      <c r="T11" s="219">
        <f>VLOOKUP($B$4&amp;" "&amp;$B11,Actuals!$D$4:$AR$131,MONTH(T$6)+16,FALSE)</f>
        <v>0</v>
      </c>
      <c r="U11" s="219">
        <f>VLOOKUP($B$4&amp;" "&amp;$B11,Actuals!$D$4:$AR$131,MONTH(U$6)+16,FALSE)</f>
        <v>0</v>
      </c>
      <c r="V11" s="219">
        <f>VLOOKUP($B$4&amp;" "&amp;$B11,Actuals!$D$4:$AR$131,MONTH(V$6)+16,FALSE)</f>
        <v>0</v>
      </c>
      <c r="W11" s="219"/>
      <c r="X11" s="219"/>
      <c r="Y11" s="219"/>
      <c r="Z11" s="219"/>
      <c r="AA11" s="219"/>
      <c r="AB11" s="219"/>
      <c r="AC11" s="219" cm="1">
        <f t="array" ref="AC11">_xlfn.XLOOKUP(
   $B$4&amp;" "&amp;$B11,
   Actuals!$D:$D,
   _xlfn.XLOOKUP(
      AC$6,
      Actuals!$H$3:$BD$3,
      Actuals!$H:$BD
   )
)</f>
        <v>-314989.21000000002</v>
      </c>
      <c r="AD11" s="219" cm="1">
        <f t="array" ref="AD11">_xlfn.XLOOKUP(
   $B$4&amp;" "&amp;$B11,
   Actuals!$D:$D,
   _xlfn.XLOOKUP(
      AD$6,
      Actuals!$H$3:$BD$3,
      Actuals!$H:$BD
   )
)</f>
        <v>-318139.10210000002</v>
      </c>
      <c r="AE11" s="219" cm="1">
        <f t="array" ref="AE11">_xlfn.XLOOKUP(
   $B$4&amp;" "&amp;$B11,
   Actuals!$D:$D,
   _xlfn.XLOOKUP(
      AE$6,
      Actuals!$H$3:$BD$3,
      Actuals!$H:$BD
   )
)</f>
        <v>-321320.49312100001</v>
      </c>
      <c r="AF11" s="219" cm="1">
        <f t="array" ref="AF11">_xlfn.XLOOKUP(
   $B$4&amp;" "&amp;$B11,
   Actuals!$D:$D,
   _xlfn.XLOOKUP(
      AF$6,
      Actuals!$H$3:$BD$3,
      Actuals!$H:$BD
   )
)</f>
        <v>-324533.69805221003</v>
      </c>
      <c r="AG11" s="219" cm="1">
        <f t="array" ref="AG11">_xlfn.XLOOKUP(
   $B$4&amp;" "&amp;$B11,
   Actuals!$D:$D,
   _xlfn.XLOOKUP(
      AG$6,
      Actuals!$H$3:$BD$3,
      Actuals!$H:$BD
   )
)</f>
        <v>-327779.03503273212</v>
      </c>
      <c r="AH11" s="219" cm="1">
        <f t="array" ref="AH11">_xlfn.XLOOKUP(
   $B$4&amp;" "&amp;$B11,
   Actuals!$D:$D,
   _xlfn.XLOOKUP(
      AH$6,
      Actuals!$H$3:$BD$3,
      Actuals!$H:$BD
   )
)</f>
        <v>-331056.82538305945</v>
      </c>
      <c r="AI11" s="219" cm="1">
        <f t="array" ref="AI11">_xlfn.XLOOKUP(
   $B$4&amp;" "&amp;$B11,
   Actuals!$D:$D,
   _xlfn.XLOOKUP(
      AI$6,
      Actuals!$H$3:$BD$3,
      Actuals!$H:$BD
   )
)</f>
        <v>-334367.39363689005</v>
      </c>
      <c r="AJ11" s="219" cm="1">
        <f t="array" ref="AJ11">_xlfn.XLOOKUP(
   $B$4&amp;" "&amp;$B11,
   Actuals!$D:$D,
   _xlfn.XLOOKUP(
      AJ$6,
      Actuals!$H$3:$BD$3,
      Actuals!$H:$BD
   )
)</f>
        <v>-337711.06757325894</v>
      </c>
      <c r="AK11" s="219" cm="1">
        <f t="array" ref="AK11">_xlfn.XLOOKUP(
   $B$4&amp;" "&amp;$B11,
   Actuals!$D:$D,
   _xlfn.XLOOKUP(
      AK$6,
      Actuals!$H$3:$BD$3,
      Actuals!$H:$BD
   )
)</f>
        <v>-341088.17824899155</v>
      </c>
      <c r="AL11" s="219" cm="1">
        <f t="array" ref="AL11">_xlfn.XLOOKUP(
   $B$4&amp;" "&amp;$B11,
   Actuals!$D:$D,
   _xlfn.XLOOKUP(
      AL$6,
      Actuals!$H$3:$BD$3,
      Actuals!$H:$BD
   )
)</f>
        <v>-344499.06003148144</v>
      </c>
      <c r="AM11" s="219" cm="1">
        <f t="array" ref="AM11">_xlfn.XLOOKUP(
   $B$4&amp;" "&amp;$B11,
   Actuals!$D:$D,
   _xlfn.XLOOKUP(
      AM$6,
      Actuals!$H$3:$BD$3,
      Actuals!$H:$BD
   )
)</f>
        <v>-347944.05063179624</v>
      </c>
      <c r="AN11" s="219" cm="1">
        <f t="array" ref="AN11">_xlfn.XLOOKUP(
   $B$4&amp;" "&amp;$B11,
   Actuals!$D:$D,
   _xlfn.XLOOKUP(
      AN$6,
      Actuals!$H$3:$BD$3,
      Actuals!$H:$BD
   )
)</f>
        <v>-351423.49113811419</v>
      </c>
      <c r="AO11" s="219" cm="1">
        <f t="array" ref="AO11">_xlfn.XLOOKUP(
   $B$4&amp;" "&amp;$B11,
   Actuals!$D:$D,
   _xlfn.XLOOKUP(
      AO$6,
      Actuals!$H$3:$BD$3,
      Actuals!$H:$BD
   )
)</f>
        <v>-354937.72604949534</v>
      </c>
      <c r="AP11" s="219" cm="1">
        <f t="array" ref="AP11">_xlfn.XLOOKUP(
   $B$4&amp;" "&amp;$B11,
   Actuals!$D:$D,
   _xlfn.XLOOKUP(
      AP$6,
      Actuals!$H$3:$BD$3,
      Actuals!$H:$BD
   )
)</f>
        <v>-358487.10330999031</v>
      </c>
      <c r="AQ11" s="219" cm="1">
        <f t="array" ref="AQ11">_xlfn.XLOOKUP(
   $B$4&amp;" "&amp;$B11,
   Actuals!$D:$D,
   _xlfn.XLOOKUP(
      AQ$6,
      Actuals!$H$3:$BD$3,
      Actuals!$H:$BD
   )
)</f>
        <v>-362071.9743430902</v>
      </c>
      <c r="AR11" s="219" cm="1">
        <f t="array" ref="AR11">_xlfn.XLOOKUP(
   $B$4&amp;" "&amp;$B11,
   Actuals!$D:$D,
   _xlfn.XLOOKUP(
      AR$6,
      Actuals!$H$3:$BD$3,
      Actuals!$H:$BD
   )
)</f>
        <v>0</v>
      </c>
      <c r="AS11" s="219" cm="1">
        <f t="array" ref="AS11">_xlfn.XLOOKUP(
   $B$4&amp;" "&amp;$B11,
   Actuals!$D:$D,
   _xlfn.XLOOKUP(
      AS$6,
      Actuals!$H$3:$BD$3,
      Actuals!$H:$BD
   )
)</f>
        <v>0</v>
      </c>
      <c r="AT11" s="219" cm="1">
        <f t="array" ref="AT11">_xlfn.XLOOKUP(
   $B$4&amp;" "&amp;$B11,
   Actuals!$D:$D,
   _xlfn.XLOOKUP(
      AT$6,
      Actuals!$H$3:$BD$3,
      Actuals!$H:$BD
   )
)</f>
        <v>0</v>
      </c>
      <c r="AU11" s="219" cm="1">
        <f t="array" ref="AU11">_xlfn.XLOOKUP(
   $B$4&amp;" "&amp;$B11,
   Actuals!$D:$D,
   _xlfn.XLOOKUP(
      AU$6,
      Actuals!$H$3:$BD$3,
      Actuals!$H:$BD
   )
)</f>
        <v>0</v>
      </c>
      <c r="AV11" s="219" cm="1">
        <f t="array" ref="AV11">_xlfn.XLOOKUP(
   $B$4&amp;" "&amp;$B11,
   Actuals!$D:$D,
   _xlfn.XLOOKUP(
      AV$6,
      Actuals!$H$3:$BD$3,
      Actuals!$H:$BD
   )
)</f>
        <v>0</v>
      </c>
      <c r="AW11" s="219" cm="1">
        <f t="array" ref="AW11">_xlfn.XLOOKUP(
   $B$4&amp;" "&amp;$B11,
   Actuals!$D:$D,
   _xlfn.XLOOKUP(
      AW$6,
      Actuals!$H$3:$BD$3,
      Actuals!$H:$BD
   )
)</f>
        <v>0</v>
      </c>
      <c r="AX11" s="219" cm="1">
        <f t="array" ref="AX11">_xlfn.XLOOKUP(
   $B$4&amp;" "&amp;$B11,
   Actuals!$D:$D,
   _xlfn.XLOOKUP(
      AX$6,
      Actuals!$H$3:$BD$3,
      Actuals!$H:$BD
   )
)</f>
        <v>0</v>
      </c>
      <c r="AY11" s="219" cm="1">
        <f t="array" ref="AY11">_xlfn.XLOOKUP(
   $B$4&amp;" "&amp;$B11,
   Actuals!$D:$D,
   _xlfn.XLOOKUP(
      AY$6,
      Actuals!$H$3:$BD$3,
      Actuals!$H:$BD
   )
)</f>
        <v>0</v>
      </c>
      <c r="AZ11" s="219" cm="1">
        <f t="array" ref="AZ11">_xlfn.XLOOKUP(
   $B$4&amp;" "&amp;$B11,
   Actuals!$D:$D,
   _xlfn.XLOOKUP(
      AZ$6,
      Actuals!$H$3:$BD$3,
      Actuals!$H:$BD
   )
)</f>
        <v>0</v>
      </c>
      <c r="BA11" s="210"/>
      <c r="BB11" s="219" cm="1">
        <f t="array" ref="BB11">_xlfn.XLOOKUP(
   $B$4&amp;" "&amp;$B11,
   Actuals!$D:$D,
   _xlfn.XLOOKUP(
      BB$7,
      Actuals!$H$3:$BM$3,
      Actuals!$H:$BM
   )
)</f>
        <v>-1075496.8037025759</v>
      </c>
      <c r="BC11" s="219">
        <f>VLOOKUP($B$4&amp;" "&amp;$B11,Budget!$AG$4:$AL$132,$BB$5+1,FALSE)</f>
        <v>-802165</v>
      </c>
      <c r="BD11" s="219">
        <f t="shared" si="16"/>
        <v>-273331.80370257585</v>
      </c>
      <c r="BE11" s="210"/>
      <c r="BF11" s="219" cm="1">
        <f t="array" ref="BF11">_xlfn.XLOOKUP(
   $B$4&amp;" "&amp;$B11,
   Actuals!$D:$D,
   _xlfn.XLOOKUP(
      BF$7,
      Actuals!$H$3:$BM$3,
      Actuals!$H:$BM
   )
)</f>
        <v>0</v>
      </c>
      <c r="BG11" s="219">
        <f>VLOOKUP($B$4&amp;" "&amp;$B11,Budget!$AG$4:$AL$132,BF$5+1,FALSE)</f>
        <v>-855760</v>
      </c>
      <c r="BH11" s="219">
        <f t="shared" si="17"/>
        <v>855760</v>
      </c>
      <c r="BI11" s="210"/>
      <c r="BJ11" s="219" cm="1">
        <f t="array" ref="BJ11">_xlfn.XLOOKUP(
   $B$4&amp;" "&amp;$B11,
   Actuals!$D:$D,
   _xlfn.XLOOKUP(
      BJ$7,
      Actuals!$H$3:$BM$3,
      Actuals!$H:$BM
   )
)</f>
        <v>0</v>
      </c>
      <c r="BK11" s="219">
        <f>VLOOKUP($B$4&amp;" "&amp;$B11,Budget!$AG$4:$AL$132,BJ$5+1,FALSE)</f>
        <v>-883132</v>
      </c>
      <c r="BL11" s="219">
        <f t="shared" si="18"/>
        <v>883132</v>
      </c>
      <c r="BM11" s="210"/>
      <c r="BN11" s="210" cm="1">
        <f t="array" ref="BN11">_xlfn.XLOOKUP(
   $B$4&amp;" "&amp;$B11,
   Actuals!$D:$D,
   _xlfn.XLOOKUP(
      BN$7,
      Actuals!$H$3:$BM$3,
      Actuals!$H:$BM
   )
)</f>
        <v>0</v>
      </c>
      <c r="BO11" s="219">
        <f>VLOOKUP($B$4&amp;" "&amp;$B11,Budget!$AG$4:$AL$132,BN$5+1,FALSE)</f>
        <v>-898308</v>
      </c>
      <c r="BP11" s="210"/>
      <c r="BQ11" s="210"/>
      <c r="BR11" s="219" cm="1">
        <f t="array" aca="1" ref="BR11" ca="1">_xlfn.XLOOKUP(
   $B$4&amp;" "&amp;$B11,
   Actuals!$D:$D,
   _xlfn.XLOOKUP(
      BR$6,
      Actuals!$H$3:$BM$3,
      Actuals!$H:$BM
   )
)</f>
        <v>-1075496.8037025759</v>
      </c>
      <c r="BS11" s="219">
        <f ca="1">VLOOKUP($B$4&amp;" "&amp;$B11,Budget!$AG$4:$AL$132,6,FALSE)</f>
        <v>-3457981</v>
      </c>
      <c r="BT11" s="219">
        <f t="shared" ca="1" si="19"/>
        <v>2382484.1962974239</v>
      </c>
      <c r="BU11" s="210"/>
      <c r="BV11" s="219" cm="1">
        <f t="array" ref="BV11">_xlfn.XLOOKUP(
   $B$4&amp;" "&amp;$B11,
   Actuals!$D:$D,
   _xlfn.XLOOKUP(
      BV$6,
      Actuals!$H$3:$BM$3,
      Actuals!$H:$BM
   )
)</f>
        <v>-4034800.1209990298</v>
      </c>
    </row>
    <row r="12" spans="2:74" s="26" customFormat="1">
      <c r="B12" s="26" t="s">
        <v>211</v>
      </c>
      <c r="C12" s="139" t="s">
        <v>49</v>
      </c>
      <c r="D12" s="171" t="str">
        <f>VLOOKUP($B$4&amp;" "&amp;$B12,Actuals!$D$4:$AG$131,3,FALSE)</f>
        <v>$</v>
      </c>
      <c r="E12" s="219">
        <f>VLOOKUP($B$4&amp;" "&amp;$B12,Actuals!$D$4:$AG$131,MONTH(E$6)+4,FALSE)</f>
        <v>-20926.34</v>
      </c>
      <c r="F12" s="219">
        <f>VLOOKUP($B$4&amp;" "&amp;$B12,Actuals!$D$4:$AG$131,MONTH(F$6)+4,FALSE)</f>
        <v>-22376.92</v>
      </c>
      <c r="G12" s="219">
        <f>VLOOKUP($B$4&amp;" "&amp;$B12,Actuals!$D$4:$AG$131,MONTH(G$6)+4,FALSE)</f>
        <v>-28695.93</v>
      </c>
      <c r="H12" s="219">
        <f>VLOOKUP($B$4&amp;" "&amp;$B12,Actuals!$D$4:$AG$131,MONTH(H$6)+4,FALSE)</f>
        <v>-29968.17</v>
      </c>
      <c r="I12" s="219">
        <f>VLOOKUP($B$4&amp;" "&amp;$B12,Actuals!$D$4:$AG$131,MONTH(I$6)+4,FALSE)</f>
        <v>-31981.21</v>
      </c>
      <c r="J12" s="219">
        <f>VLOOKUP($B$4&amp;" "&amp;$B12,Actuals!$D$4:$AG$131,MONTH(J$6)+4,FALSE)</f>
        <v>-28247.579999999998</v>
      </c>
      <c r="K12" s="219">
        <f>VLOOKUP($B$4&amp;" "&amp;$B12,Actuals!$D$4:$AG$131,MONTH(K$6)+4,FALSE)</f>
        <v>-30444.420000000002</v>
      </c>
      <c r="L12" s="219">
        <f>VLOOKUP($B$4&amp;" "&amp;$B12,Actuals!$D$4:$AG$131,MONTH(L$6)+4,FALSE)</f>
        <v>-28501.72</v>
      </c>
      <c r="M12" s="219">
        <f>VLOOKUP($B$4&amp;" "&amp;$B12,Actuals!$D$4:$AG$131,MONTH(M$6)+4,FALSE)</f>
        <v>-28501.72</v>
      </c>
      <c r="N12" s="219">
        <f>VLOOKUP($B$4&amp;" "&amp;$B12,Actuals!$D$4:$AG$131,MONTH(N$6)+4,FALSE)</f>
        <v>-33236.07</v>
      </c>
      <c r="O12" s="219">
        <f>VLOOKUP($B$4&amp;" "&amp;$B12,Actuals!$D$4:$AG$131,MONTH(O$6)+4,FALSE)</f>
        <v>0</v>
      </c>
      <c r="P12" s="219">
        <f>VLOOKUP($B$4&amp;" "&amp;$B12,Actuals!$D$4:$AG$131,MONTH(P$6)+4,FALSE)</f>
        <v>0</v>
      </c>
      <c r="Q12" s="219">
        <f>VLOOKUP($B$4&amp;" "&amp;$B12,Actuals!$D$4:$AR$131,MONTH(Q$6)+16,FALSE)</f>
        <v>0</v>
      </c>
      <c r="R12" s="219">
        <f>VLOOKUP($B$4&amp;" "&amp;$B12,Actuals!$D$4:$AR$131,MONTH(R$6)+16,FALSE)</f>
        <v>0</v>
      </c>
      <c r="S12" s="219">
        <f>VLOOKUP($B$4&amp;" "&amp;$B12,Actuals!$D$4:$AR$131,MONTH(S$6)+16,FALSE)</f>
        <v>0</v>
      </c>
      <c r="T12" s="219">
        <f>VLOOKUP($B$4&amp;" "&amp;$B12,Actuals!$D$4:$AR$131,MONTH(T$6)+16,FALSE)</f>
        <v>0</v>
      </c>
      <c r="U12" s="219">
        <f>VLOOKUP($B$4&amp;" "&amp;$B12,Actuals!$D$4:$AR$131,MONTH(U$6)+16,FALSE)</f>
        <v>0</v>
      </c>
      <c r="V12" s="219">
        <f>VLOOKUP($B$4&amp;" "&amp;$B12,Actuals!$D$4:$AR$131,MONTH(V$6)+16,FALSE)</f>
        <v>0</v>
      </c>
      <c r="W12" s="219"/>
      <c r="X12" s="219"/>
      <c r="Y12" s="219"/>
      <c r="Z12" s="219"/>
      <c r="AA12" s="219"/>
      <c r="AB12" s="219"/>
      <c r="AC12" s="219" cm="1">
        <f t="array" ref="AC12">_xlfn.XLOOKUP(
   $B$4&amp;" "&amp;$B12,
   Actuals!$D:$D,
   _xlfn.XLOOKUP(
      AC$6,
      Actuals!$H$3:$BD$3,
      Actuals!$H:$BD
   )
)</f>
        <v>-83009.08</v>
      </c>
      <c r="AD12" s="219" cm="1">
        <f t="array" ref="AD12">_xlfn.XLOOKUP(
   $B$4&amp;" "&amp;$B12,
   Actuals!$D:$D,
   _xlfn.XLOOKUP(
      AD$6,
      Actuals!$H$3:$BD$3,
      Actuals!$H:$BD
   )
)</f>
        <v>-83839.170800000007</v>
      </c>
      <c r="AE12" s="219" cm="1">
        <f t="array" ref="AE12">_xlfn.XLOOKUP(
   $B$4&amp;" "&amp;$B12,
   Actuals!$D:$D,
   _xlfn.XLOOKUP(
      AE$6,
      Actuals!$H$3:$BD$3,
      Actuals!$H:$BD
   )
)</f>
        <v>-84677.562508000003</v>
      </c>
      <c r="AF12" s="219" cm="1">
        <f t="array" ref="AF12">_xlfn.XLOOKUP(
   $B$4&amp;" "&amp;$B12,
   Actuals!$D:$D,
   _xlfn.XLOOKUP(
      AF$6,
      Actuals!$H$3:$BD$3,
      Actuals!$H:$BD
   )
)</f>
        <v>-85524.338133080004</v>
      </c>
      <c r="AG12" s="219" cm="1">
        <f t="array" ref="AG12">_xlfn.XLOOKUP(
   $B$4&amp;" "&amp;$B12,
   Actuals!$D:$D,
   _xlfn.XLOOKUP(
      AG$6,
      Actuals!$H$3:$BD$3,
      Actuals!$H:$BD
   )
)</f>
        <v>-86379.581514410806</v>
      </c>
      <c r="AH12" s="219" cm="1">
        <f t="array" ref="AH12">_xlfn.XLOOKUP(
   $B$4&amp;" "&amp;$B12,
   Actuals!$D:$D,
   _xlfn.XLOOKUP(
      AH$6,
      Actuals!$H$3:$BD$3,
      Actuals!$H:$BD
   )
)</f>
        <v>-87243.377329554918</v>
      </c>
      <c r="AI12" s="219" cm="1">
        <f t="array" ref="AI12">_xlfn.XLOOKUP(
   $B$4&amp;" "&amp;$B12,
   Actuals!$D:$D,
   _xlfn.XLOOKUP(
      AI$6,
      Actuals!$H$3:$BD$3,
      Actuals!$H:$BD
   )
)</f>
        <v>-88115.811102850465</v>
      </c>
      <c r="AJ12" s="219" cm="1">
        <f t="array" ref="AJ12">_xlfn.XLOOKUP(
   $B$4&amp;" "&amp;$B12,
   Actuals!$D:$D,
   _xlfn.XLOOKUP(
      AJ$6,
      Actuals!$H$3:$BD$3,
      Actuals!$H:$BD
   )
)</f>
        <v>-88996.969213878969</v>
      </c>
      <c r="AK12" s="219" cm="1">
        <f t="array" ref="AK12">_xlfn.XLOOKUP(
   $B$4&amp;" "&amp;$B12,
   Actuals!$D:$D,
   _xlfn.XLOOKUP(
      AK$6,
      Actuals!$H$3:$BD$3,
      Actuals!$H:$BD
   )
)</f>
        <v>-89886.938906017764</v>
      </c>
      <c r="AL12" s="219" cm="1">
        <f t="array" ref="AL12">_xlfn.XLOOKUP(
   $B$4&amp;" "&amp;$B12,
   Actuals!$D:$D,
   _xlfn.XLOOKUP(
      AL$6,
      Actuals!$H$3:$BD$3,
      Actuals!$H:$BD
   )
)</f>
        <v>-90785.808295077935</v>
      </c>
      <c r="AM12" s="219" cm="1">
        <f t="array" ref="AM12">_xlfn.XLOOKUP(
   $B$4&amp;" "&amp;$B12,
   Actuals!$D:$D,
   _xlfn.XLOOKUP(
      AM$6,
      Actuals!$H$3:$BD$3,
      Actuals!$H:$BD
   )
)</f>
        <v>-91693.66637802872</v>
      </c>
      <c r="AN12" s="219" cm="1">
        <f t="array" ref="AN12">_xlfn.XLOOKUP(
   $B$4&amp;" "&amp;$B12,
   Actuals!$D:$D,
   _xlfn.XLOOKUP(
      AN$6,
      Actuals!$H$3:$BD$3,
      Actuals!$H:$BD
   )
)</f>
        <v>-92610.603041809009</v>
      </c>
      <c r="AO12" s="219" cm="1">
        <f t="array" ref="AO12">_xlfn.XLOOKUP(
   $B$4&amp;" "&amp;$B12,
   Actuals!$D:$D,
   _xlfn.XLOOKUP(
      AO$6,
      Actuals!$H$3:$BD$3,
      Actuals!$H:$BD
   )
)</f>
        <v>-93536.709072227095</v>
      </c>
      <c r="AP12" s="219" cm="1">
        <f t="array" ref="AP12">_xlfn.XLOOKUP(
   $B$4&amp;" "&amp;$B12,
   Actuals!$D:$D,
   _xlfn.XLOOKUP(
      AP$6,
      Actuals!$H$3:$BD$3,
      Actuals!$H:$BD
   )
)</f>
        <v>-94472.076162949365</v>
      </c>
      <c r="AQ12" s="219" cm="1">
        <f t="array" ref="AQ12">_xlfn.XLOOKUP(
   $B$4&amp;" "&amp;$B12,
   Actuals!$D:$D,
   _xlfn.XLOOKUP(
      AQ$6,
      Actuals!$H$3:$BD$3,
      Actuals!$H:$BD
   )
)</f>
        <v>-95416.796924578855</v>
      </c>
      <c r="AR12" s="219" cm="1">
        <f t="array" ref="AR12">_xlfn.XLOOKUP(
   $B$4&amp;" "&amp;$B12,
   Actuals!$D:$D,
   _xlfn.XLOOKUP(
      AR$6,
      Actuals!$H$3:$BD$3,
      Actuals!$H:$BD
   )
)</f>
        <v>0</v>
      </c>
      <c r="AS12" s="219" cm="1">
        <f t="array" ref="AS12">_xlfn.XLOOKUP(
   $B$4&amp;" "&amp;$B12,
   Actuals!$D:$D,
   _xlfn.XLOOKUP(
      AS$6,
      Actuals!$H$3:$BD$3,
      Actuals!$H:$BD
   )
)</f>
        <v>0</v>
      </c>
      <c r="AT12" s="219" cm="1">
        <f t="array" ref="AT12">_xlfn.XLOOKUP(
   $B$4&amp;" "&amp;$B12,
   Actuals!$D:$D,
   _xlfn.XLOOKUP(
      AT$6,
      Actuals!$H$3:$BD$3,
      Actuals!$H:$BD
   )
)</f>
        <v>0</v>
      </c>
      <c r="AU12" s="219" cm="1">
        <f t="array" ref="AU12">_xlfn.XLOOKUP(
   $B$4&amp;" "&amp;$B12,
   Actuals!$D:$D,
   _xlfn.XLOOKUP(
      AU$6,
      Actuals!$H$3:$BD$3,
      Actuals!$H:$BD
   )
)</f>
        <v>0</v>
      </c>
      <c r="AV12" s="219" cm="1">
        <f t="array" ref="AV12">_xlfn.XLOOKUP(
   $B$4&amp;" "&amp;$B12,
   Actuals!$D:$D,
   _xlfn.XLOOKUP(
      AV$6,
      Actuals!$H$3:$BD$3,
      Actuals!$H:$BD
   )
)</f>
        <v>0</v>
      </c>
      <c r="AW12" s="219" cm="1">
        <f t="array" ref="AW12">_xlfn.XLOOKUP(
   $B$4&amp;" "&amp;$B12,
   Actuals!$D:$D,
   _xlfn.XLOOKUP(
      AW$6,
      Actuals!$H$3:$BD$3,
      Actuals!$H:$BD
   )
)</f>
        <v>0</v>
      </c>
      <c r="AX12" s="219" cm="1">
        <f t="array" ref="AX12">_xlfn.XLOOKUP(
   $B$4&amp;" "&amp;$B12,
   Actuals!$D:$D,
   _xlfn.XLOOKUP(
      AX$6,
      Actuals!$H$3:$BD$3,
      Actuals!$H:$BD
   )
)</f>
        <v>0</v>
      </c>
      <c r="AY12" s="219" cm="1">
        <f t="array" ref="AY12">_xlfn.XLOOKUP(
   $B$4&amp;" "&amp;$B12,
   Actuals!$D:$D,
   _xlfn.XLOOKUP(
      AY$6,
      Actuals!$H$3:$BD$3,
      Actuals!$H:$BD
   )
)</f>
        <v>0</v>
      </c>
      <c r="AZ12" s="219" cm="1">
        <f t="array" ref="AZ12">_xlfn.XLOOKUP(
   $B$4&amp;" "&amp;$B12,
   Actuals!$D:$D,
   _xlfn.XLOOKUP(
      AZ$6,
      Actuals!$H$3:$BD$3,
      Actuals!$H:$BD
   )
)</f>
        <v>0</v>
      </c>
      <c r="BA12" s="210"/>
      <c r="BB12" s="219" cm="1">
        <f t="array" ref="BB12">_xlfn.XLOOKUP(
   $B$4&amp;" "&amp;$B12,
   Actuals!$D:$D,
   _xlfn.XLOOKUP(
      BB$7,
      Actuals!$H$3:$BM$3,
      Actuals!$H:$BM
   )
)</f>
        <v>-283425.58215975529</v>
      </c>
      <c r="BC12" s="219">
        <f>VLOOKUP($B$4&amp;" "&amp;$B12,Budget!$AG$4:$AL$132,$BB$5+1,FALSE)</f>
        <v>-241203</v>
      </c>
      <c r="BD12" s="219">
        <f t="shared" si="16"/>
        <v>-42222.582159755286</v>
      </c>
      <c r="BE12" s="210"/>
      <c r="BF12" s="219" cm="1">
        <f t="array" ref="BF12">_xlfn.XLOOKUP(
   $B$4&amp;" "&amp;$B12,
   Actuals!$D:$D,
   _xlfn.XLOOKUP(
      BF$7,
      Actuals!$H$3:$BM$3,
      Actuals!$H:$BM
   )
)</f>
        <v>0</v>
      </c>
      <c r="BG12" s="219">
        <f>VLOOKUP($B$4&amp;" "&amp;$B12,Budget!$AG$4:$AL$132,BF$5+1,FALSE)</f>
        <v>-242347</v>
      </c>
      <c r="BH12" s="219">
        <f t="shared" si="17"/>
        <v>242347</v>
      </c>
      <c r="BI12" s="210"/>
      <c r="BJ12" s="219" cm="1">
        <f t="array" ref="BJ12">_xlfn.XLOOKUP(
   $B$4&amp;" "&amp;$B12,
   Actuals!$D:$D,
   _xlfn.XLOOKUP(
      BJ$7,
      Actuals!$H$3:$BM$3,
      Actuals!$H:$BM
   )
)</f>
        <v>0</v>
      </c>
      <c r="BK12" s="219">
        <f>VLOOKUP($B$4&amp;" "&amp;$B12,Budget!$AG$4:$AL$132,BJ$5+1,FALSE)</f>
        <v>-247575</v>
      </c>
      <c r="BL12" s="219">
        <f t="shared" si="18"/>
        <v>247575</v>
      </c>
      <c r="BM12" s="210"/>
      <c r="BN12" s="210" cm="1">
        <f t="array" ref="BN12">_xlfn.XLOOKUP(
   $B$4&amp;" "&amp;$B12,
   Actuals!$D:$D,
   _xlfn.XLOOKUP(
      BN$7,
      Actuals!$H$3:$BM$3,
      Actuals!$H:$BM
   )
)</f>
        <v>0</v>
      </c>
      <c r="BO12" s="219">
        <f>VLOOKUP($B$4&amp;" "&amp;$B12,Budget!$AG$4:$AL$132,BN$5+1,FALSE)</f>
        <v>-249189</v>
      </c>
      <c r="BP12" s="210"/>
      <c r="BQ12" s="210"/>
      <c r="BR12" s="219" cm="1">
        <f t="array" aca="1" ref="BR12" ca="1">_xlfn.XLOOKUP(
   $B$4&amp;" "&amp;$B12,
   Actuals!$D:$D,
   _xlfn.XLOOKUP(
      BR$6,
      Actuals!$H$3:$BM$3,
      Actuals!$H:$BM
   )
)</f>
        <v>-283425.58215975529</v>
      </c>
      <c r="BS12" s="219">
        <f ca="1">VLOOKUP($B$4&amp;" "&amp;$B12,Budget!$AG$4:$AL$132,6,FALSE)</f>
        <v>-984928</v>
      </c>
      <c r="BT12" s="219">
        <f t="shared" ca="1" si="19"/>
        <v>701502.41784024471</v>
      </c>
      <c r="BU12" s="210"/>
      <c r="BV12" s="219" cm="1">
        <f t="array" ref="BV12">_xlfn.XLOOKUP(
   $B$4&amp;" "&amp;$B12,
   Actuals!$D:$D,
   _xlfn.XLOOKUP(
      BV$6,
      Actuals!$H$3:$BM$3,
      Actuals!$H:$BM
   )
)</f>
        <v>-1063290.5362949357</v>
      </c>
    </row>
    <row r="13" spans="2:74" s="26" customFormat="1">
      <c r="B13" s="26" t="s">
        <v>212</v>
      </c>
      <c r="C13" s="139" t="s">
        <v>49</v>
      </c>
      <c r="D13" s="171" t="str">
        <f>VLOOKUP($B$4&amp;" "&amp;$B13,Actuals!$D$4:$AG$131,3,FALSE)</f>
        <v>$</v>
      </c>
      <c r="E13" s="215">
        <f>VLOOKUP($B$4&amp;" "&amp;$B13,Actuals!$D$4:$AG$131,MONTH(E$6)+4,FALSE)</f>
        <v>-120857.97</v>
      </c>
      <c r="F13" s="215">
        <f>VLOOKUP($B$4&amp;" "&amp;$B13,Actuals!$D$4:$AG$131,MONTH(F$6)+4,FALSE)</f>
        <v>-135274.31</v>
      </c>
      <c r="G13" s="215">
        <f>VLOOKUP($B$4&amp;" "&amp;$B13,Actuals!$D$4:$AG$131,MONTH(G$6)+4,FALSE)</f>
        <v>-125082.67</v>
      </c>
      <c r="H13" s="215">
        <f>VLOOKUP($B$4&amp;" "&amp;$B13,Actuals!$D$4:$AG$131,MONTH(H$6)+4,FALSE)</f>
        <v>-118255.7</v>
      </c>
      <c r="I13" s="215">
        <f>VLOOKUP($B$4&amp;" "&amp;$B13,Actuals!$D$4:$AG$131,MONTH(I$6)+4,FALSE)</f>
        <v>-115781.92</v>
      </c>
      <c r="J13" s="215">
        <f>VLOOKUP($B$4&amp;" "&amp;$B13,Actuals!$D$4:$AG$131,MONTH(J$6)+4,FALSE)</f>
        <v>-129656.43000000001</v>
      </c>
      <c r="K13" s="215">
        <f>VLOOKUP($B$4&amp;" "&amp;$B13,Actuals!$D$4:$AG$131,MONTH(K$6)+4,FALSE)</f>
        <v>-169934.62</v>
      </c>
      <c r="L13" s="215">
        <f>VLOOKUP($B$4&amp;" "&amp;$B13,Actuals!$D$4:$AG$131,MONTH(L$6)+4,FALSE)</f>
        <v>-153209.66999999998</v>
      </c>
      <c r="M13" s="215">
        <f>VLOOKUP($B$4&amp;" "&amp;$B13,Actuals!$D$4:$AG$131,MONTH(M$6)+4,FALSE)</f>
        <v>-145139.97</v>
      </c>
      <c r="N13" s="215">
        <f>VLOOKUP($B$4&amp;" "&amp;$B13,Actuals!$D$4:$AG$131,MONTH(N$6)+4,FALSE)</f>
        <v>-159561.97</v>
      </c>
      <c r="O13" s="219">
        <f>VLOOKUP($B$4&amp;" "&amp;$B13,Actuals!$D$4:$AG$131,MONTH(O$6)+4,FALSE)</f>
        <v>0</v>
      </c>
      <c r="P13" s="219">
        <f>VLOOKUP($B$4&amp;" "&amp;$B13,Actuals!$D$4:$AG$131,MONTH(P$6)+4,FALSE)</f>
        <v>0</v>
      </c>
      <c r="Q13" s="219">
        <f>VLOOKUP($B$4&amp;" "&amp;$B13,Actuals!$D$4:$AR$131,MONTH(Q$6)+16,FALSE)</f>
        <v>0</v>
      </c>
      <c r="R13" s="219">
        <f>VLOOKUP($B$4&amp;" "&amp;$B13,Actuals!$D$4:$AR$131,MONTH(R$6)+16,FALSE)</f>
        <v>0</v>
      </c>
      <c r="S13" s="219">
        <f>VLOOKUP($B$4&amp;" "&amp;$B13,Actuals!$D$4:$AR$131,MONTH(S$6)+16,FALSE)</f>
        <v>0</v>
      </c>
      <c r="T13" s="219">
        <f>VLOOKUP($B$4&amp;" "&amp;$B13,Actuals!$D$4:$AR$131,MONTH(T$6)+16,FALSE)</f>
        <v>0</v>
      </c>
      <c r="U13" s="219">
        <f>VLOOKUP($B$4&amp;" "&amp;$B13,Actuals!$D$4:$AR$131,MONTH(U$6)+16,FALSE)</f>
        <v>0</v>
      </c>
      <c r="V13" s="219">
        <f>VLOOKUP($B$4&amp;" "&amp;$B13,Actuals!$D$4:$AR$131,MONTH(V$6)+16,FALSE)</f>
        <v>0</v>
      </c>
      <c r="W13" s="219"/>
      <c r="X13" s="219"/>
      <c r="Y13" s="219"/>
      <c r="Z13" s="219"/>
      <c r="AA13" s="219"/>
      <c r="AB13" s="219"/>
      <c r="AC13" s="219" cm="1">
        <f t="array" ref="AC13">_xlfn.XLOOKUP(
   $B$4&amp;" "&amp;$B13,
   Actuals!$D:$D,
   _xlfn.XLOOKUP(
      AC$6,
      Actuals!$H$3:$BD$3,
      Actuals!$H:$BD
   )
)</f>
        <v>-151522.20000000001</v>
      </c>
      <c r="AD13" s="219" cm="1">
        <f t="array" ref="AD13">_xlfn.XLOOKUP(
   $B$4&amp;" "&amp;$B13,
   Actuals!$D:$D,
   _xlfn.XLOOKUP(
      AD$6,
      Actuals!$H$3:$BD$3,
      Actuals!$H:$BD
   )
)</f>
        <v>-153037.42200000002</v>
      </c>
      <c r="AE13" s="219" cm="1">
        <f t="array" ref="AE13">_xlfn.XLOOKUP(
   $B$4&amp;" "&amp;$B13,
   Actuals!$D:$D,
   _xlfn.XLOOKUP(
      AE$6,
      Actuals!$H$3:$BD$3,
      Actuals!$H:$BD
   )
)</f>
        <v>-154567.79622000002</v>
      </c>
      <c r="AF13" s="219" cm="1">
        <f t="array" ref="AF13">_xlfn.XLOOKUP(
   $B$4&amp;" "&amp;$B13,
   Actuals!$D:$D,
   _xlfn.XLOOKUP(
      AF$6,
      Actuals!$H$3:$BD$3,
      Actuals!$H:$BD
   )
)</f>
        <v>-156113.47418220001</v>
      </c>
      <c r="AG13" s="219" cm="1">
        <f t="array" ref="AG13">_xlfn.XLOOKUP(
   $B$4&amp;" "&amp;$B13,
   Actuals!$D:$D,
   _xlfn.XLOOKUP(
      AG$6,
      Actuals!$H$3:$BD$3,
      Actuals!$H:$BD
   )
)</f>
        <v>-157674.608924022</v>
      </c>
      <c r="AH13" s="219" cm="1">
        <f t="array" ref="AH13">_xlfn.XLOOKUP(
   $B$4&amp;" "&amp;$B13,
   Actuals!$D:$D,
   _xlfn.XLOOKUP(
      AH$6,
      Actuals!$H$3:$BD$3,
      Actuals!$H:$BD
   )
)</f>
        <v>-159251.35501326222</v>
      </c>
      <c r="AI13" s="219" cm="1">
        <f t="array" ref="AI13">_xlfn.XLOOKUP(
   $B$4&amp;" "&amp;$B13,
   Actuals!$D:$D,
   _xlfn.XLOOKUP(
      AI$6,
      Actuals!$H$3:$BD$3,
      Actuals!$H:$BD
   )
)</f>
        <v>-160843.86856339485</v>
      </c>
      <c r="AJ13" s="219" cm="1">
        <f t="array" ref="AJ13">_xlfn.XLOOKUP(
   $B$4&amp;" "&amp;$B13,
   Actuals!$D:$D,
   _xlfn.XLOOKUP(
      AJ$6,
      Actuals!$H$3:$BD$3,
      Actuals!$H:$BD
   )
)</f>
        <v>-162452.30724902879</v>
      </c>
      <c r="AK13" s="219" cm="1">
        <f t="array" ref="AK13">_xlfn.XLOOKUP(
   $B$4&amp;" "&amp;$B13,
   Actuals!$D:$D,
   _xlfn.XLOOKUP(
      AK$6,
      Actuals!$H$3:$BD$3,
      Actuals!$H:$BD
   )
)</f>
        <v>-164076.83032151908</v>
      </c>
      <c r="AL13" s="219" cm="1">
        <f t="array" ref="AL13">_xlfn.XLOOKUP(
   $B$4&amp;" "&amp;$B13,
   Actuals!$D:$D,
   _xlfn.XLOOKUP(
      AL$6,
      Actuals!$H$3:$BD$3,
      Actuals!$H:$BD
   )
)</f>
        <v>-165717.59862473427</v>
      </c>
      <c r="AM13" s="219" cm="1">
        <f t="array" ref="AM13">_xlfn.XLOOKUP(
   $B$4&amp;" "&amp;$B13,
   Actuals!$D:$D,
   _xlfn.XLOOKUP(
      AM$6,
      Actuals!$H$3:$BD$3,
      Actuals!$H:$BD
   )
)</f>
        <v>-167374.77461098161</v>
      </c>
      <c r="AN13" s="219" cm="1">
        <f t="array" ref="AN13">_xlfn.XLOOKUP(
   $B$4&amp;" "&amp;$B13,
   Actuals!$D:$D,
   _xlfn.XLOOKUP(
      AN$6,
      Actuals!$H$3:$BD$3,
      Actuals!$H:$BD
   )
)</f>
        <v>-169048.52235709142</v>
      </c>
      <c r="AO13" s="219" cm="1">
        <f t="array" ref="AO13">_xlfn.XLOOKUP(
   $B$4&amp;" "&amp;$B13,
   Actuals!$D:$D,
   _xlfn.XLOOKUP(
      AO$6,
      Actuals!$H$3:$BD$3,
      Actuals!$H:$BD
   )
)</f>
        <v>-170739.00758066235</v>
      </c>
      <c r="AP13" s="219" cm="1">
        <f t="array" ref="AP13">_xlfn.XLOOKUP(
   $B$4&amp;" "&amp;$B13,
   Actuals!$D:$D,
   _xlfn.XLOOKUP(
      AP$6,
      Actuals!$H$3:$BD$3,
      Actuals!$H:$BD
   )
)</f>
        <v>-172446.39765646897</v>
      </c>
      <c r="AQ13" s="219" cm="1">
        <f t="array" ref="AQ13">_xlfn.XLOOKUP(
   $B$4&amp;" "&amp;$B13,
   Actuals!$D:$D,
   _xlfn.XLOOKUP(
      AQ$6,
      Actuals!$H$3:$BD$3,
      Actuals!$H:$BD
   )
)</f>
        <v>-174170.86163303367</v>
      </c>
      <c r="AR13" s="219" cm="1">
        <f t="array" ref="AR13">_xlfn.XLOOKUP(
   $B$4&amp;" "&amp;$B13,
   Actuals!$D:$D,
   _xlfn.XLOOKUP(
      AR$6,
      Actuals!$H$3:$BD$3,
      Actuals!$H:$BD
   )
)</f>
        <v>0</v>
      </c>
      <c r="AS13" s="219" cm="1">
        <f t="array" ref="AS13">_xlfn.XLOOKUP(
   $B$4&amp;" "&amp;$B13,
   Actuals!$D:$D,
   _xlfn.XLOOKUP(
      AS$6,
      Actuals!$H$3:$BD$3,
      Actuals!$H:$BD
   )
)</f>
        <v>0</v>
      </c>
      <c r="AT13" s="219" cm="1">
        <f t="array" ref="AT13">_xlfn.XLOOKUP(
   $B$4&amp;" "&amp;$B13,
   Actuals!$D:$D,
   _xlfn.XLOOKUP(
      AT$6,
      Actuals!$H$3:$BD$3,
      Actuals!$H:$BD
   )
)</f>
        <v>0</v>
      </c>
      <c r="AU13" s="219" cm="1">
        <f t="array" ref="AU13">_xlfn.XLOOKUP(
   $B$4&amp;" "&amp;$B13,
   Actuals!$D:$D,
   _xlfn.XLOOKUP(
      AU$6,
      Actuals!$H$3:$BD$3,
      Actuals!$H:$BD
   )
)</f>
        <v>0</v>
      </c>
      <c r="AV13" s="219" cm="1">
        <f t="array" ref="AV13">_xlfn.XLOOKUP(
   $B$4&amp;" "&amp;$B13,
   Actuals!$D:$D,
   _xlfn.XLOOKUP(
      AV$6,
      Actuals!$H$3:$BD$3,
      Actuals!$H:$BD
   )
)</f>
        <v>0</v>
      </c>
      <c r="AW13" s="219" cm="1">
        <f t="array" ref="AW13">_xlfn.XLOOKUP(
   $B$4&amp;" "&amp;$B13,
   Actuals!$D:$D,
   _xlfn.XLOOKUP(
      AW$6,
      Actuals!$H$3:$BD$3,
      Actuals!$H:$BD
   )
)</f>
        <v>0</v>
      </c>
      <c r="AX13" s="219" cm="1">
        <f t="array" ref="AX13">_xlfn.XLOOKUP(
   $B$4&amp;" "&amp;$B13,
   Actuals!$D:$D,
   _xlfn.XLOOKUP(
      AX$6,
      Actuals!$H$3:$BD$3,
      Actuals!$H:$BD
   )
)</f>
        <v>0</v>
      </c>
      <c r="AY13" s="219" cm="1">
        <f t="array" ref="AY13">_xlfn.XLOOKUP(
   $B$4&amp;" "&amp;$B13,
   Actuals!$D:$D,
   _xlfn.XLOOKUP(
      AY$6,
      Actuals!$H$3:$BD$3,
      Actuals!$H:$BD
   )
)</f>
        <v>0</v>
      </c>
      <c r="AZ13" s="219" cm="1">
        <f t="array" ref="AZ13">_xlfn.XLOOKUP(
   $B$4&amp;" "&amp;$B13,
   Actuals!$D:$D,
   _xlfn.XLOOKUP(
      AZ$6,
      Actuals!$H$3:$BD$3,
      Actuals!$H:$BD
   )
)</f>
        <v>0</v>
      </c>
      <c r="BA13" s="210"/>
      <c r="BB13" s="219" cm="1">
        <f t="array" ref="BB13">_xlfn.XLOOKUP(
   $B$4&amp;" "&amp;$B13,
   Actuals!$D:$D,
   _xlfn.XLOOKUP(
      BB$7,
      Actuals!$H$3:$BM$3,
      Actuals!$H:$BM
   )
)</f>
        <v>-517356.26687016495</v>
      </c>
      <c r="BC13" s="219">
        <f>VLOOKUP($B$4&amp;" "&amp;$B13,Budget!$AG$4:$AL$132,$BB$5+1,FALSE)</f>
        <v>-518853</v>
      </c>
      <c r="BD13" s="219">
        <f t="shared" si="16"/>
        <v>1496.7331298350473</v>
      </c>
      <c r="BE13" s="210"/>
      <c r="BF13" s="219" cm="1">
        <f t="array" ref="BF13">_xlfn.XLOOKUP(
   $B$4&amp;" "&amp;$B13,
   Actuals!$D:$D,
   _xlfn.XLOOKUP(
      BF$7,
      Actuals!$H$3:$BM$3,
      Actuals!$H:$BM
   )
)</f>
        <v>0</v>
      </c>
      <c r="BG13" s="219">
        <f>VLOOKUP($B$4&amp;" "&amp;$B13,Budget!$AG$4:$AL$132,BF$5+1,FALSE)</f>
        <v>-456641</v>
      </c>
      <c r="BH13" s="219">
        <f t="shared" si="17"/>
        <v>456641</v>
      </c>
      <c r="BI13" s="210"/>
      <c r="BJ13" s="219" cm="1">
        <f t="array" ref="BJ13">_xlfn.XLOOKUP(
   $B$4&amp;" "&amp;$B13,
   Actuals!$D:$D,
   _xlfn.XLOOKUP(
      BJ$7,
      Actuals!$H$3:$BM$3,
      Actuals!$H:$BM
   )
)</f>
        <v>0</v>
      </c>
      <c r="BK13" s="219">
        <f>VLOOKUP($B$4&amp;" "&amp;$B13,Budget!$AG$4:$AL$132,BJ$5+1,FALSE)</f>
        <v>-474925</v>
      </c>
      <c r="BL13" s="219">
        <f t="shared" si="18"/>
        <v>474925</v>
      </c>
      <c r="BM13" s="210"/>
      <c r="BN13" s="210" cm="1">
        <f t="array" ref="BN13">_xlfn.XLOOKUP(
   $B$4&amp;" "&amp;$B13,
   Actuals!$D:$D,
   _xlfn.XLOOKUP(
      BN$7,
      Actuals!$H$3:$BM$3,
      Actuals!$H:$BM
   )
)</f>
        <v>0</v>
      </c>
      <c r="BO13" s="219">
        <f>VLOOKUP($B$4&amp;" "&amp;$B13,Budget!$AG$4:$AL$132,BN$5+1,FALSE)</f>
        <v>-478492</v>
      </c>
      <c r="BP13" s="210"/>
      <c r="BQ13" s="210"/>
      <c r="BR13" s="219" cm="1">
        <f t="array" aca="1" ref="BR13" ca="1">_xlfn.XLOOKUP(
   $B$4&amp;" "&amp;$B13,
   Actuals!$D:$D,
   _xlfn.XLOOKUP(
      BR$6,
      Actuals!$H$3:$BM$3,
      Actuals!$H:$BM
   )
)</f>
        <v>-517356.26687016495</v>
      </c>
      <c r="BS13" s="219">
        <f ca="1">VLOOKUP($B$4&amp;" "&amp;$B13,Budget!$AG$4:$AL$132,6,FALSE)</f>
        <v>-1936528</v>
      </c>
      <c r="BT13" s="219">
        <f t="shared" ca="1" si="19"/>
        <v>1419171.733129835</v>
      </c>
      <c r="BU13" s="210"/>
      <c r="BV13" s="219" cm="1">
        <f t="array" ref="BV13">_xlfn.XLOOKUP(
   $B$4&amp;" "&amp;$B13,
   Actuals!$D:$D,
   _xlfn.XLOOKUP(
      BV$6,
      Actuals!$H$3:$BM$3,
      Actuals!$H:$BM
   )
)</f>
        <v>-1940897.5656468968</v>
      </c>
    </row>
    <row r="14" spans="2:74" s="26" customFormat="1">
      <c r="B14" s="26" t="s">
        <v>213</v>
      </c>
      <c r="C14" s="139" t="s">
        <v>49</v>
      </c>
      <c r="D14" s="171" t="str">
        <f>VLOOKUP($B$4&amp;" "&amp;$B14,Actuals!$D$4:$AG$131,3,FALSE)</f>
        <v>$</v>
      </c>
      <c r="E14" s="215">
        <f>VLOOKUP($B$4&amp;" "&amp;$B14,Actuals!$D$4:$AG$131,MONTH(E$6)+4,FALSE)</f>
        <v>-135237.53</v>
      </c>
      <c r="F14" s="215">
        <f>VLOOKUP($B$4&amp;" "&amp;$B14,Actuals!$D$4:$AG$131,MONTH(F$6)+4,FALSE)</f>
        <v>-118496.64</v>
      </c>
      <c r="G14" s="215">
        <f>VLOOKUP($B$4&amp;" "&amp;$B14,Actuals!$D$4:$AG$131,MONTH(G$6)+4,FALSE)</f>
        <v>-140726.63</v>
      </c>
      <c r="H14" s="215">
        <f>VLOOKUP($B$4&amp;" "&amp;$B14,Actuals!$D$4:$AG$131,MONTH(H$6)+4,FALSE)</f>
        <v>-148811.22</v>
      </c>
      <c r="I14" s="215">
        <f>VLOOKUP($B$4&amp;" "&amp;$B14,Actuals!$D$4:$AG$131,MONTH(I$6)+4,FALSE)</f>
        <v>-151250</v>
      </c>
      <c r="J14" s="215">
        <f>VLOOKUP($B$4&amp;" "&amp;$B14,Actuals!$D$4:$AG$131,MONTH(J$6)+4,FALSE)</f>
        <v>-146217.68</v>
      </c>
      <c r="K14" s="215">
        <f>VLOOKUP($B$4&amp;" "&amp;$B14,Actuals!$D$4:$AG$131,MONTH(K$6)+4,FALSE)</f>
        <v>-122131.65</v>
      </c>
      <c r="L14" s="215">
        <f>VLOOKUP($B$4&amp;" "&amp;$B14,Actuals!$D$4:$AG$131,MONTH(L$6)+4,FALSE)</f>
        <v>-128831.6</v>
      </c>
      <c r="M14" s="215">
        <f>VLOOKUP($B$4&amp;" "&amp;$B14,Actuals!$D$4:$AG$131,MONTH(M$6)+4,FALSE)</f>
        <v>-112545.23999999999</v>
      </c>
      <c r="N14" s="215">
        <f>VLOOKUP($B$4&amp;" "&amp;$B14,Actuals!$D$4:$AG$131,MONTH(N$6)+4,FALSE)</f>
        <v>-110157.75999999999</v>
      </c>
      <c r="O14" s="219">
        <f>VLOOKUP($B$4&amp;" "&amp;$B14,Actuals!$D$4:$AG$131,MONTH(O$6)+4,FALSE)</f>
        <v>0</v>
      </c>
      <c r="P14" s="219">
        <f>VLOOKUP($B$4&amp;" "&amp;$B14,Actuals!$D$4:$AG$131,MONTH(P$6)+4,FALSE)</f>
        <v>0</v>
      </c>
      <c r="Q14" s="219">
        <f>VLOOKUP($B$4&amp;" "&amp;$B14,Actuals!$D$4:$AR$131,MONTH(Q$6)+16,FALSE)</f>
        <v>0</v>
      </c>
      <c r="R14" s="219">
        <f>VLOOKUP($B$4&amp;" "&amp;$B14,Actuals!$D$4:$AR$131,MONTH(R$6)+16,FALSE)</f>
        <v>0</v>
      </c>
      <c r="S14" s="219">
        <f>VLOOKUP($B$4&amp;" "&amp;$B14,Actuals!$D$4:$AR$131,MONTH(S$6)+16,FALSE)</f>
        <v>0</v>
      </c>
      <c r="T14" s="219">
        <f>VLOOKUP($B$4&amp;" "&amp;$B14,Actuals!$D$4:$AR$131,MONTH(T$6)+16,FALSE)</f>
        <v>0</v>
      </c>
      <c r="U14" s="219">
        <f>VLOOKUP($B$4&amp;" "&amp;$B14,Actuals!$D$4:$AR$131,MONTH(U$6)+16,FALSE)</f>
        <v>0</v>
      </c>
      <c r="V14" s="219">
        <f>VLOOKUP($B$4&amp;" "&amp;$B14,Actuals!$D$4:$AR$131,MONTH(V$6)+16,FALSE)</f>
        <v>0</v>
      </c>
      <c r="W14" s="219"/>
      <c r="X14" s="219"/>
      <c r="Y14" s="219"/>
      <c r="Z14" s="219"/>
      <c r="AA14" s="219"/>
      <c r="AB14" s="219"/>
      <c r="AC14" s="219" cm="1">
        <f t="array" ref="AC14">_xlfn.XLOOKUP(
   $B$4&amp;" "&amp;$B14,
   Actuals!$D:$D,
   _xlfn.XLOOKUP(
      AC$6,
      Actuals!$H$3:$BD$3,
      Actuals!$H:$BD
   )
)</f>
        <v>-47234.7</v>
      </c>
      <c r="AD14" s="219" cm="1">
        <f t="array" ref="AD14">_xlfn.XLOOKUP(
   $B$4&amp;" "&amp;$B14,
   Actuals!$D:$D,
   _xlfn.XLOOKUP(
      AD$6,
      Actuals!$H$3:$BD$3,
      Actuals!$H:$BD
   )
)</f>
        <v>-47707.046999999999</v>
      </c>
      <c r="AE14" s="219" cm="1">
        <f t="array" ref="AE14">_xlfn.XLOOKUP(
   $B$4&amp;" "&amp;$B14,
   Actuals!$D:$D,
   _xlfn.XLOOKUP(
      AE$6,
      Actuals!$H$3:$BD$3,
      Actuals!$H:$BD
   )
)</f>
        <v>-48184.117469999997</v>
      </c>
      <c r="AF14" s="219" cm="1">
        <f t="array" ref="AF14">_xlfn.XLOOKUP(
   $B$4&amp;" "&amp;$B14,
   Actuals!$D:$D,
   _xlfn.XLOOKUP(
      AF$6,
      Actuals!$H$3:$BD$3,
      Actuals!$H:$BD
   )
)</f>
        <v>-48665.958644699997</v>
      </c>
      <c r="AG14" s="219" cm="1">
        <f t="array" ref="AG14">_xlfn.XLOOKUP(
   $B$4&amp;" "&amp;$B14,
   Actuals!$D:$D,
   _xlfn.XLOOKUP(
      AG$6,
      Actuals!$H$3:$BD$3,
      Actuals!$H:$BD
   )
)</f>
        <v>-49152.618231146997</v>
      </c>
      <c r="AH14" s="219" cm="1">
        <f t="array" ref="AH14">_xlfn.XLOOKUP(
   $B$4&amp;" "&amp;$B14,
   Actuals!$D:$D,
   _xlfn.XLOOKUP(
      AH$6,
      Actuals!$H$3:$BD$3,
      Actuals!$H:$BD
   )
)</f>
        <v>-49644.144413458467</v>
      </c>
      <c r="AI14" s="219" cm="1">
        <f t="array" ref="AI14">_xlfn.XLOOKUP(
   $B$4&amp;" "&amp;$B14,
   Actuals!$D:$D,
   _xlfn.XLOOKUP(
      AI$6,
      Actuals!$H$3:$BD$3,
      Actuals!$H:$BD
   )
)</f>
        <v>-50140.585857593054</v>
      </c>
      <c r="AJ14" s="219" cm="1">
        <f t="array" ref="AJ14">_xlfn.XLOOKUP(
   $B$4&amp;" "&amp;$B14,
   Actuals!$D:$D,
   _xlfn.XLOOKUP(
      AJ$6,
      Actuals!$H$3:$BD$3,
      Actuals!$H:$BD
   )
)</f>
        <v>-50641.991716168988</v>
      </c>
      <c r="AK14" s="219" cm="1">
        <f t="array" ref="AK14">_xlfn.XLOOKUP(
   $B$4&amp;" "&amp;$B14,
   Actuals!$D:$D,
   _xlfn.XLOOKUP(
      AK$6,
      Actuals!$H$3:$BD$3,
      Actuals!$H:$BD
   )
)</f>
        <v>-51148.411633330681</v>
      </c>
      <c r="AL14" s="219" cm="1">
        <f t="array" ref="AL14">_xlfn.XLOOKUP(
   $B$4&amp;" "&amp;$B14,
   Actuals!$D:$D,
   _xlfn.XLOOKUP(
      AL$6,
      Actuals!$H$3:$BD$3,
      Actuals!$H:$BD
   )
)</f>
        <v>-51659.895749663985</v>
      </c>
      <c r="AM14" s="219" cm="1">
        <f t="array" ref="AM14">_xlfn.XLOOKUP(
   $B$4&amp;" "&amp;$B14,
   Actuals!$D:$D,
   _xlfn.XLOOKUP(
      AM$6,
      Actuals!$H$3:$BD$3,
      Actuals!$H:$BD
   )
)</f>
        <v>-52176.494707160622</v>
      </c>
      <c r="AN14" s="219" cm="1">
        <f t="array" ref="AN14">_xlfn.XLOOKUP(
   $B$4&amp;" "&amp;$B14,
   Actuals!$D:$D,
   _xlfn.XLOOKUP(
      AN$6,
      Actuals!$H$3:$BD$3,
      Actuals!$H:$BD
   )
)</f>
        <v>-52698.259654232228</v>
      </c>
      <c r="AO14" s="219" cm="1">
        <f t="array" ref="AO14">_xlfn.XLOOKUP(
   $B$4&amp;" "&amp;$B14,
   Actuals!$D:$D,
   _xlfn.XLOOKUP(
      AO$6,
      Actuals!$H$3:$BD$3,
      Actuals!$H:$BD
   )
)</f>
        <v>-53225.24225077455</v>
      </c>
      <c r="AP14" s="219" cm="1">
        <f t="array" ref="AP14">_xlfn.XLOOKUP(
   $B$4&amp;" "&amp;$B14,
   Actuals!$D:$D,
   _xlfn.XLOOKUP(
      AP$6,
      Actuals!$H$3:$BD$3,
      Actuals!$H:$BD
   )
)</f>
        <v>-53757.494673282294</v>
      </c>
      <c r="AQ14" s="219" cm="1">
        <f t="array" ref="AQ14">_xlfn.XLOOKUP(
   $B$4&amp;" "&amp;$B14,
   Actuals!$D:$D,
   _xlfn.XLOOKUP(
      AQ$6,
      Actuals!$H$3:$BD$3,
      Actuals!$H:$BD
   )
)</f>
        <v>-54295.069620015114</v>
      </c>
      <c r="AR14" s="219" cm="1">
        <f t="array" ref="AR14">_xlfn.XLOOKUP(
   $B$4&amp;" "&amp;$B14,
   Actuals!$D:$D,
   _xlfn.XLOOKUP(
      AR$6,
      Actuals!$H$3:$BD$3,
      Actuals!$H:$BD
   )
)</f>
        <v>0</v>
      </c>
      <c r="AS14" s="219" cm="1">
        <f t="array" ref="AS14">_xlfn.XLOOKUP(
   $B$4&amp;" "&amp;$B14,
   Actuals!$D:$D,
   _xlfn.XLOOKUP(
      AS$6,
      Actuals!$H$3:$BD$3,
      Actuals!$H:$BD
   )
)</f>
        <v>0</v>
      </c>
      <c r="AT14" s="219" cm="1">
        <f t="array" ref="AT14">_xlfn.XLOOKUP(
   $B$4&amp;" "&amp;$B14,
   Actuals!$D:$D,
   _xlfn.XLOOKUP(
      AT$6,
      Actuals!$H$3:$BD$3,
      Actuals!$H:$BD
   )
)</f>
        <v>0</v>
      </c>
      <c r="AU14" s="219" cm="1">
        <f t="array" ref="AU14">_xlfn.XLOOKUP(
   $B$4&amp;" "&amp;$B14,
   Actuals!$D:$D,
   _xlfn.XLOOKUP(
      AU$6,
      Actuals!$H$3:$BD$3,
      Actuals!$H:$BD
   )
)</f>
        <v>0</v>
      </c>
      <c r="AV14" s="219" cm="1">
        <f t="array" ref="AV14">_xlfn.XLOOKUP(
   $B$4&amp;" "&amp;$B14,
   Actuals!$D:$D,
   _xlfn.XLOOKUP(
      AV$6,
      Actuals!$H$3:$BD$3,
      Actuals!$H:$BD
   )
)</f>
        <v>0</v>
      </c>
      <c r="AW14" s="219" cm="1">
        <f t="array" ref="AW14">_xlfn.XLOOKUP(
   $B$4&amp;" "&amp;$B14,
   Actuals!$D:$D,
   _xlfn.XLOOKUP(
      AW$6,
      Actuals!$H$3:$BD$3,
      Actuals!$H:$BD
   )
)</f>
        <v>0</v>
      </c>
      <c r="AX14" s="219" cm="1">
        <f t="array" ref="AX14">_xlfn.XLOOKUP(
   $B$4&amp;" "&amp;$B14,
   Actuals!$D:$D,
   _xlfn.XLOOKUP(
      AX$6,
      Actuals!$H$3:$BD$3,
      Actuals!$H:$BD
   )
)</f>
        <v>0</v>
      </c>
      <c r="AY14" s="219" cm="1">
        <f t="array" ref="AY14">_xlfn.XLOOKUP(
   $B$4&amp;" "&amp;$B14,
   Actuals!$D:$D,
   _xlfn.XLOOKUP(
      AY$6,
      Actuals!$H$3:$BD$3,
      Actuals!$H:$BD
   )
)</f>
        <v>0</v>
      </c>
      <c r="AZ14" s="219" cm="1">
        <f t="array" ref="AZ14">_xlfn.XLOOKUP(
   $B$4&amp;" "&amp;$B14,
   Actuals!$D:$D,
   _xlfn.XLOOKUP(
      AZ$6,
      Actuals!$H$3:$BD$3,
      Actuals!$H:$BD
   )
)</f>
        <v>0</v>
      </c>
      <c r="BA14" s="210"/>
      <c r="BB14" s="219" cm="1">
        <f t="array" ref="BB14">_xlfn.XLOOKUP(
   $B$4&amp;" "&amp;$B14,
   Actuals!$D:$D,
   _xlfn.XLOOKUP(
      BB$7,
      Actuals!$H$3:$BM$3,
      Actuals!$H:$BM
   )
)</f>
        <v>-161277.80654407194</v>
      </c>
      <c r="BC14" s="219">
        <f>VLOOKUP($B$4&amp;" "&amp;$B14,Budget!$AG$4:$AL$132,$BB$5+1,FALSE)</f>
        <v>-442762</v>
      </c>
      <c r="BD14" s="219">
        <f t="shared" si="16"/>
        <v>281484.19345592806</v>
      </c>
      <c r="BE14" s="210"/>
      <c r="BF14" s="219" cm="1">
        <f t="array" ref="BF14">_xlfn.XLOOKUP(
   $B$4&amp;" "&amp;$B14,
   Actuals!$D:$D,
   _xlfn.XLOOKUP(
      BF$7,
      Actuals!$H$3:$BM$3,
      Actuals!$H:$BM
   )
)</f>
        <v>0</v>
      </c>
      <c r="BG14" s="219">
        <f>VLOOKUP($B$4&amp;" "&amp;$B14,Budget!$AG$4:$AL$132,BF$5+1,FALSE)</f>
        <v>-401550</v>
      </c>
      <c r="BH14" s="219">
        <f t="shared" si="17"/>
        <v>401550</v>
      </c>
      <c r="BI14" s="210"/>
      <c r="BJ14" s="219" cm="1">
        <f t="array" ref="BJ14">_xlfn.XLOOKUP(
   $B$4&amp;" "&amp;$B14,
   Actuals!$D:$D,
   _xlfn.XLOOKUP(
      BJ$7,
      Actuals!$H$3:$BM$3,
      Actuals!$H:$BM
   )
)</f>
        <v>0</v>
      </c>
      <c r="BK14" s="219">
        <f>VLOOKUP($B$4&amp;" "&amp;$B14,Budget!$AG$4:$AL$132,BJ$5+1,FALSE)</f>
        <v>-410176</v>
      </c>
      <c r="BL14" s="219">
        <f t="shared" si="18"/>
        <v>410176</v>
      </c>
      <c r="BM14" s="210"/>
      <c r="BN14" s="210" cm="1">
        <f t="array" ref="BN14">_xlfn.XLOOKUP(
   $B$4&amp;" "&amp;$B14,
   Actuals!$D:$D,
   _xlfn.XLOOKUP(
      BN$7,
      Actuals!$H$3:$BM$3,
      Actuals!$H:$BM
   )
)</f>
        <v>0</v>
      </c>
      <c r="BO14" s="219">
        <f>VLOOKUP($B$4&amp;" "&amp;$B14,Budget!$AG$4:$AL$132,BN$5+1,FALSE)</f>
        <v>-409989</v>
      </c>
      <c r="BP14" s="210"/>
      <c r="BQ14" s="210"/>
      <c r="BR14" s="219" cm="1">
        <f t="array" aca="1" ref="BR14" ca="1">_xlfn.XLOOKUP(
   $B$4&amp;" "&amp;$B14,
   Actuals!$D:$D,
   _xlfn.XLOOKUP(
      BR$6,
      Actuals!$H$3:$BM$3,
      Actuals!$H:$BM
   )
)</f>
        <v>-161277.80654407194</v>
      </c>
      <c r="BS14" s="219">
        <f ca="1">VLOOKUP($B$4&amp;" "&amp;$B14,Budget!$AG$4:$AL$132,6,FALSE)</f>
        <v>-1666090</v>
      </c>
      <c r="BT14" s="219">
        <f t="shared" ca="1" si="19"/>
        <v>1504812.193455928</v>
      </c>
      <c r="BU14" s="210"/>
      <c r="BV14" s="219" cm="1">
        <f t="array" ref="BV14">_xlfn.XLOOKUP(
   $B$4&amp;" "&amp;$B14,
   Actuals!$D:$D,
   _xlfn.XLOOKUP(
      BV$6,
      Actuals!$H$3:$BM$3,
      Actuals!$H:$BM
   )
)</f>
        <v>-605044.76732822962</v>
      </c>
    </row>
    <row r="15" spans="2:74" s="26" customFormat="1">
      <c r="B15" s="26" t="s">
        <v>214</v>
      </c>
      <c r="C15" s="139" t="s">
        <v>49</v>
      </c>
      <c r="D15" s="171" t="str">
        <f>VLOOKUP($B$4&amp;" "&amp;$B15,Actuals!$D$4:$AG$131,3,FALSE)</f>
        <v>$</v>
      </c>
      <c r="E15" s="215">
        <f>VLOOKUP($B$4&amp;" "&amp;$B15,Actuals!$D$4:$AG$131,MONTH(E$6)+4,FALSE)</f>
        <v>-78031.94</v>
      </c>
      <c r="F15" s="215">
        <f>VLOOKUP($B$4&amp;" "&amp;$B15,Actuals!$D$4:$AG$131,MONTH(F$6)+4,FALSE)</f>
        <v>-32094.639999999999</v>
      </c>
      <c r="G15" s="215">
        <f>VLOOKUP($B$4&amp;" "&amp;$B15,Actuals!$D$4:$AG$131,MONTH(G$6)+4,FALSE)</f>
        <v>-30347.64</v>
      </c>
      <c r="H15" s="215">
        <f>VLOOKUP($B$4&amp;" "&amp;$B15,Actuals!$D$4:$AG$131,MONTH(H$6)+4,FALSE)</f>
        <v>-41967.63</v>
      </c>
      <c r="I15" s="215">
        <f>VLOOKUP($B$4&amp;" "&amp;$B15,Actuals!$D$4:$AG$131,MONTH(I$6)+4,FALSE)</f>
        <v>-39689.32</v>
      </c>
      <c r="J15" s="215">
        <f>VLOOKUP($B$4&amp;" "&amp;$B15,Actuals!$D$4:$AG$131,MONTH(J$6)+4,FALSE)</f>
        <v>-55421.7</v>
      </c>
      <c r="K15" s="215">
        <f>VLOOKUP($B$4&amp;" "&amp;$B15,Actuals!$D$4:$AG$131,MONTH(K$6)+4,FALSE)</f>
        <v>-38982.490000000005</v>
      </c>
      <c r="L15" s="215">
        <f>VLOOKUP($B$4&amp;" "&amp;$B15,Actuals!$D$4:$AG$131,MONTH(L$6)+4,FALSE)</f>
        <v>-56691.509999999995</v>
      </c>
      <c r="M15" s="215">
        <f>VLOOKUP($B$4&amp;" "&amp;$B15,Actuals!$D$4:$AG$131,MONTH(M$6)+4,FALSE)</f>
        <v>-94428.05</v>
      </c>
      <c r="N15" s="215">
        <f>VLOOKUP($B$4&amp;" "&amp;$B15,Actuals!$D$4:$AG$131,MONTH(N$6)+4,FALSE)</f>
        <v>-78576.52</v>
      </c>
      <c r="O15" s="219">
        <f>VLOOKUP($B$4&amp;" "&amp;$B15,Actuals!$D$4:$AG$131,MONTH(O$6)+4,FALSE)</f>
        <v>0</v>
      </c>
      <c r="P15" s="219">
        <f>VLOOKUP($B$4&amp;" "&amp;$B15,Actuals!$D$4:$AG$131,MONTH(P$6)+4,FALSE)</f>
        <v>0</v>
      </c>
      <c r="Q15" s="219">
        <f>VLOOKUP($B$4&amp;" "&amp;$B15,Actuals!$D$4:$AR$131,MONTH(Q$6)+16,FALSE)</f>
        <v>0</v>
      </c>
      <c r="R15" s="219">
        <f>VLOOKUP($B$4&amp;" "&amp;$B15,Actuals!$D$4:$AR$131,MONTH(R$6)+16,FALSE)</f>
        <v>0</v>
      </c>
      <c r="S15" s="219">
        <f>VLOOKUP($B$4&amp;" "&amp;$B15,Actuals!$D$4:$AR$131,MONTH(S$6)+16,FALSE)</f>
        <v>0</v>
      </c>
      <c r="T15" s="219">
        <f>VLOOKUP($B$4&amp;" "&amp;$B15,Actuals!$D$4:$AR$131,MONTH(T$6)+16,FALSE)</f>
        <v>0</v>
      </c>
      <c r="U15" s="219">
        <f>VLOOKUP($B$4&amp;" "&amp;$B15,Actuals!$D$4:$AR$131,MONTH(U$6)+16,FALSE)</f>
        <v>0</v>
      </c>
      <c r="V15" s="219">
        <f>VLOOKUP($B$4&amp;" "&amp;$B15,Actuals!$D$4:$AR$131,MONTH(V$6)+16,FALSE)</f>
        <v>0</v>
      </c>
      <c r="W15" s="219"/>
      <c r="X15" s="219"/>
      <c r="Y15" s="219"/>
      <c r="Z15" s="219"/>
      <c r="AA15" s="219"/>
      <c r="AB15" s="219"/>
      <c r="AC15" s="219" cm="1">
        <f t="array" ref="AC15">_xlfn.XLOOKUP(
   $B$4&amp;" "&amp;$B15,
   Actuals!$D:$D,
   _xlfn.XLOOKUP(
      AC$6,
      Actuals!$H$3:$BD$3,
      Actuals!$H:$BD
   )
)</f>
        <v>-71648.460000000006</v>
      </c>
      <c r="AD15" s="219" cm="1">
        <f t="array" ref="AD15">_xlfn.XLOOKUP(
   $B$4&amp;" "&amp;$B15,
   Actuals!$D:$D,
   _xlfn.XLOOKUP(
      AD$6,
      Actuals!$H$3:$BD$3,
      Actuals!$H:$BD
   )
)</f>
        <v>-72364.944600000003</v>
      </c>
      <c r="AE15" s="219" cm="1">
        <f t="array" ref="AE15">_xlfn.XLOOKUP(
   $B$4&amp;" "&amp;$B15,
   Actuals!$D:$D,
   _xlfn.XLOOKUP(
      AE$6,
      Actuals!$H$3:$BD$3,
      Actuals!$H:$BD
   )
)</f>
        <v>-73088.594045999998</v>
      </c>
      <c r="AF15" s="219" cm="1">
        <f t="array" ref="AF15">_xlfn.XLOOKUP(
   $B$4&amp;" "&amp;$B15,
   Actuals!$D:$D,
   _xlfn.XLOOKUP(
      AF$6,
      Actuals!$H$3:$BD$3,
      Actuals!$H:$BD
   )
)</f>
        <v>-73819.479986459992</v>
      </c>
      <c r="AG15" s="219" cm="1">
        <f t="array" ref="AG15">_xlfn.XLOOKUP(
   $B$4&amp;" "&amp;$B15,
   Actuals!$D:$D,
   _xlfn.XLOOKUP(
      AG$6,
      Actuals!$H$3:$BD$3,
      Actuals!$H:$BD
   )
)</f>
        <v>-74557.674786324598</v>
      </c>
      <c r="AH15" s="219" cm="1">
        <f t="array" ref="AH15">_xlfn.XLOOKUP(
   $B$4&amp;" "&amp;$B15,
   Actuals!$D:$D,
   _xlfn.XLOOKUP(
      AH$6,
      Actuals!$H$3:$BD$3,
      Actuals!$H:$BD
   )
)</f>
        <v>-75303.251534187846</v>
      </c>
      <c r="AI15" s="219" cm="1">
        <f t="array" ref="AI15">_xlfn.XLOOKUP(
   $B$4&amp;" "&amp;$B15,
   Actuals!$D:$D,
   _xlfn.XLOOKUP(
      AI$6,
      Actuals!$H$3:$BD$3,
      Actuals!$H:$BD
   )
)</f>
        <v>-76056.284049529728</v>
      </c>
      <c r="AJ15" s="219" cm="1">
        <f t="array" ref="AJ15">_xlfn.XLOOKUP(
   $B$4&amp;" "&amp;$B15,
   Actuals!$D:$D,
   _xlfn.XLOOKUP(
      AJ$6,
      Actuals!$H$3:$BD$3,
      Actuals!$H:$BD
   )
)</f>
        <v>-76816.84689002503</v>
      </c>
      <c r="AK15" s="219" cm="1">
        <f t="array" ref="AK15">_xlfn.XLOOKUP(
   $B$4&amp;" "&amp;$B15,
   Actuals!$D:$D,
   _xlfn.XLOOKUP(
      AK$6,
      Actuals!$H$3:$BD$3,
      Actuals!$H:$BD
   )
)</f>
        <v>-77585.015358925273</v>
      </c>
      <c r="AL15" s="219" cm="1">
        <f t="array" ref="AL15">_xlfn.XLOOKUP(
   $B$4&amp;" "&amp;$B15,
   Actuals!$D:$D,
   _xlfn.XLOOKUP(
      AL$6,
      Actuals!$H$3:$BD$3,
      Actuals!$H:$BD
   )
)</f>
        <v>-78360.865512514531</v>
      </c>
      <c r="AM15" s="219" cm="1">
        <f t="array" ref="AM15">_xlfn.XLOOKUP(
   $B$4&amp;" "&amp;$B15,
   Actuals!$D:$D,
   _xlfn.XLOOKUP(
      AM$6,
      Actuals!$H$3:$BD$3,
      Actuals!$H:$BD
   )
)</f>
        <v>-79144.474167639681</v>
      </c>
      <c r="AN15" s="219" cm="1">
        <f t="array" ref="AN15">_xlfn.XLOOKUP(
   $B$4&amp;" "&amp;$B15,
   Actuals!$D:$D,
   _xlfn.XLOOKUP(
      AN$6,
      Actuals!$H$3:$BD$3,
      Actuals!$H:$BD
   )
)</f>
        <v>-79935.918909316082</v>
      </c>
      <c r="AO15" s="219" cm="1">
        <f t="array" ref="AO15">_xlfn.XLOOKUP(
   $B$4&amp;" "&amp;$B15,
   Actuals!$D:$D,
   _xlfn.XLOOKUP(
      AO$6,
      Actuals!$H$3:$BD$3,
      Actuals!$H:$BD
   )
)</f>
        <v>-80735.278098409239</v>
      </c>
      <c r="AP15" s="219" cm="1">
        <f t="array" ref="AP15">_xlfn.XLOOKUP(
   $B$4&amp;" "&amp;$B15,
   Actuals!$D:$D,
   _xlfn.XLOOKUP(
      AP$6,
      Actuals!$H$3:$BD$3,
      Actuals!$H:$BD
   )
)</f>
        <v>-81542.630879393328</v>
      </c>
      <c r="AQ15" s="219" cm="1">
        <f t="array" ref="AQ15">_xlfn.XLOOKUP(
   $B$4&amp;" "&amp;$B15,
   Actuals!$D:$D,
   _xlfn.XLOOKUP(
      AQ$6,
      Actuals!$H$3:$BD$3,
      Actuals!$H:$BD
   )
)</f>
        <v>-82358.05718818726</v>
      </c>
      <c r="AR15" s="219" cm="1">
        <f t="array" ref="AR15">_xlfn.XLOOKUP(
   $B$4&amp;" "&amp;$B15,
   Actuals!$D:$D,
   _xlfn.XLOOKUP(
      AR$6,
      Actuals!$H$3:$BD$3,
      Actuals!$H:$BD
   )
)</f>
        <v>0</v>
      </c>
      <c r="AS15" s="219" cm="1">
        <f t="array" ref="AS15">_xlfn.XLOOKUP(
   $B$4&amp;" "&amp;$B15,
   Actuals!$D:$D,
   _xlfn.XLOOKUP(
      AS$6,
      Actuals!$H$3:$BD$3,
      Actuals!$H:$BD
   )
)</f>
        <v>0</v>
      </c>
      <c r="AT15" s="219" cm="1">
        <f t="array" ref="AT15">_xlfn.XLOOKUP(
   $B$4&amp;" "&amp;$B15,
   Actuals!$D:$D,
   _xlfn.XLOOKUP(
      AT$6,
      Actuals!$H$3:$BD$3,
      Actuals!$H:$BD
   )
)</f>
        <v>0</v>
      </c>
      <c r="AU15" s="219" cm="1">
        <f t="array" ref="AU15">_xlfn.XLOOKUP(
   $B$4&amp;" "&amp;$B15,
   Actuals!$D:$D,
   _xlfn.XLOOKUP(
      AU$6,
      Actuals!$H$3:$BD$3,
      Actuals!$H:$BD
   )
)</f>
        <v>0</v>
      </c>
      <c r="AV15" s="219" cm="1">
        <f t="array" ref="AV15">_xlfn.XLOOKUP(
   $B$4&amp;" "&amp;$B15,
   Actuals!$D:$D,
   _xlfn.XLOOKUP(
      AV$6,
      Actuals!$H$3:$BD$3,
      Actuals!$H:$BD
   )
)</f>
        <v>0</v>
      </c>
      <c r="AW15" s="219" cm="1">
        <f t="array" ref="AW15">_xlfn.XLOOKUP(
   $B$4&amp;" "&amp;$B15,
   Actuals!$D:$D,
   _xlfn.XLOOKUP(
      AW$6,
      Actuals!$H$3:$BD$3,
      Actuals!$H:$BD
   )
)</f>
        <v>0</v>
      </c>
      <c r="AX15" s="219" cm="1">
        <f t="array" ref="AX15">_xlfn.XLOOKUP(
   $B$4&amp;" "&amp;$B15,
   Actuals!$D:$D,
   _xlfn.XLOOKUP(
      AX$6,
      Actuals!$H$3:$BD$3,
      Actuals!$H:$BD
   )
)</f>
        <v>0</v>
      </c>
      <c r="AY15" s="219" cm="1">
        <f t="array" ref="AY15">_xlfn.XLOOKUP(
   $B$4&amp;" "&amp;$B15,
   Actuals!$D:$D,
   _xlfn.XLOOKUP(
      AY$6,
      Actuals!$H$3:$BD$3,
      Actuals!$H:$BD
   )
)</f>
        <v>0</v>
      </c>
      <c r="AZ15" s="219" cm="1">
        <f t="array" ref="AZ15">_xlfn.XLOOKUP(
   $B$4&amp;" "&amp;$B15,
   Actuals!$D:$D,
   _xlfn.XLOOKUP(
      AZ$6,
      Actuals!$H$3:$BD$3,
      Actuals!$H:$BD
   )
)</f>
        <v>0</v>
      </c>
      <c r="BA15" s="210"/>
      <c r="BB15" s="219" cm="1">
        <f t="array" ref="BB15">_xlfn.XLOOKUP(
   $B$4&amp;" "&amp;$B15,
   Actuals!$D:$D,
   _xlfn.XLOOKUP(
      BB$7,
      Actuals!$H$3:$BM$3,
      Actuals!$H:$BM
   )
)</f>
        <v>-244635.96616598981</v>
      </c>
      <c r="BC15" s="219">
        <f>VLOOKUP($B$4&amp;" "&amp;$B15,Budget!$AG$4:$AL$132,$BB$5+1,FALSE)</f>
        <v>-232860</v>
      </c>
      <c r="BD15" s="219">
        <f t="shared" si="16"/>
        <v>-11775.966165989812</v>
      </c>
      <c r="BE15" s="210"/>
      <c r="BF15" s="219" cm="1">
        <f t="array" ref="BF15">_xlfn.XLOOKUP(
   $B$4&amp;" "&amp;$B15,
   Actuals!$D:$D,
   _xlfn.XLOOKUP(
      BF$7,
      Actuals!$H$3:$BM$3,
      Actuals!$H:$BM
   )
)</f>
        <v>0</v>
      </c>
      <c r="BG15" s="219">
        <f>VLOOKUP($B$4&amp;" "&amp;$B15,Budget!$AG$4:$AL$132,BF$5+1,FALSE)</f>
        <v>-252873</v>
      </c>
      <c r="BH15" s="219">
        <f t="shared" si="17"/>
        <v>252873</v>
      </c>
      <c r="BI15" s="210"/>
      <c r="BJ15" s="219" cm="1">
        <f t="array" ref="BJ15">_xlfn.XLOOKUP(
   $B$4&amp;" "&amp;$B15,
   Actuals!$D:$D,
   _xlfn.XLOOKUP(
      BJ$7,
      Actuals!$H$3:$BM$3,
      Actuals!$H:$BM
   )
)</f>
        <v>0</v>
      </c>
      <c r="BK15" s="219">
        <f>VLOOKUP($B$4&amp;" "&amp;$B15,Budget!$AG$4:$AL$132,BJ$5+1,FALSE)</f>
        <v>-252013</v>
      </c>
      <c r="BL15" s="219">
        <f t="shared" si="18"/>
        <v>252013</v>
      </c>
      <c r="BM15" s="210"/>
      <c r="BN15" s="210" cm="1">
        <f t="array" ref="BN15">_xlfn.XLOOKUP(
   $B$4&amp;" "&amp;$B15,
   Actuals!$D:$D,
   _xlfn.XLOOKUP(
      BN$7,
      Actuals!$H$3:$BM$3,
      Actuals!$H:$BM
   )
)</f>
        <v>0</v>
      </c>
      <c r="BO15" s="219">
        <f>VLOOKUP($B$4&amp;" "&amp;$B15,Budget!$AG$4:$AL$132,BN$5+1,FALSE)</f>
        <v>-256683</v>
      </c>
      <c r="BP15" s="210"/>
      <c r="BQ15" s="210"/>
      <c r="BR15" s="219" cm="1">
        <f t="array" aca="1" ref="BR15" ca="1">_xlfn.XLOOKUP(
   $B$4&amp;" "&amp;$B15,
   Actuals!$D:$D,
   _xlfn.XLOOKUP(
      BR$6,
      Actuals!$H$3:$BM$3,
      Actuals!$H:$BM
   )
)</f>
        <v>-244635.96616598981</v>
      </c>
      <c r="BS15" s="219">
        <f ca="1">VLOOKUP($B$4&amp;" "&amp;$B15,Budget!$AG$4:$AL$132,6,FALSE)</f>
        <v>-996099</v>
      </c>
      <c r="BT15" s="219">
        <f t="shared" ca="1" si="19"/>
        <v>751463.03383401013</v>
      </c>
      <c r="BU15" s="210"/>
      <c r="BV15" s="219" cm="1">
        <f t="array" ref="BV15">_xlfn.XLOOKUP(
   $B$4&amp;" "&amp;$B15,
   Actuals!$D:$D,
   _xlfn.XLOOKUP(
      BV$6,
      Actuals!$H$3:$BM$3,
      Actuals!$H:$BM
   )
)</f>
        <v>-917768.62793933181</v>
      </c>
    </row>
    <row r="16" spans="2:74" s="26" customFormat="1">
      <c r="B16" s="26" t="s">
        <v>215</v>
      </c>
      <c r="C16" s="139" t="s">
        <v>49</v>
      </c>
      <c r="D16" s="171" t="str">
        <f>VLOOKUP($B$4&amp;" "&amp;$B16,Actuals!$D$4:$AG$131,3,FALSE)</f>
        <v>$</v>
      </c>
      <c r="E16" s="219">
        <f>VLOOKUP($B$4&amp;" "&amp;$B16,Actuals!$D$4:$AG$131,MONTH(E$6)+4,FALSE)</f>
        <v>-37727.68</v>
      </c>
      <c r="F16" s="219">
        <f>VLOOKUP($B$4&amp;" "&amp;$B16,Actuals!$D$4:$AG$131,MONTH(F$6)+4,FALSE)</f>
        <v>-47891.18</v>
      </c>
      <c r="G16" s="219">
        <f>VLOOKUP($B$4&amp;" "&amp;$B16,Actuals!$D$4:$AG$131,MONTH(G$6)+4,FALSE)</f>
        <v>-45640.729999999996</v>
      </c>
      <c r="H16" s="219">
        <f>VLOOKUP($B$4&amp;" "&amp;$B16,Actuals!$D$4:$AG$131,MONTH(H$6)+4,FALSE)</f>
        <v>-46497.61</v>
      </c>
      <c r="I16" s="219">
        <f>VLOOKUP($B$4&amp;" "&amp;$B16,Actuals!$D$4:$AG$131,MONTH(I$6)+4,FALSE)</f>
        <v>-45039.15</v>
      </c>
      <c r="J16" s="219">
        <f>VLOOKUP($B$4&amp;" "&amp;$B16,Actuals!$D$4:$AG$131,MONTH(J$6)+4,FALSE)</f>
        <v>-35615.96</v>
      </c>
      <c r="K16" s="219">
        <f>VLOOKUP($B$4&amp;" "&amp;$B16,Actuals!$D$4:$AG$131,MONTH(K$6)+4,FALSE)</f>
        <v>-28901.230000000003</v>
      </c>
      <c r="L16" s="219">
        <f>VLOOKUP($B$4&amp;" "&amp;$B16,Actuals!$D$4:$AG$131,MONTH(L$6)+4,FALSE)</f>
        <v>-59949.22</v>
      </c>
      <c r="M16" s="219">
        <f>VLOOKUP($B$4&amp;" "&amp;$B16,Actuals!$D$4:$AG$131,MONTH(M$6)+4,FALSE)</f>
        <v>-54756.89</v>
      </c>
      <c r="N16" s="219">
        <f>VLOOKUP($B$4&amp;" "&amp;$B16,Actuals!$D$4:$AG$131,MONTH(N$6)+4,FALSE)</f>
        <v>-59823.76</v>
      </c>
      <c r="O16" s="219">
        <f>VLOOKUP($B$4&amp;" "&amp;$B16,Actuals!$D$4:$AG$131,MONTH(O$6)+4,FALSE)</f>
        <v>0</v>
      </c>
      <c r="P16" s="219">
        <f>VLOOKUP($B$4&amp;" "&amp;$B16,Actuals!$D$4:$AG$131,MONTH(P$6)+4,FALSE)</f>
        <v>0</v>
      </c>
      <c r="Q16" s="219">
        <f>VLOOKUP($B$4&amp;" "&amp;$B16,Actuals!$D$4:$AR$131,MONTH(Q$6)+16,FALSE)</f>
        <v>0</v>
      </c>
      <c r="R16" s="219">
        <f>VLOOKUP($B$4&amp;" "&amp;$B16,Actuals!$D$4:$AR$131,MONTH(R$6)+16,FALSE)</f>
        <v>0</v>
      </c>
      <c r="S16" s="219">
        <f>VLOOKUP($B$4&amp;" "&amp;$B16,Actuals!$D$4:$AR$131,MONTH(S$6)+16,FALSE)</f>
        <v>0</v>
      </c>
      <c r="T16" s="219">
        <f>VLOOKUP($B$4&amp;" "&amp;$B16,Actuals!$D$4:$AR$131,MONTH(T$6)+16,FALSE)</f>
        <v>0</v>
      </c>
      <c r="U16" s="219">
        <f>VLOOKUP($B$4&amp;" "&amp;$B16,Actuals!$D$4:$AR$131,MONTH(U$6)+16,FALSE)</f>
        <v>0</v>
      </c>
      <c r="V16" s="219">
        <f>VLOOKUP($B$4&amp;" "&amp;$B16,Actuals!$D$4:$AR$131,MONTH(V$6)+16,FALSE)</f>
        <v>0</v>
      </c>
      <c r="W16" s="219"/>
      <c r="X16" s="219"/>
      <c r="Y16" s="219"/>
      <c r="Z16" s="219"/>
      <c r="AA16" s="219"/>
      <c r="AB16" s="219"/>
      <c r="AC16" s="219" cm="1">
        <f t="array" ref="AC16">_xlfn.XLOOKUP(
   $B$4&amp;" "&amp;$B16,
   Actuals!$D:$D,
   _xlfn.XLOOKUP(
      AC$6,
      Actuals!$H$3:$BD$3,
      Actuals!$H:$BD
   )
)</f>
        <v>-162623.82999999999</v>
      </c>
      <c r="AD16" s="219" cm="1">
        <f t="array" ref="AD16">_xlfn.XLOOKUP(
   $B$4&amp;" "&amp;$B16,
   Actuals!$D:$D,
   _xlfn.XLOOKUP(
      AD$6,
      Actuals!$H$3:$BD$3,
      Actuals!$H:$BD
   )
)</f>
        <v>-164250.06829999998</v>
      </c>
      <c r="AE16" s="219" cm="1">
        <f t="array" ref="AE16">_xlfn.XLOOKUP(
   $B$4&amp;" "&amp;$B16,
   Actuals!$D:$D,
   _xlfn.XLOOKUP(
      AE$6,
      Actuals!$H$3:$BD$3,
      Actuals!$H:$BD
   )
)</f>
        <v>-165892.56898299998</v>
      </c>
      <c r="AF16" s="219" cm="1">
        <f t="array" ref="AF16">_xlfn.XLOOKUP(
   $B$4&amp;" "&amp;$B16,
   Actuals!$D:$D,
   _xlfn.XLOOKUP(
      AF$6,
      Actuals!$H$3:$BD$3,
      Actuals!$H:$BD
   )
)</f>
        <v>-167551.49467282998</v>
      </c>
      <c r="AG16" s="219" cm="1">
        <f t="array" ref="AG16">_xlfn.XLOOKUP(
   $B$4&amp;" "&amp;$B16,
   Actuals!$D:$D,
   _xlfn.XLOOKUP(
      AG$6,
      Actuals!$H$3:$BD$3,
      Actuals!$H:$BD
   )
)</f>
        <v>-169227.00961955829</v>
      </c>
      <c r="AH16" s="219" cm="1">
        <f t="array" ref="AH16">_xlfn.XLOOKUP(
   $B$4&amp;" "&amp;$B16,
   Actuals!$D:$D,
   _xlfn.XLOOKUP(
      AH$6,
      Actuals!$H$3:$BD$3,
      Actuals!$H:$BD
   )
)</f>
        <v>-170919.27971575386</v>
      </c>
      <c r="AI16" s="219" cm="1">
        <f t="array" ref="AI16">_xlfn.XLOOKUP(
   $B$4&amp;" "&amp;$B16,
   Actuals!$D:$D,
   _xlfn.XLOOKUP(
      AI$6,
      Actuals!$H$3:$BD$3,
      Actuals!$H:$BD
   )
)</f>
        <v>-172628.47251291139</v>
      </c>
      <c r="AJ16" s="219" cm="1">
        <f t="array" ref="AJ16">_xlfn.XLOOKUP(
   $B$4&amp;" "&amp;$B16,
   Actuals!$D:$D,
   _xlfn.XLOOKUP(
      AJ$6,
      Actuals!$H$3:$BD$3,
      Actuals!$H:$BD
   )
)</f>
        <v>-174354.7572380405</v>
      </c>
      <c r="AK16" s="219" cm="1">
        <f t="array" ref="AK16">_xlfn.XLOOKUP(
   $B$4&amp;" "&amp;$B16,
   Actuals!$D:$D,
   _xlfn.XLOOKUP(
      AK$6,
      Actuals!$H$3:$BD$3,
      Actuals!$H:$BD
   )
)</f>
        <v>-176098.3048104209</v>
      </c>
      <c r="AL16" s="219" cm="1">
        <f t="array" ref="AL16">_xlfn.XLOOKUP(
   $B$4&amp;" "&amp;$B16,
   Actuals!$D:$D,
   _xlfn.XLOOKUP(
      AL$6,
      Actuals!$H$3:$BD$3,
      Actuals!$H:$BD
   )
)</f>
        <v>-177859.28785852512</v>
      </c>
      <c r="AM16" s="219" cm="1">
        <f t="array" ref="AM16">_xlfn.XLOOKUP(
   $B$4&amp;" "&amp;$B16,
   Actuals!$D:$D,
   _xlfn.XLOOKUP(
      AM$6,
      Actuals!$H$3:$BD$3,
      Actuals!$H:$BD
   )
)</f>
        <v>-179637.88073711036</v>
      </c>
      <c r="AN16" s="219" cm="1">
        <f t="array" ref="AN16">_xlfn.XLOOKUP(
   $B$4&amp;" "&amp;$B16,
   Actuals!$D:$D,
   _xlfn.XLOOKUP(
      AN$6,
      Actuals!$H$3:$BD$3,
      Actuals!$H:$BD
   )
)</f>
        <v>-181434.25954448147</v>
      </c>
      <c r="AO16" s="219" cm="1">
        <f t="array" ref="AO16">_xlfn.XLOOKUP(
   $B$4&amp;" "&amp;$B16,
   Actuals!$D:$D,
   _xlfn.XLOOKUP(
      AO$6,
      Actuals!$H$3:$BD$3,
      Actuals!$H:$BD
   )
)</f>
        <v>-183248.60213992628</v>
      </c>
      <c r="AP16" s="219" cm="1">
        <f t="array" ref="AP16">_xlfn.XLOOKUP(
   $B$4&amp;" "&amp;$B16,
   Actuals!$D:$D,
   _xlfn.XLOOKUP(
      AP$6,
      Actuals!$H$3:$BD$3,
      Actuals!$H:$BD
   )
)</f>
        <v>-185081.08816132555</v>
      </c>
      <c r="AQ16" s="219" cm="1">
        <f t="array" ref="AQ16">_xlfn.XLOOKUP(
   $B$4&amp;" "&amp;$B16,
   Actuals!$D:$D,
   _xlfn.XLOOKUP(
      AQ$6,
      Actuals!$H$3:$BD$3,
      Actuals!$H:$BD
   )
)</f>
        <v>-186931.89904293881</v>
      </c>
      <c r="AR16" s="219" cm="1">
        <f t="array" ref="AR16">_xlfn.XLOOKUP(
   $B$4&amp;" "&amp;$B16,
   Actuals!$D:$D,
   _xlfn.XLOOKUP(
      AR$6,
      Actuals!$H$3:$BD$3,
      Actuals!$H:$BD
   )
)</f>
        <v>0</v>
      </c>
      <c r="AS16" s="219" cm="1">
        <f t="array" ref="AS16">_xlfn.XLOOKUP(
   $B$4&amp;" "&amp;$B16,
   Actuals!$D:$D,
   _xlfn.XLOOKUP(
      AS$6,
      Actuals!$H$3:$BD$3,
      Actuals!$H:$BD
   )
)</f>
        <v>0</v>
      </c>
      <c r="AT16" s="219" cm="1">
        <f t="array" ref="AT16">_xlfn.XLOOKUP(
   $B$4&amp;" "&amp;$B16,
   Actuals!$D:$D,
   _xlfn.XLOOKUP(
      AT$6,
      Actuals!$H$3:$BD$3,
      Actuals!$H:$BD
   )
)</f>
        <v>0</v>
      </c>
      <c r="AU16" s="219" cm="1">
        <f t="array" ref="AU16">_xlfn.XLOOKUP(
   $B$4&amp;" "&amp;$B16,
   Actuals!$D:$D,
   _xlfn.XLOOKUP(
      AU$6,
      Actuals!$H$3:$BD$3,
      Actuals!$H:$BD
   )
)</f>
        <v>0</v>
      </c>
      <c r="AV16" s="219" cm="1">
        <f t="array" ref="AV16">_xlfn.XLOOKUP(
   $B$4&amp;" "&amp;$B16,
   Actuals!$D:$D,
   _xlfn.XLOOKUP(
      AV$6,
      Actuals!$H$3:$BD$3,
      Actuals!$H:$BD
   )
)</f>
        <v>0</v>
      </c>
      <c r="AW16" s="219" cm="1">
        <f t="array" ref="AW16">_xlfn.XLOOKUP(
   $B$4&amp;" "&amp;$B16,
   Actuals!$D:$D,
   _xlfn.XLOOKUP(
      AW$6,
      Actuals!$H$3:$BD$3,
      Actuals!$H:$BD
   )
)</f>
        <v>0</v>
      </c>
      <c r="AX16" s="219" cm="1">
        <f t="array" ref="AX16">_xlfn.XLOOKUP(
   $B$4&amp;" "&amp;$B16,
   Actuals!$D:$D,
   _xlfn.XLOOKUP(
      AX$6,
      Actuals!$H$3:$BD$3,
      Actuals!$H:$BD
   )
)</f>
        <v>0</v>
      </c>
      <c r="AY16" s="219" cm="1">
        <f t="array" ref="AY16">_xlfn.XLOOKUP(
   $B$4&amp;" "&amp;$B16,
   Actuals!$D:$D,
   _xlfn.XLOOKUP(
      AY$6,
      Actuals!$H$3:$BD$3,
      Actuals!$H:$BD
   )
)</f>
        <v>0</v>
      </c>
      <c r="AZ16" s="219" cm="1">
        <f t="array" ref="AZ16">_xlfn.XLOOKUP(
   $B$4&amp;" "&amp;$B16,
   Actuals!$D:$D,
   _xlfn.XLOOKUP(
      AZ$6,
      Actuals!$H$3:$BD$3,
      Actuals!$H:$BD
   )
)</f>
        <v>0</v>
      </c>
      <c r="BA16" s="210"/>
      <c r="BB16" s="219" cm="1">
        <f t="array" ref="BB16">_xlfn.XLOOKUP(
   $B$4&amp;" "&amp;$B16,
   Actuals!$D:$D,
   _xlfn.XLOOKUP(
      BB$7,
      Actuals!$H$3:$BM$3,
      Actuals!$H:$BM
   )
)</f>
        <v>-555261.58934419067</v>
      </c>
      <c r="BC16" s="219">
        <f>VLOOKUP($B$4&amp;" "&amp;$B16,Budget!$AG$4:$AL$132,$BB$5+1,FALSE)</f>
        <v>-406012</v>
      </c>
      <c r="BD16" s="219">
        <f t="shared" si="16"/>
        <v>-149249.58934419067</v>
      </c>
      <c r="BE16" s="210"/>
      <c r="BF16" s="219" cm="1">
        <f t="array" ref="BF16">_xlfn.XLOOKUP(
   $B$4&amp;" "&amp;$B16,
   Actuals!$D:$D,
   _xlfn.XLOOKUP(
      BF$7,
      Actuals!$H$3:$BM$3,
      Actuals!$H:$BM
   )
)</f>
        <v>0</v>
      </c>
      <c r="BG16" s="219">
        <f>VLOOKUP($B$4&amp;" "&amp;$B16,Budget!$AG$4:$AL$132,BF$5+1,FALSE)</f>
        <v>-407700</v>
      </c>
      <c r="BH16" s="219">
        <f t="shared" si="17"/>
        <v>407700</v>
      </c>
      <c r="BI16" s="210"/>
      <c r="BJ16" s="219" cm="1">
        <f t="array" ref="BJ16">_xlfn.XLOOKUP(
   $B$4&amp;" "&amp;$B16,
   Actuals!$D:$D,
   _xlfn.XLOOKUP(
      BJ$7,
      Actuals!$H$3:$BM$3,
      Actuals!$H:$BM
   )
)</f>
        <v>0</v>
      </c>
      <c r="BK16" s="219">
        <f>VLOOKUP($B$4&amp;" "&amp;$B16,Budget!$AG$4:$AL$132,BJ$5+1,FALSE)</f>
        <v>-415710</v>
      </c>
      <c r="BL16" s="219">
        <f t="shared" si="18"/>
        <v>415710</v>
      </c>
      <c r="BM16" s="210"/>
      <c r="BN16" s="210" cm="1">
        <f t="array" ref="BN16">_xlfn.XLOOKUP(
   $B$4&amp;" "&amp;$B16,
   Actuals!$D:$D,
   _xlfn.XLOOKUP(
      BN$7,
      Actuals!$H$3:$BM$3,
      Actuals!$H:$BM
   )
)</f>
        <v>0</v>
      </c>
      <c r="BO16" s="219">
        <f>VLOOKUP($B$4&amp;" "&amp;$B16,Budget!$AG$4:$AL$132,BN$5+1,FALSE)</f>
        <v>-420915</v>
      </c>
      <c r="BP16" s="210"/>
      <c r="BQ16" s="210"/>
      <c r="BR16" s="219" cm="1">
        <f t="array" aca="1" ref="BR16" ca="1">_xlfn.XLOOKUP(
   $B$4&amp;" "&amp;$B16,
   Actuals!$D:$D,
   _xlfn.XLOOKUP(
      BR$6,
      Actuals!$H$3:$BM$3,
      Actuals!$H:$BM
   )
)</f>
        <v>-555261.58934419067</v>
      </c>
      <c r="BS16" s="219">
        <f ca="1">VLOOKUP($B$4&amp;" "&amp;$B16,Budget!$AG$4:$AL$132,6,FALSE)</f>
        <v>-1656742</v>
      </c>
      <c r="BT16" s="219">
        <f t="shared" ca="1" si="19"/>
        <v>1101480.4106558093</v>
      </c>
      <c r="BU16" s="210"/>
      <c r="BV16" s="219" cm="1">
        <f t="array" ref="BV16">_xlfn.XLOOKUP(
   $B$4&amp;" "&amp;$B16,
   Actuals!$D:$D,
   _xlfn.XLOOKUP(
      BV$6,
      Actuals!$H$3:$BM$3,
      Actuals!$H:$BM
   )
)</f>
        <v>-2083101.986132558</v>
      </c>
    </row>
    <row r="17" spans="2:75" s="26" customFormat="1">
      <c r="B17" s="26" t="s">
        <v>216</v>
      </c>
      <c r="C17" s="139" t="s">
        <v>49</v>
      </c>
      <c r="D17" s="171" t="str">
        <f>VLOOKUP($B$4&amp;" "&amp;$B17,Actuals!$D$4:$AG$131,3,FALSE)</f>
        <v>$</v>
      </c>
      <c r="E17" s="215">
        <f>VLOOKUP($B$4&amp;" "&amp;$B17,Actuals!$D$4:$AG$131,MONTH(E$6)+4,FALSE)</f>
        <v>-219390.01</v>
      </c>
      <c r="F17" s="215">
        <f>VLOOKUP($B$4&amp;" "&amp;$B17,Actuals!$D$4:$AG$131,MONTH(F$6)+4,FALSE)</f>
        <v>-146236.31</v>
      </c>
      <c r="G17" s="215">
        <f>VLOOKUP($B$4&amp;" "&amp;$B17,Actuals!$D$4:$AG$131,MONTH(G$6)+4,FALSE)</f>
        <v>-144402.96000000002</v>
      </c>
      <c r="H17" s="215">
        <f>VLOOKUP($B$4&amp;" "&amp;$B17,Actuals!$D$4:$AG$131,MONTH(H$6)+4,FALSE)</f>
        <v>-170113.16999999998</v>
      </c>
      <c r="I17" s="215">
        <f>VLOOKUP($B$4&amp;" "&amp;$B17,Actuals!$D$4:$AG$131,MONTH(I$6)+4,FALSE)</f>
        <v>-170585.72</v>
      </c>
      <c r="J17" s="215">
        <f>VLOOKUP($B$4&amp;" "&amp;$B17,Actuals!$D$4:$AG$131,MONTH(J$6)+4,FALSE)</f>
        <v>-250190.25</v>
      </c>
      <c r="K17" s="215">
        <f>VLOOKUP($B$4&amp;" "&amp;$B17,Actuals!$D$4:$AG$131,MONTH(K$6)+4,FALSE)</f>
        <v>-272947.45</v>
      </c>
      <c r="L17" s="215">
        <f>VLOOKUP($B$4&amp;" "&amp;$B17,Actuals!$D$4:$AG$131,MONTH(L$6)+4,FALSE)</f>
        <v>-263185.77</v>
      </c>
      <c r="M17" s="215">
        <f>VLOOKUP($B$4&amp;" "&amp;$B17,Actuals!$D$4:$AG$131,MONTH(M$6)+4,FALSE)</f>
        <v>-252352.52000000002</v>
      </c>
      <c r="N17" s="215">
        <f>VLOOKUP($B$4&amp;" "&amp;$B17,Actuals!$D$4:$AG$131,MONTH(N$6)+4,FALSE)</f>
        <v>-269296.91000000003</v>
      </c>
      <c r="O17" s="219">
        <f>VLOOKUP($B$4&amp;" "&amp;$B17,Actuals!$D$4:$AG$131,MONTH(O$6)+4,FALSE)</f>
        <v>0</v>
      </c>
      <c r="P17" s="219">
        <f>VLOOKUP($B$4&amp;" "&amp;$B17,Actuals!$D$4:$AG$131,MONTH(P$6)+4,FALSE)</f>
        <v>0</v>
      </c>
      <c r="Q17" s="219">
        <f>VLOOKUP($B$4&amp;" "&amp;$B17,Actuals!$D$4:$AR$131,MONTH(Q$6)+16,FALSE)</f>
        <v>0</v>
      </c>
      <c r="R17" s="219">
        <f>VLOOKUP($B$4&amp;" "&amp;$B17,Actuals!$D$4:$AR$131,MONTH(R$6)+16,FALSE)</f>
        <v>0</v>
      </c>
      <c r="S17" s="219">
        <f>VLOOKUP($B$4&amp;" "&amp;$B17,Actuals!$D$4:$AR$131,MONTH(S$6)+16,FALSE)</f>
        <v>0</v>
      </c>
      <c r="T17" s="219">
        <f>VLOOKUP($B$4&amp;" "&amp;$B17,Actuals!$D$4:$AR$131,MONTH(T$6)+16,FALSE)</f>
        <v>0</v>
      </c>
      <c r="U17" s="219">
        <f>VLOOKUP($B$4&amp;" "&amp;$B17,Actuals!$D$4:$AR$131,MONTH(U$6)+16,FALSE)</f>
        <v>0</v>
      </c>
      <c r="V17" s="219">
        <f>VLOOKUP($B$4&amp;" "&amp;$B17,Actuals!$D$4:$AR$131,MONTH(V$6)+16,FALSE)</f>
        <v>0</v>
      </c>
      <c r="W17" s="219"/>
      <c r="X17" s="219"/>
      <c r="Y17" s="219"/>
      <c r="Z17" s="219"/>
      <c r="AA17" s="219"/>
      <c r="AB17" s="219"/>
      <c r="AC17" s="219" cm="1">
        <f t="array" ref="AC17">_xlfn.XLOOKUP(
   $B$4&amp;" "&amp;$B17,
   Actuals!$D:$D,
   _xlfn.XLOOKUP(
      AC$6,
      Actuals!$H$3:$BD$3,
      Actuals!$H:$BD
   )
)</f>
        <v>-305269.15000000002</v>
      </c>
      <c r="AD17" s="219" cm="1">
        <f t="array" ref="AD17">_xlfn.XLOOKUP(
   $B$4&amp;" "&amp;$B17,
   Actuals!$D:$D,
   _xlfn.XLOOKUP(
      AD$6,
      Actuals!$H$3:$BD$3,
      Actuals!$H:$BD
   )
)</f>
        <v>-308321.84150000004</v>
      </c>
      <c r="AE17" s="219" cm="1">
        <f t="array" ref="AE17">_xlfn.XLOOKUP(
   $B$4&amp;" "&amp;$B17,
   Actuals!$D:$D,
   _xlfn.XLOOKUP(
      AE$6,
      Actuals!$H$3:$BD$3,
      Actuals!$H:$BD
   )
)</f>
        <v>-311405.05991500005</v>
      </c>
      <c r="AF17" s="219" cm="1">
        <f t="array" ref="AF17">_xlfn.XLOOKUP(
   $B$4&amp;" "&amp;$B17,
   Actuals!$D:$D,
   _xlfn.XLOOKUP(
      AF$6,
      Actuals!$H$3:$BD$3,
      Actuals!$H:$BD
   )
)</f>
        <v>-314519.11051415006</v>
      </c>
      <c r="AG17" s="219" cm="1">
        <f t="array" ref="AG17">_xlfn.XLOOKUP(
   $B$4&amp;" "&amp;$B17,
   Actuals!$D:$D,
   _xlfn.XLOOKUP(
      AG$6,
      Actuals!$H$3:$BD$3,
      Actuals!$H:$BD
   )
)</f>
        <v>-317664.30161929154</v>
      </c>
      <c r="AH17" s="219" cm="1">
        <f t="array" ref="AH17">_xlfn.XLOOKUP(
   $B$4&amp;" "&amp;$B17,
   Actuals!$D:$D,
   _xlfn.XLOOKUP(
      AH$6,
      Actuals!$H$3:$BD$3,
      Actuals!$H:$BD
   )
)</f>
        <v>-320840.94463548443</v>
      </c>
      <c r="AI17" s="219" cm="1">
        <f t="array" ref="AI17">_xlfn.XLOOKUP(
   $B$4&amp;" "&amp;$B17,
   Actuals!$D:$D,
   _xlfn.XLOOKUP(
      AI$6,
      Actuals!$H$3:$BD$3,
      Actuals!$H:$BD
   )
)</f>
        <v>-324049.35408183926</v>
      </c>
      <c r="AJ17" s="219" cm="1">
        <f t="array" ref="AJ17">_xlfn.XLOOKUP(
   $B$4&amp;" "&amp;$B17,
   Actuals!$D:$D,
   _xlfn.XLOOKUP(
      AJ$6,
      Actuals!$H$3:$BD$3,
      Actuals!$H:$BD
   )
)</f>
        <v>-327289.84762265766</v>
      </c>
      <c r="AK17" s="219" cm="1">
        <f t="array" ref="AK17">_xlfn.XLOOKUP(
   $B$4&amp;" "&amp;$B17,
   Actuals!$D:$D,
   _xlfn.XLOOKUP(
      AK$6,
      Actuals!$H$3:$BD$3,
      Actuals!$H:$BD
   )
)</f>
        <v>-330562.74609888426</v>
      </c>
      <c r="AL17" s="219" cm="1">
        <f t="array" ref="AL17">_xlfn.XLOOKUP(
   $B$4&amp;" "&amp;$B17,
   Actuals!$D:$D,
   _xlfn.XLOOKUP(
      AL$6,
      Actuals!$H$3:$BD$3,
      Actuals!$H:$BD
   )
)</f>
        <v>-333868.37355987309</v>
      </c>
      <c r="AM17" s="219" cm="1">
        <f t="array" ref="AM17">_xlfn.XLOOKUP(
   $B$4&amp;" "&amp;$B17,
   Actuals!$D:$D,
   _xlfn.XLOOKUP(
      AM$6,
      Actuals!$H$3:$BD$3,
      Actuals!$H:$BD
   )
)</f>
        <v>-337207.05729547184</v>
      </c>
      <c r="AN17" s="219" cm="1">
        <f t="array" ref="AN17">_xlfn.XLOOKUP(
   $B$4&amp;" "&amp;$B17,
   Actuals!$D:$D,
   _xlfn.XLOOKUP(
      AN$6,
      Actuals!$H$3:$BD$3,
      Actuals!$H:$BD
   )
)</f>
        <v>-340579.12786842656</v>
      </c>
      <c r="AO17" s="219" cm="1">
        <f t="array" ref="AO17">_xlfn.XLOOKUP(
   $B$4&amp;" "&amp;$B17,
   Actuals!$D:$D,
   _xlfn.XLOOKUP(
      AO$6,
      Actuals!$H$3:$BD$3,
      Actuals!$H:$BD
   )
)</f>
        <v>-343984.91914711084</v>
      </c>
      <c r="AP17" s="219" cm="1">
        <f t="array" ref="AP17">_xlfn.XLOOKUP(
   $B$4&amp;" "&amp;$B17,
   Actuals!$D:$D,
   _xlfn.XLOOKUP(
      AP$6,
      Actuals!$H$3:$BD$3,
      Actuals!$H:$BD
   )
)</f>
        <v>-347424.76833858195</v>
      </c>
      <c r="AQ17" s="219" cm="1">
        <f t="array" ref="AQ17">_xlfn.XLOOKUP(
   $B$4&amp;" "&amp;$B17,
   Actuals!$D:$D,
   _xlfn.XLOOKUP(
      AQ$6,
      Actuals!$H$3:$BD$3,
      Actuals!$H:$BD
   )
)</f>
        <v>-350899.01602196775</v>
      </c>
      <c r="AR17" s="219" cm="1">
        <f t="array" ref="AR17">_xlfn.XLOOKUP(
   $B$4&amp;" "&amp;$B17,
   Actuals!$D:$D,
   _xlfn.XLOOKUP(
      AR$6,
      Actuals!$H$3:$BD$3,
      Actuals!$H:$BD
   )
)</f>
        <v>0</v>
      </c>
      <c r="AS17" s="219" cm="1">
        <f t="array" ref="AS17">_xlfn.XLOOKUP(
   $B$4&amp;" "&amp;$B17,
   Actuals!$D:$D,
   _xlfn.XLOOKUP(
      AS$6,
      Actuals!$H$3:$BD$3,
      Actuals!$H:$BD
   )
)</f>
        <v>0</v>
      </c>
      <c r="AT17" s="219" cm="1">
        <f t="array" ref="AT17">_xlfn.XLOOKUP(
   $B$4&amp;" "&amp;$B17,
   Actuals!$D:$D,
   _xlfn.XLOOKUP(
      AT$6,
      Actuals!$H$3:$BD$3,
      Actuals!$H:$BD
   )
)</f>
        <v>0</v>
      </c>
      <c r="AU17" s="219" cm="1">
        <f t="array" ref="AU17">_xlfn.XLOOKUP(
   $B$4&amp;" "&amp;$B17,
   Actuals!$D:$D,
   _xlfn.XLOOKUP(
      AU$6,
      Actuals!$H$3:$BD$3,
      Actuals!$H:$BD
   )
)</f>
        <v>0</v>
      </c>
      <c r="AV17" s="219" cm="1">
        <f t="array" ref="AV17">_xlfn.XLOOKUP(
   $B$4&amp;" "&amp;$B17,
   Actuals!$D:$D,
   _xlfn.XLOOKUP(
      AV$6,
      Actuals!$H$3:$BD$3,
      Actuals!$H:$BD
   )
)</f>
        <v>0</v>
      </c>
      <c r="AW17" s="219" cm="1">
        <f t="array" ref="AW17">_xlfn.XLOOKUP(
   $B$4&amp;" "&amp;$B17,
   Actuals!$D:$D,
   _xlfn.XLOOKUP(
      AW$6,
      Actuals!$H$3:$BD$3,
      Actuals!$H:$BD
   )
)</f>
        <v>0</v>
      </c>
      <c r="AX17" s="219" cm="1">
        <f t="array" ref="AX17">_xlfn.XLOOKUP(
   $B$4&amp;" "&amp;$B17,
   Actuals!$D:$D,
   _xlfn.XLOOKUP(
      AX$6,
      Actuals!$H$3:$BD$3,
      Actuals!$H:$BD
   )
)</f>
        <v>0</v>
      </c>
      <c r="AY17" s="219" cm="1">
        <f t="array" ref="AY17">_xlfn.XLOOKUP(
   $B$4&amp;" "&amp;$B17,
   Actuals!$D:$D,
   _xlfn.XLOOKUP(
      AY$6,
      Actuals!$H$3:$BD$3,
      Actuals!$H:$BD
   )
)</f>
        <v>0</v>
      </c>
      <c r="AZ17" s="219" cm="1">
        <f t="array" ref="AZ17">_xlfn.XLOOKUP(
   $B$4&amp;" "&amp;$B17,
   Actuals!$D:$D,
   _xlfn.XLOOKUP(
      AZ$6,
      Actuals!$H$3:$BD$3,
      Actuals!$H:$BD
   )
)</f>
        <v>0</v>
      </c>
      <c r="BA17" s="210"/>
      <c r="BB17" s="219" cm="1">
        <f t="array" ref="BB17">_xlfn.XLOOKUP(
   $B$4&amp;" "&amp;$B17,
   Actuals!$D:$D,
   _xlfn.XLOOKUP(
      BB$7,
      Actuals!$H$3:$BM$3,
      Actuals!$H:$BM
   )
)</f>
        <v>-1042308.7035076605</v>
      </c>
      <c r="BC17" s="219">
        <f>VLOOKUP($B$4&amp;" "&amp;$B17,Budget!$AG$4:$AL$132,$BB$5+1,FALSE)</f>
        <v>-544109</v>
      </c>
      <c r="BD17" s="219">
        <f t="shared" si="16"/>
        <v>-498199.70350766054</v>
      </c>
      <c r="BE17" s="210"/>
      <c r="BF17" s="219" cm="1">
        <f t="array" ref="BF17">_xlfn.XLOOKUP(
   $B$4&amp;" "&amp;$B17,
   Actuals!$D:$D,
   _xlfn.XLOOKUP(
      BF$7,
      Actuals!$H$3:$BM$3,
      Actuals!$H:$BM
   )
)</f>
        <v>0</v>
      </c>
      <c r="BG17" s="219">
        <f>VLOOKUP($B$4&amp;" "&amp;$B17,Budget!$AG$4:$AL$132,BF$5+1,FALSE)</f>
        <v>-604490</v>
      </c>
      <c r="BH17" s="219">
        <f t="shared" si="17"/>
        <v>604490</v>
      </c>
      <c r="BI17" s="210"/>
      <c r="BJ17" s="219" cm="1">
        <f t="array" ref="BJ17">_xlfn.XLOOKUP(
   $B$4&amp;" "&amp;$B17,
   Actuals!$D:$D,
   _xlfn.XLOOKUP(
      BJ$7,
      Actuals!$H$3:$BM$3,
      Actuals!$H:$BM
   )
)</f>
        <v>0</v>
      </c>
      <c r="BK17" s="219">
        <f>VLOOKUP($B$4&amp;" "&amp;$B17,Budget!$AG$4:$AL$132,BJ$5+1,FALSE)</f>
        <v>-614998</v>
      </c>
      <c r="BL17" s="219">
        <f t="shared" si="18"/>
        <v>614998</v>
      </c>
      <c r="BM17" s="210"/>
      <c r="BN17" s="210" cm="1">
        <f t="array" ref="BN17">_xlfn.XLOOKUP(
   $B$4&amp;" "&amp;$B17,
   Actuals!$D:$D,
   _xlfn.XLOOKUP(
      BN$7,
      Actuals!$H$3:$BM$3,
      Actuals!$H:$BM
   )
)</f>
        <v>0</v>
      </c>
      <c r="BO17" s="219">
        <f>VLOOKUP($B$4&amp;" "&amp;$B17,Budget!$AG$4:$AL$132,BN$5+1,FALSE)</f>
        <v>-624035</v>
      </c>
      <c r="BP17" s="210"/>
      <c r="BQ17" s="210"/>
      <c r="BR17" s="219" cm="1">
        <f t="array" aca="1" ref="BR17" ca="1">_xlfn.XLOOKUP(
   $B$4&amp;" "&amp;$B17,
   Actuals!$D:$D,
   _xlfn.XLOOKUP(
      BR$6,
      Actuals!$H$3:$BM$3,
      Actuals!$H:$BM
   )
)</f>
        <v>-1042308.7035076605</v>
      </c>
      <c r="BS17" s="219">
        <f ca="1">VLOOKUP($B$4&amp;" "&amp;$B17,Budget!$AG$4:$AL$132,6,FALSE)</f>
        <v>-2392299</v>
      </c>
      <c r="BT17" s="219">
        <f t="shared" ca="1" si="19"/>
        <v>1349990.2964923396</v>
      </c>
      <c r="BU17" s="210"/>
      <c r="BV17" s="219" cm="1">
        <f t="array" ref="BV17">_xlfn.XLOOKUP(
   $B$4&amp;" "&amp;$B17,
   Actuals!$D:$D,
   _xlfn.XLOOKUP(
      BV$6,
      Actuals!$H$3:$BM$3,
      Actuals!$H:$BM
   )
)</f>
        <v>-3910292.6838581897</v>
      </c>
    </row>
    <row r="18" spans="2:75" s="26" customFormat="1">
      <c r="B18" s="29" t="s">
        <v>217</v>
      </c>
      <c r="C18" s="142" t="s">
        <v>49</v>
      </c>
      <c r="D18" s="172" t="str">
        <f>VLOOKUP($B$4&amp;" "&amp;$B18,Actuals!$D$4:$AG$131,3,FALSE)</f>
        <v>$</v>
      </c>
      <c r="E18" s="216">
        <f>VLOOKUP($B$4&amp;" "&amp;$B18,Actuals!$D$4:$AG$131,MONTH(E$6)+4,FALSE)</f>
        <v>-254912.28000000003</v>
      </c>
      <c r="F18" s="216">
        <f>VLOOKUP($B$4&amp;" "&amp;$B18,Actuals!$D$4:$AG$131,MONTH(F$6)+4,FALSE)</f>
        <v>-207771.5499999999</v>
      </c>
      <c r="G18" s="216">
        <f>VLOOKUP($B$4&amp;" "&amp;$B18,Actuals!$D$4:$AG$131,MONTH(G$6)+4,FALSE)</f>
        <v>-172755.59000000003</v>
      </c>
      <c r="H18" s="216">
        <f>VLOOKUP($B$4&amp;" "&amp;$B18,Actuals!$D$4:$AG$131,MONTH(H$6)+4,FALSE)</f>
        <v>-260356.9</v>
      </c>
      <c r="I18" s="216">
        <f>VLOOKUP($B$4&amp;" "&amp;$B18,Actuals!$D$4:$AG$131,MONTH(I$6)+4,FALSE)</f>
        <v>-99568.770000000077</v>
      </c>
      <c r="J18" s="216">
        <f>VLOOKUP($B$4&amp;" "&amp;$B18,Actuals!$D$4:$AG$131,MONTH(J$6)+4,FALSE)</f>
        <v>-258289.6</v>
      </c>
      <c r="K18" s="216">
        <f>VLOOKUP($B$4&amp;" "&amp;$B18,Actuals!$D$4:$AG$131,MONTH(K$6)+4,FALSE)</f>
        <v>-282461.65999999992</v>
      </c>
      <c r="L18" s="216">
        <f>VLOOKUP($B$4&amp;" "&amp;$B18,Actuals!$D$4:$AG$131,MONTH(L$6)+4,FALSE)</f>
        <v>-337932.22</v>
      </c>
      <c r="M18" s="216">
        <f>VLOOKUP($B$4&amp;" "&amp;$B18,Actuals!$D$4:$AG$131,MONTH(M$6)+4,FALSE)</f>
        <v>-251061.38999999996</v>
      </c>
      <c r="N18" s="216">
        <f>VLOOKUP($B$4&amp;" "&amp;$B18,Actuals!$D$4:$AG$131,MONTH(N$6)+4,FALSE)</f>
        <v>-346305.69000000006</v>
      </c>
      <c r="O18" s="327">
        <f>VLOOKUP($B$4&amp;" "&amp;$B18,Actuals!$D$4:$AG$131,MONTH(O$6)+4,FALSE)</f>
        <v>0</v>
      </c>
      <c r="P18" s="327">
        <f>VLOOKUP($B$4&amp;" "&amp;$B18,Actuals!$D$4:$AG$131,MONTH(P$6)+4,FALSE)</f>
        <v>0</v>
      </c>
      <c r="Q18" s="327">
        <f>VLOOKUP($B$4&amp;" "&amp;$B18,Actuals!$D$4:$AR$131,MONTH(Q$6)+16,FALSE)</f>
        <v>0</v>
      </c>
      <c r="R18" s="327">
        <f>VLOOKUP($B$4&amp;" "&amp;$B18,Actuals!$D$4:$AR$131,MONTH(R$6)+16,FALSE)</f>
        <v>0</v>
      </c>
      <c r="S18" s="327">
        <f>VLOOKUP($B$4&amp;" "&amp;$B18,Actuals!$D$4:$AR$131,MONTH(S$6)+16,FALSE)</f>
        <v>0</v>
      </c>
      <c r="T18" s="327">
        <f>VLOOKUP($B$4&amp;" "&amp;$B18,Actuals!$D$4:$AR$131,MONTH(T$6)+16,FALSE)</f>
        <v>0</v>
      </c>
      <c r="U18" s="327">
        <f>VLOOKUP($B$4&amp;" "&amp;$B18,Actuals!$D$4:$AR$131,MONTH(U$6)+16,FALSE)</f>
        <v>0</v>
      </c>
      <c r="V18" s="327">
        <f>VLOOKUP($B$4&amp;" "&amp;$B18,Actuals!$D$4:$AR$131,MONTH(V$6)+16,FALSE)</f>
        <v>0</v>
      </c>
      <c r="W18" s="327"/>
      <c r="X18" s="327"/>
      <c r="Y18" s="327"/>
      <c r="Z18" s="327"/>
      <c r="AA18" s="327"/>
      <c r="AB18" s="327"/>
      <c r="AC18" s="327" cm="1">
        <f t="array" ref="AC18">_xlfn.XLOOKUP(
   $B$4&amp;" "&amp;$B18,
   Actuals!$D:$D,
   _xlfn.XLOOKUP(
      AC$6,
      Actuals!$H$3:$BD$3,
      Actuals!$H:$BD
   )
)</f>
        <v>-465948.3000000001</v>
      </c>
      <c r="AD18" s="327" cm="1">
        <f t="array" ref="AD18">_xlfn.XLOOKUP(
   $B$4&amp;" "&amp;$B18,
   Actuals!$D:$D,
   _xlfn.XLOOKUP(
      AD$6,
      Actuals!$H$3:$BD$3,
      Actuals!$H:$BD
   )
)</f>
        <v>-470607.78300000017</v>
      </c>
      <c r="AE18" s="327" cm="1">
        <f t="array" ref="AE18">_xlfn.XLOOKUP(
   $B$4&amp;" "&amp;$B18,
   Actuals!$D:$D,
   _xlfn.XLOOKUP(
      AE$6,
      Actuals!$H$3:$BD$3,
      Actuals!$H:$BD
   )
)</f>
        <v>-475313.86083000014</v>
      </c>
      <c r="AF18" s="327" cm="1">
        <f t="array" ref="AF18">_xlfn.XLOOKUP(
   $B$4&amp;" "&amp;$B18,
   Actuals!$D:$D,
   _xlfn.XLOOKUP(
      AF$6,
      Actuals!$H$3:$BD$3,
      Actuals!$H:$BD
   )
)</f>
        <v>-480066.99943830015</v>
      </c>
      <c r="AG18" s="327" cm="1">
        <f t="array" ref="AG18">_xlfn.XLOOKUP(
   $B$4&amp;" "&amp;$B18,
   Actuals!$D:$D,
   _xlfn.XLOOKUP(
      AG$6,
      Actuals!$H$3:$BD$3,
      Actuals!$H:$BD
   )
)</f>
        <v>-484867.66943268315</v>
      </c>
      <c r="AH18" s="327" cm="1">
        <f t="array" ref="AH18">_xlfn.XLOOKUP(
   $B$4&amp;" "&amp;$B18,
   Actuals!$D:$D,
   _xlfn.XLOOKUP(
      AH$6,
      Actuals!$H$3:$BD$3,
      Actuals!$H:$BD
   )
)</f>
        <v>-489716.34612701001</v>
      </c>
      <c r="AI18" s="327" cm="1">
        <f t="array" ref="AI18">_xlfn.XLOOKUP(
   $B$4&amp;" "&amp;$B18,
   Actuals!$D:$D,
   _xlfn.XLOOKUP(
      AI$6,
      Actuals!$H$3:$BD$3,
      Actuals!$H:$BD
   )
)</f>
        <v>-494613.50958828011</v>
      </c>
      <c r="AJ18" s="327" cm="1">
        <f t="array" ref="AJ18">_xlfn.XLOOKUP(
   $B$4&amp;" "&amp;$B18,
   Actuals!$D:$D,
   _xlfn.XLOOKUP(
      AJ$6,
      Actuals!$H$3:$BD$3,
      Actuals!$H:$BD
   )
)</f>
        <v>-499559.64468416292</v>
      </c>
      <c r="AK18" s="327" cm="1">
        <f t="array" ref="AK18">_xlfn.XLOOKUP(
   $B$4&amp;" "&amp;$B18,
   Actuals!$D:$D,
   _xlfn.XLOOKUP(
      AK$6,
      Actuals!$H$3:$BD$3,
      Actuals!$H:$BD
   )
)</f>
        <v>-504555.24113100464</v>
      </c>
      <c r="AL18" s="327" cm="1">
        <f t="array" ref="AL18">_xlfn.XLOOKUP(
   $B$4&amp;" "&amp;$B18,
   Actuals!$D:$D,
   _xlfn.XLOOKUP(
      AL$6,
      Actuals!$H$3:$BD$3,
      Actuals!$H:$BD
   )
)</f>
        <v>-509600.79354231461</v>
      </c>
      <c r="AM18" s="327" cm="1">
        <f t="array" ref="AM18">_xlfn.XLOOKUP(
   $B$4&amp;" "&amp;$B18,
   Actuals!$D:$D,
   _xlfn.XLOOKUP(
      AM$6,
      Actuals!$H$3:$BD$3,
      Actuals!$H:$BD
   )
)</f>
        <v>-514696.80147773772</v>
      </c>
      <c r="AN18" s="327" cm="1">
        <f t="array" ref="AN18">_xlfn.XLOOKUP(
   $B$4&amp;" "&amp;$B18,
   Actuals!$D:$D,
   _xlfn.XLOOKUP(
      AN$6,
      Actuals!$H$3:$BD$3,
      Actuals!$H:$BD
   )
)</f>
        <v>-519843.76949251507</v>
      </c>
      <c r="AO18" s="327" cm="1">
        <f t="array" ref="AO18">_xlfn.XLOOKUP(
   $B$4&amp;" "&amp;$B18,
   Actuals!$D:$D,
   _xlfn.XLOOKUP(
      AO$6,
      Actuals!$H$3:$BD$3,
      Actuals!$H:$BD
   )
)</f>
        <v>-525042.20718744025</v>
      </c>
      <c r="AP18" s="327" cm="1">
        <f t="array" ref="AP18">_xlfn.XLOOKUP(
   $B$4&amp;" "&amp;$B18,
   Actuals!$D:$D,
   _xlfn.XLOOKUP(
      AP$6,
      Actuals!$H$3:$BD$3,
      Actuals!$H:$BD
   )
)</f>
        <v>-530292.62925931462</v>
      </c>
      <c r="AQ18" s="327" cm="1">
        <f t="array" ref="AQ18">_xlfn.XLOOKUP(
   $B$4&amp;" "&amp;$B18,
   Actuals!$D:$D,
   _xlfn.XLOOKUP(
      AQ$6,
      Actuals!$H$3:$BD$3,
      Actuals!$H:$BD
   )
)</f>
        <v>-535595.55555190775</v>
      </c>
      <c r="AR18" s="327" cm="1">
        <f t="array" ref="AR18">_xlfn.XLOOKUP(
   $B$4&amp;" "&amp;$B18,
   Actuals!$D:$D,
   _xlfn.XLOOKUP(
      AR$6,
      Actuals!$H$3:$BD$3,
      Actuals!$H:$BD
   )
)</f>
        <v>0</v>
      </c>
      <c r="AS18" s="327" cm="1">
        <f t="array" ref="AS18">_xlfn.XLOOKUP(
   $B$4&amp;" "&amp;$B18,
   Actuals!$D:$D,
   _xlfn.XLOOKUP(
      AS$6,
      Actuals!$H$3:$BD$3,
      Actuals!$H:$BD
   )
)</f>
        <v>0</v>
      </c>
      <c r="AT18" s="327" cm="1">
        <f t="array" ref="AT18">_xlfn.XLOOKUP(
   $B$4&amp;" "&amp;$B18,
   Actuals!$D:$D,
   _xlfn.XLOOKUP(
      AT$6,
      Actuals!$H$3:$BD$3,
      Actuals!$H:$BD
   )
)</f>
        <v>0</v>
      </c>
      <c r="AU18" s="327" cm="1">
        <f t="array" ref="AU18">_xlfn.XLOOKUP(
   $B$4&amp;" "&amp;$B18,
   Actuals!$D:$D,
   _xlfn.XLOOKUP(
      AU$6,
      Actuals!$H$3:$BD$3,
      Actuals!$H:$BD
   )
)</f>
        <v>0</v>
      </c>
      <c r="AV18" s="327" cm="1">
        <f t="array" ref="AV18">_xlfn.XLOOKUP(
   $B$4&amp;" "&amp;$B18,
   Actuals!$D:$D,
   _xlfn.XLOOKUP(
      AV$6,
      Actuals!$H$3:$BD$3,
      Actuals!$H:$BD
   )
)</f>
        <v>0</v>
      </c>
      <c r="AW18" s="327" cm="1">
        <f t="array" ref="AW18">_xlfn.XLOOKUP(
   $B$4&amp;" "&amp;$B18,
   Actuals!$D:$D,
   _xlfn.XLOOKUP(
      AW$6,
      Actuals!$H$3:$BD$3,
      Actuals!$H:$BD
   )
)</f>
        <v>0</v>
      </c>
      <c r="AX18" s="327" cm="1">
        <f t="array" ref="AX18">_xlfn.XLOOKUP(
   $B$4&amp;" "&amp;$B18,
   Actuals!$D:$D,
   _xlfn.XLOOKUP(
      AX$6,
      Actuals!$H$3:$BD$3,
      Actuals!$H:$BD
   )
)</f>
        <v>0</v>
      </c>
      <c r="AY18" s="327" cm="1">
        <f t="array" ref="AY18">_xlfn.XLOOKUP(
   $B$4&amp;" "&amp;$B18,
   Actuals!$D:$D,
   _xlfn.XLOOKUP(
      AY$6,
      Actuals!$H$3:$BD$3,
      Actuals!$H:$BD
   )
)</f>
        <v>0</v>
      </c>
      <c r="AZ18" s="327" cm="1">
        <f t="array" ref="AZ18">_xlfn.XLOOKUP(
   $B$4&amp;" "&amp;$B18,
   Actuals!$D:$D,
   _xlfn.XLOOKUP(
      AZ$6,
      Actuals!$H$3:$BD$3,
      Actuals!$H:$BD
   )
)</f>
        <v>0</v>
      </c>
      <c r="BA18" s="333"/>
      <c r="BB18" s="327" cm="1">
        <f t="array" ref="BB18">_xlfn.XLOOKUP(
   $B$4&amp;" "&amp;$B18,
   Actuals!$D:$D,
   _xlfn.XLOOKUP(
      BB$7,
      Actuals!$H$3:$BM$3,
      Actuals!$H:$BM
   )
)</f>
        <v>-1590930.3919986626</v>
      </c>
      <c r="BC18" s="327">
        <f>VLOOKUP($B$4&amp;" "&amp;$B18,Budget!$AG$4:$AL$132,$BB$5+1,FALSE)</f>
        <v>-1178623</v>
      </c>
      <c r="BD18" s="327">
        <f t="shared" si="16"/>
        <v>-412307.39199866261</v>
      </c>
      <c r="BE18" s="333"/>
      <c r="BF18" s="327" cm="1">
        <f t="array" ref="BF18">_xlfn.XLOOKUP(
   $B$4&amp;" "&amp;$B18,
   Actuals!$D:$D,
   _xlfn.XLOOKUP(
      BF$7,
      Actuals!$H$3:$BM$3,
      Actuals!$H:$BM
   )
)</f>
        <v>0</v>
      </c>
      <c r="BG18" s="327">
        <f>VLOOKUP($B$4&amp;" "&amp;$B18,Budget!$AG$4:$AL$132,BF$5+1,FALSE)</f>
        <v>-1123410</v>
      </c>
      <c r="BH18" s="327">
        <f t="shared" si="17"/>
        <v>1123410</v>
      </c>
      <c r="BI18" s="333"/>
      <c r="BJ18" s="327" cm="1">
        <f t="array" ref="BJ18">_xlfn.XLOOKUP(
   $B$4&amp;" "&amp;$B18,
   Actuals!$D:$D,
   _xlfn.XLOOKUP(
      BJ$7,
      Actuals!$H$3:$BM$3,
      Actuals!$H:$BM
   )
)</f>
        <v>0</v>
      </c>
      <c r="BK18" s="327">
        <f>VLOOKUP($B$4&amp;" "&amp;$B18,Budget!$AG$4:$AL$132,BJ$5+1,FALSE)</f>
        <v>-1101578</v>
      </c>
      <c r="BL18" s="327">
        <f t="shared" si="18"/>
        <v>1101578</v>
      </c>
      <c r="BM18" s="333"/>
      <c r="BN18" s="333" cm="1">
        <f t="array" ref="BN18">_xlfn.XLOOKUP(
   $B$4&amp;" "&amp;$B18,
   Actuals!$D:$D,
   _xlfn.XLOOKUP(
      BN$7,
      Actuals!$H$3:$BM$3,
      Actuals!$H:$BM
   )
)</f>
        <v>0</v>
      </c>
      <c r="BO18" s="327">
        <f>VLOOKUP($B$4&amp;" "&amp;$B18,Budget!$AG$4:$AL$132,BN$5+1,FALSE)</f>
        <v>-940882</v>
      </c>
      <c r="BP18" s="333"/>
      <c r="BQ18" s="333"/>
      <c r="BR18" s="327" cm="1">
        <f t="array" aca="1" ref="BR18" ca="1">_xlfn.XLOOKUP(
   $B$4&amp;" "&amp;$B18,
   Actuals!$D:$D,
   _xlfn.XLOOKUP(
      BR$6,
      Actuals!$H$3:$BM$3,
      Actuals!$H:$BM
   )
)</f>
        <v>-1590930.3919986626</v>
      </c>
      <c r="BS18" s="327">
        <f ca="1">VLOOKUP($B$4&amp;" "&amp;$B18,Budget!$AG$4:$AL$132,6,FALSE)</f>
        <v>-4339971</v>
      </c>
      <c r="BT18" s="327">
        <f t="shared" ca="1" si="19"/>
        <v>2749040.6080013374</v>
      </c>
      <c r="BU18" s="333"/>
      <c r="BV18" s="327" cm="1">
        <f t="array" ref="BV18">_xlfn.XLOOKUP(
   $B$4&amp;" "&amp;$B18,
   Actuals!$D:$D,
   _xlfn.XLOOKUP(
      BV$6,
      Actuals!$H$3:$BM$3,
      Actuals!$H:$BM
   )
)</f>
        <v>-5968484.6259314492</v>
      </c>
      <c r="BW18" s="222"/>
    </row>
    <row r="19" spans="2:75" s="26" customFormat="1">
      <c r="C19" s="139"/>
      <c r="D19" s="171"/>
      <c r="O19" s="285"/>
      <c r="P19" s="285"/>
      <c r="Q19" s="285"/>
      <c r="R19" s="285"/>
      <c r="S19" s="285"/>
      <c r="T19" s="285"/>
      <c r="U19" s="285"/>
      <c r="V19" s="285"/>
      <c r="W19" s="285"/>
      <c r="X19" s="285"/>
      <c r="Y19" s="285"/>
      <c r="Z19" s="285"/>
      <c r="AA19" s="285"/>
      <c r="AB19" s="285"/>
      <c r="AC19" s="285"/>
      <c r="AD19" s="285"/>
      <c r="AE19" s="285"/>
      <c r="AF19" s="285"/>
      <c r="AG19" s="285"/>
      <c r="AH19" s="285"/>
      <c r="AI19" s="285"/>
      <c r="AJ19" s="285"/>
      <c r="AK19" s="285"/>
      <c r="AL19" s="285"/>
      <c r="AM19" s="285"/>
      <c r="AN19" s="285"/>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5"/>
      <c r="BK19" s="285"/>
      <c r="BL19" s="285"/>
      <c r="BM19" s="285"/>
      <c r="BN19" s="285"/>
      <c r="BO19" s="285"/>
      <c r="BP19" s="285"/>
      <c r="BQ19" s="285"/>
      <c r="BR19" s="285"/>
      <c r="BS19" s="285"/>
      <c r="BT19" s="285"/>
      <c r="BU19" s="285"/>
      <c r="BV19" s="285"/>
    </row>
    <row r="20" spans="2:75" s="26" customFormat="1">
      <c r="B20" s="26" t="s">
        <v>218</v>
      </c>
      <c r="C20" s="139" t="s">
        <v>49</v>
      </c>
      <c r="D20" s="171" t="str">
        <f>VLOOKUP($B$4&amp;" "&amp;$B20,Actuals!$D$4:$AG$131,3,FALSE)</f>
        <v>$</v>
      </c>
      <c r="E20" s="162">
        <f>VLOOKUP($B$4&amp;" "&amp;$B20,Actuals!$D$4:$AG$131,MONTH(E$6)+4,FALSE)</f>
        <v>0</v>
      </c>
      <c r="F20" s="162">
        <f>VLOOKUP($B$4&amp;" "&amp;$B20,Actuals!$D$4:$AG$131,MONTH(F$6)+4,FALSE)</f>
        <v>0</v>
      </c>
      <c r="G20" s="162">
        <f>VLOOKUP($B$4&amp;" "&amp;$B20,Actuals!$D$4:$AG$131,MONTH(G$6)+4,FALSE)</f>
        <v>0</v>
      </c>
      <c r="H20" s="162">
        <f>VLOOKUP($B$4&amp;" "&amp;$B20,Actuals!$D$4:$AG$131,MONTH(H$6)+4,FALSE)</f>
        <v>0</v>
      </c>
      <c r="I20" s="162">
        <f>VLOOKUP($B$4&amp;" "&amp;$B20,Actuals!$D$4:$AG$131,MONTH(I$6)+4,FALSE)</f>
        <v>0</v>
      </c>
      <c r="J20" s="162">
        <f>VLOOKUP($B$4&amp;" "&amp;$B20,Actuals!$D$4:$AG$131,MONTH(J$6)+4,FALSE)</f>
        <v>0</v>
      </c>
      <c r="K20" s="162">
        <f>VLOOKUP($B$4&amp;" "&amp;$B20,Actuals!$D$4:$AG$131,MONTH(K$6)+4,FALSE)</f>
        <v>0</v>
      </c>
      <c r="L20" s="162">
        <f>VLOOKUP($B$4&amp;" "&amp;$B20,Actuals!$D$4:$AG$131,MONTH(L$6)+4,FALSE)</f>
        <v>0</v>
      </c>
      <c r="M20" s="162">
        <f>VLOOKUP($B$4&amp;" "&amp;$B20,Actuals!$D$4:$AG$131,MONTH(M$6)+4,FALSE)</f>
        <v>0</v>
      </c>
      <c r="N20" s="162">
        <f>VLOOKUP($B$4&amp;" "&amp;$B20,Actuals!$D$4:$AG$131,MONTH(N$6)+4,FALSE)</f>
        <v>0</v>
      </c>
      <c r="O20" s="210">
        <f>VLOOKUP($B$4&amp;" "&amp;$B20,Actuals!$D$4:$AG$131,MONTH(O$6)+4,FALSE)</f>
        <v>0</v>
      </c>
      <c r="P20" s="210">
        <f>VLOOKUP($B$4&amp;" "&amp;$B20,Actuals!$D$4:$AG$131,MONTH(P$6)+4,FALSE)</f>
        <v>0</v>
      </c>
      <c r="Q20" s="210">
        <f>VLOOKUP($B$4&amp;" "&amp;$B20,Actuals!$D$4:$AR$131,MONTH(Q$6)+16,FALSE)</f>
        <v>0</v>
      </c>
      <c r="R20" s="210">
        <f>VLOOKUP($B$4&amp;" "&amp;$B20,Actuals!$D$4:$AR$131,MONTH(R$6)+16,FALSE)</f>
        <v>0</v>
      </c>
      <c r="S20" s="210">
        <f>VLOOKUP($B$4&amp;" "&amp;$B20,Actuals!$D$4:$AR$131,MONTH(S$6)+16,FALSE)</f>
        <v>0</v>
      </c>
      <c r="T20" s="210">
        <f>VLOOKUP($B$4&amp;" "&amp;$B20,Actuals!$D$4:$AR$131,MONTH(T$6)+16,FALSE)</f>
        <v>0</v>
      </c>
      <c r="U20" s="210">
        <f>VLOOKUP($B$4&amp;" "&amp;$B20,Actuals!$D$4:$AR$131,MONTH(U$6)+16,FALSE)</f>
        <v>0</v>
      </c>
      <c r="V20" s="210">
        <f>VLOOKUP($B$4&amp;" "&amp;$B20,Actuals!$D$4:$AR$131,MONTH(V$6)+16,FALSE)</f>
        <v>0</v>
      </c>
      <c r="W20" s="210"/>
      <c r="X20" s="210"/>
      <c r="Y20" s="210"/>
      <c r="Z20" s="210"/>
      <c r="AA20" s="210"/>
      <c r="AB20" s="210"/>
      <c r="AC20" s="210"/>
      <c r="AD20" s="210"/>
      <c r="AE20" s="210"/>
      <c r="AF20" s="210"/>
      <c r="AG20" s="210"/>
      <c r="AH20" s="210"/>
      <c r="AI20" s="210"/>
      <c r="AJ20" s="210"/>
      <c r="AK20" s="210"/>
      <c r="AL20" s="210"/>
      <c r="AM20" s="210"/>
      <c r="AN20" s="210"/>
      <c r="AO20" s="210"/>
      <c r="AP20" s="210"/>
      <c r="AQ20" s="210"/>
      <c r="AR20" s="210"/>
      <c r="AS20" s="210"/>
      <c r="AT20" s="210"/>
      <c r="AU20" s="210"/>
      <c r="AV20" s="210"/>
      <c r="AW20" s="210"/>
      <c r="AX20" s="210"/>
      <c r="AY20" s="210"/>
      <c r="AZ20" s="210"/>
      <c r="BA20" s="210"/>
      <c r="BB20" s="210" cm="1">
        <f t="array" ref="BB20">_xlfn.XLOOKUP(
   $B$4&amp;" "&amp;$B20,
   Actuals!$D:$D,
   _xlfn.XLOOKUP(
      BB$7,
      Actuals!$H$3:$BM$3,
      Actuals!$H:$BM
   )
)</f>
        <v>0</v>
      </c>
      <c r="BC20" s="210">
        <f>VLOOKUP($B$4&amp;" "&amp;$B20,Budget!$AG$4:$AL$132,$BB$5+1,FALSE)</f>
        <v>0</v>
      </c>
      <c r="BD20" s="210">
        <f>BB20-BC20</f>
        <v>0</v>
      </c>
      <c r="BE20" s="210"/>
      <c r="BF20" s="210">
        <f>VLOOKUP($B$4&amp;" "&amp;$B20,Actuals!$BG$4:$BL$131,$BF$5+1,FALSE)</f>
        <v>0</v>
      </c>
      <c r="BG20" s="210">
        <f>VLOOKUP($B$4&amp;" "&amp;$B20,Budget!$AG$4:$AL$132,BF$5+1,FALSE)</f>
        <v>0</v>
      </c>
      <c r="BH20" s="210">
        <f>BF20-BG20</f>
        <v>0</v>
      </c>
      <c r="BI20" s="210"/>
      <c r="BJ20" s="210" cm="1">
        <f t="array" ref="BJ20">_xlfn.XLOOKUP(
   $B$4&amp;" "&amp;$B20,
   Actuals!$D:$D,
   _xlfn.XLOOKUP(
      BJ$7,
      Actuals!$H$3:$BM$3,
      Actuals!$H:$BM
   )
)</f>
        <v>0</v>
      </c>
      <c r="BK20" s="210">
        <f>VLOOKUP($B$4&amp;" "&amp;$B20,Budget!$AG$4:$AL$132,BJ$5+1,FALSE)</f>
        <v>0</v>
      </c>
      <c r="BL20" s="210">
        <f>BJ20-BK20</f>
        <v>0</v>
      </c>
      <c r="BM20" s="210"/>
      <c r="BN20" s="210" cm="1">
        <f t="array" ref="BN20">_xlfn.XLOOKUP(
   $B$4&amp;" "&amp;$B20,
   Actuals!$D:$D,
   _xlfn.XLOOKUP(
      BN$7,
      Actuals!$H$3:$BM$3,
      Actuals!$H:$BM
   )
)</f>
        <v>0</v>
      </c>
      <c r="BO20" s="210">
        <f>VLOOKUP($B$4&amp;" "&amp;$B20,Budget!$AG$4:$AL$132,BN$5+1,FALSE)</f>
        <v>0</v>
      </c>
      <c r="BP20" s="210"/>
      <c r="BQ20" s="210"/>
      <c r="BR20" s="210">
        <f ca="1">VLOOKUP($B$4&amp;" "&amp;$B20,Actuals!$BG$4:$BL$131,6,FALSE)</f>
        <v>0</v>
      </c>
      <c r="BS20" s="210">
        <f ca="1">VLOOKUP($B$4&amp;" "&amp;$B20,Budget!$AG$4:$AL$132,6,FALSE)</f>
        <v>0</v>
      </c>
      <c r="BT20" s="210">
        <f ca="1">BR20-BS20</f>
        <v>0</v>
      </c>
      <c r="BU20" s="210"/>
      <c r="BV20" s="210" cm="1">
        <f t="array" ref="BV20">_xlfn.XLOOKUP(
   $B$4&amp;" "&amp;$B20,
   Actuals!$D:$D,
   _xlfn.XLOOKUP(
      BV$6,
      Actuals!$H$3:$BM$3,
      Actuals!$H:$BM
   )
)</f>
        <v>0</v>
      </c>
    </row>
    <row r="21" spans="2:75" s="26" customFormat="1">
      <c r="C21" s="139"/>
      <c r="D21" s="171"/>
      <c r="O21" s="285"/>
      <c r="P21" s="285"/>
      <c r="Q21" s="285"/>
      <c r="R21" s="285"/>
      <c r="S21" s="285"/>
      <c r="T21" s="285"/>
      <c r="U21" s="285"/>
      <c r="V21" s="285"/>
      <c r="W21" s="285"/>
      <c r="X21" s="285"/>
      <c r="Y21" s="285"/>
      <c r="Z21" s="285"/>
      <c r="AA21" s="285"/>
      <c r="AB21" s="285"/>
      <c r="AC21" s="285"/>
      <c r="AD21" s="285"/>
      <c r="AE21" s="285"/>
      <c r="AF21" s="285"/>
      <c r="AG21" s="285"/>
      <c r="AH21" s="285"/>
      <c r="AI21" s="285"/>
      <c r="AJ21" s="285"/>
      <c r="AK21" s="285"/>
      <c r="AL21" s="285"/>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5"/>
      <c r="BK21" s="285"/>
      <c r="BL21" s="285"/>
      <c r="BM21" s="285"/>
      <c r="BN21" s="285"/>
      <c r="BO21" s="285"/>
      <c r="BP21" s="285"/>
      <c r="BQ21" s="285"/>
      <c r="BR21" s="285"/>
      <c r="BS21" s="285"/>
      <c r="BT21" s="285"/>
      <c r="BU21" s="285"/>
      <c r="BV21" s="285"/>
    </row>
    <row r="22" spans="2:75" s="26" customFormat="1" ht="13">
      <c r="B22" s="126" t="s">
        <v>219</v>
      </c>
      <c r="C22" s="138"/>
      <c r="D22" s="174"/>
      <c r="E22" s="127"/>
      <c r="F22" s="127"/>
      <c r="G22" s="127"/>
      <c r="H22" s="127"/>
      <c r="I22" s="127"/>
      <c r="J22" s="127"/>
      <c r="K22" s="127"/>
      <c r="L22" s="127"/>
      <c r="M22" s="127"/>
      <c r="N22" s="127"/>
      <c r="O22" s="321"/>
      <c r="P22" s="321"/>
      <c r="Q22" s="321"/>
      <c r="R22" s="321"/>
      <c r="S22" s="321"/>
      <c r="T22" s="321"/>
      <c r="U22" s="321"/>
      <c r="V22" s="321"/>
      <c r="W22" s="321"/>
      <c r="X22" s="321"/>
      <c r="Y22" s="321"/>
      <c r="Z22" s="321"/>
      <c r="AA22" s="321"/>
      <c r="AB22" s="321"/>
      <c r="AC22" s="321"/>
      <c r="AD22" s="321"/>
      <c r="AE22" s="321"/>
      <c r="AF22" s="321"/>
      <c r="AG22" s="321"/>
      <c r="AH22" s="321"/>
      <c r="AI22" s="321"/>
      <c r="AJ22" s="321"/>
      <c r="AK22" s="321"/>
      <c r="AL22" s="321"/>
      <c r="AM22" s="321"/>
      <c r="AN22" s="321"/>
      <c r="AO22" s="321"/>
      <c r="AP22" s="321"/>
      <c r="AQ22" s="321"/>
      <c r="AR22" s="321"/>
      <c r="AS22" s="321"/>
      <c r="AT22" s="321"/>
      <c r="AU22" s="321"/>
      <c r="AV22" s="321"/>
      <c r="AW22" s="321"/>
      <c r="AX22" s="321"/>
      <c r="AY22" s="321"/>
      <c r="AZ22" s="321"/>
      <c r="BA22" s="321"/>
      <c r="BB22" s="321"/>
      <c r="BC22" s="321"/>
      <c r="BD22" s="321"/>
      <c r="BE22" s="321"/>
      <c r="BF22" s="321"/>
      <c r="BG22" s="321"/>
      <c r="BH22" s="321"/>
      <c r="BI22" s="321"/>
      <c r="BJ22" s="321"/>
      <c r="BK22" s="321"/>
      <c r="BL22" s="321"/>
      <c r="BM22" s="321"/>
      <c r="BN22" s="321"/>
      <c r="BO22" s="321"/>
      <c r="BP22" s="321"/>
      <c r="BQ22" s="321"/>
      <c r="BR22" s="321"/>
      <c r="BS22" s="321"/>
      <c r="BT22" s="321"/>
      <c r="BU22" s="321"/>
      <c r="BV22" s="321"/>
    </row>
    <row r="23" spans="2:75" s="26" customFormat="1">
      <c r="B23" s="26" t="s">
        <v>220</v>
      </c>
      <c r="C23" s="139" t="s">
        <v>47</v>
      </c>
      <c r="D23" s="171" t="str">
        <f>VLOOKUP($B$4&amp;" "&amp;$B23,Actuals!$D$4:$AG$131,3,FALSE)</f>
        <v>$</v>
      </c>
      <c r="E23" s="215">
        <f>VLOOKUP($B$4&amp;" "&amp;$B23,Actuals!$D$4:$AG$131,MONTH(E$6)+4,FALSE)</f>
        <v>0</v>
      </c>
      <c r="F23" s="215">
        <f>VLOOKUP($B$4&amp;" "&amp;$B23,Actuals!$D$4:$AG$131,MONTH(F$6)+4,FALSE)</f>
        <v>0</v>
      </c>
      <c r="G23" s="215">
        <f>VLOOKUP($B$4&amp;" "&amp;$B23,Actuals!$D$4:$AG$131,MONTH(G$6)+4,FALSE)</f>
        <v>0</v>
      </c>
      <c r="H23" s="215">
        <f>VLOOKUP($B$4&amp;" "&amp;$B23,Actuals!$D$4:$AG$131,MONTH(H$6)+4,FALSE)</f>
        <v>0</v>
      </c>
      <c r="I23" s="215">
        <f>VLOOKUP($B$4&amp;" "&amp;$B23,Actuals!$D$4:$AG$131,MONTH(I$6)+4,FALSE)</f>
        <v>0</v>
      </c>
      <c r="J23" s="215">
        <f>VLOOKUP($B$4&amp;" "&amp;$B23,Actuals!$D$4:$AG$131,MONTH(J$6)+4,FALSE)</f>
        <v>0</v>
      </c>
      <c r="K23" s="215">
        <f>VLOOKUP($B$4&amp;" "&amp;$B23,Actuals!$D$4:$AG$131,MONTH(K$6)+4,FALSE)</f>
        <v>0</v>
      </c>
      <c r="L23" s="215">
        <f>VLOOKUP($B$4&amp;" "&amp;$B23,Actuals!$D$4:$AG$131,MONTH(L$6)+4,FALSE)</f>
        <v>0</v>
      </c>
      <c r="M23" s="215">
        <f>VLOOKUP($B$4&amp;" "&amp;$B23,Actuals!$D$4:$AG$131,MONTH(M$6)+4,FALSE)</f>
        <v>0</v>
      </c>
      <c r="N23" s="215">
        <f>VLOOKUP($B$4&amp;" "&amp;$B23,Actuals!$D$4:$AG$131,MONTH(N$6)+4,FALSE)</f>
        <v>0</v>
      </c>
      <c r="O23" s="219">
        <f>VLOOKUP($B$4&amp;" "&amp;$B23,Actuals!$D$4:$AG$131,MONTH(O$6)+4,FALSE)</f>
        <v>0</v>
      </c>
      <c r="P23" s="219">
        <f>VLOOKUP($B$4&amp;" "&amp;$B23,Actuals!$D$4:$AG$131,MONTH(P$6)+4,FALSE)</f>
        <v>0</v>
      </c>
      <c r="Q23" s="219">
        <f>VLOOKUP($B$4&amp;" "&amp;$B23,Actuals!$D$4:$AR$131,MONTH(Q$6)+16,FALSE)</f>
        <v>0</v>
      </c>
      <c r="R23" s="219">
        <f>VLOOKUP($B$4&amp;" "&amp;$B23,Actuals!$D$4:$AR$131,MONTH(R$6)+16,FALSE)</f>
        <v>0</v>
      </c>
      <c r="S23" s="219">
        <f>VLOOKUP($B$4&amp;" "&amp;$B23,Actuals!$D$4:$AR$131,MONTH(S$6)+16,FALSE)</f>
        <v>0</v>
      </c>
      <c r="T23" s="219">
        <f>VLOOKUP($B$4&amp;" "&amp;$B23,Actuals!$D$4:$AR$131,MONTH(T$6)+16,FALSE)</f>
        <v>0</v>
      </c>
      <c r="U23" s="219">
        <f>VLOOKUP($B$4&amp;" "&amp;$B23,Actuals!$D$4:$AR$131,MONTH(U$6)+16,FALSE)</f>
        <v>0</v>
      </c>
      <c r="V23" s="219">
        <f>VLOOKUP($B$4&amp;" "&amp;$B23,Actuals!$D$4:$AR$131,MONTH(V$6)+16,FALSE)</f>
        <v>0</v>
      </c>
      <c r="W23" s="219"/>
      <c r="X23" s="219"/>
      <c r="Y23" s="219"/>
      <c r="Z23" s="219"/>
      <c r="AA23" s="219"/>
      <c r="AB23" s="219"/>
      <c r="AC23" s="292" cm="1">
        <f t="array" ref="AC23">_xlfn.XLOOKUP(
   $B$4&amp;" "&amp;$B23,
   Actuals!$D:$D,
   _xlfn.XLOOKUP(
      AC$6,
      Actuals!$H$3:$BD$3,
      Actuals!$H:$BD
   )
)</f>
        <v>0</v>
      </c>
      <c r="AD23" s="292" cm="1">
        <f t="array" ref="AD23">_xlfn.XLOOKUP(
   $B$4&amp;" "&amp;$B23,
   Actuals!$D:$D,
   _xlfn.XLOOKUP(
      AD$6,
      Actuals!$H$3:$BD$3,
      Actuals!$H:$BD
   )
)</f>
        <v>0</v>
      </c>
      <c r="AE23" s="292" cm="1">
        <f t="array" ref="AE23">_xlfn.XLOOKUP(
   $B$4&amp;" "&amp;$B23,
   Actuals!$D:$D,
   _xlfn.XLOOKUP(
      AE$6,
      Actuals!$H$3:$BD$3,
      Actuals!$H:$BD
   )
)</f>
        <v>0</v>
      </c>
      <c r="AF23" s="292" cm="1">
        <f t="array" ref="AF23">_xlfn.XLOOKUP(
   $B$4&amp;" "&amp;$B23,
   Actuals!$D:$D,
   _xlfn.XLOOKUP(
      AF$6,
      Actuals!$H$3:$BD$3,
      Actuals!$H:$BD
   )
)</f>
        <v>0</v>
      </c>
      <c r="AG23" s="292" cm="1">
        <f t="array" ref="AG23">_xlfn.XLOOKUP(
   $B$4&amp;" "&amp;$B23,
   Actuals!$D:$D,
   _xlfn.XLOOKUP(
      AG$6,
      Actuals!$H$3:$BD$3,
      Actuals!$H:$BD
   )
)</f>
        <v>0</v>
      </c>
      <c r="AH23" s="292" cm="1">
        <f t="array" ref="AH23">_xlfn.XLOOKUP(
   $B$4&amp;" "&amp;$B23,
   Actuals!$D:$D,
   _xlfn.XLOOKUP(
      AH$6,
      Actuals!$H$3:$BD$3,
      Actuals!$H:$BD
   )
)</f>
        <v>0</v>
      </c>
      <c r="AI23" s="292" cm="1">
        <f t="array" ref="AI23">_xlfn.XLOOKUP(
   $B$4&amp;" "&amp;$B23,
   Actuals!$D:$D,
   _xlfn.XLOOKUP(
      AI$6,
      Actuals!$H$3:$BD$3,
      Actuals!$H:$BD
   )
)</f>
        <v>0</v>
      </c>
      <c r="AJ23" s="292" cm="1">
        <f t="array" ref="AJ23">_xlfn.XLOOKUP(
   $B$4&amp;" "&amp;$B23,
   Actuals!$D:$D,
   _xlfn.XLOOKUP(
      AJ$6,
      Actuals!$H$3:$BD$3,
      Actuals!$H:$BD
   )
)</f>
        <v>0</v>
      </c>
      <c r="AK23" s="292" cm="1">
        <f t="array" ref="AK23">_xlfn.XLOOKUP(
   $B$4&amp;" "&amp;$B23,
   Actuals!$D:$D,
   _xlfn.XLOOKUP(
      AK$6,
      Actuals!$H$3:$BD$3,
      Actuals!$H:$BD
   )
)</f>
        <v>0</v>
      </c>
      <c r="AL23" s="292" cm="1">
        <f t="array" ref="AL23">_xlfn.XLOOKUP(
   $B$4&amp;" "&amp;$B23,
   Actuals!$D:$D,
   _xlfn.XLOOKUP(
      AL$6,
      Actuals!$H$3:$BD$3,
      Actuals!$H:$BD
   )
)</f>
        <v>0</v>
      </c>
      <c r="AM23" s="292" cm="1">
        <f t="array" ref="AM23">_xlfn.XLOOKUP(
   $B$4&amp;" "&amp;$B23,
   Actuals!$D:$D,
   _xlfn.XLOOKUP(
      AM$6,
      Actuals!$H$3:$BD$3,
      Actuals!$H:$BD
   )
)</f>
        <v>0</v>
      </c>
      <c r="AN23" s="292" cm="1">
        <f t="array" ref="AN23">_xlfn.XLOOKUP(
   $B$4&amp;" "&amp;$B23,
   Actuals!$D:$D,
   _xlfn.XLOOKUP(
      AN$6,
      Actuals!$H$3:$BD$3,
      Actuals!$H:$BD
   )
)</f>
        <v>0</v>
      </c>
      <c r="AO23" s="292" cm="1">
        <f t="array" ref="AO23">_xlfn.XLOOKUP(
   $B$4&amp;" "&amp;$B23,
   Actuals!$D:$D,
   _xlfn.XLOOKUP(
      AO$6,
      Actuals!$H$3:$BD$3,
      Actuals!$H:$BD
   )
)</f>
        <v>0</v>
      </c>
      <c r="AP23" s="292" cm="1">
        <f t="array" ref="AP23">_xlfn.XLOOKUP(
   $B$4&amp;" "&amp;$B23,
   Actuals!$D:$D,
   _xlfn.XLOOKUP(
      AP$6,
      Actuals!$H$3:$BD$3,
      Actuals!$H:$BD
   )
)</f>
        <v>0</v>
      </c>
      <c r="AQ23" s="292" cm="1">
        <f t="array" ref="AQ23">_xlfn.XLOOKUP(
   $B$4&amp;" "&amp;$B23,
   Actuals!$D:$D,
   _xlfn.XLOOKUP(
      AQ$6,
      Actuals!$H$3:$BD$3,
      Actuals!$H:$BD
   )
)</f>
        <v>0</v>
      </c>
      <c r="AR23" s="292" cm="1">
        <f t="array" ref="AR23">_xlfn.XLOOKUP(
   $B$4&amp;" "&amp;$B23,
   Actuals!$D:$D,
   _xlfn.XLOOKUP(
      AR$6,
      Actuals!$H$3:$BD$3,
      Actuals!$H:$BD
   )
)</f>
        <v>0</v>
      </c>
      <c r="AS23" s="292" cm="1">
        <f t="array" ref="AS23">_xlfn.XLOOKUP(
   $B$4&amp;" "&amp;$B23,
   Actuals!$D:$D,
   _xlfn.XLOOKUP(
      AS$6,
      Actuals!$H$3:$BD$3,
      Actuals!$H:$BD
   )
)</f>
        <v>0</v>
      </c>
      <c r="AT23" s="292" cm="1">
        <f t="array" ref="AT23">_xlfn.XLOOKUP(
   $B$4&amp;" "&amp;$B23,
   Actuals!$D:$D,
   _xlfn.XLOOKUP(
      AT$6,
      Actuals!$H$3:$BD$3,
      Actuals!$H:$BD
   )
)</f>
        <v>0</v>
      </c>
      <c r="AU23" s="292" cm="1">
        <f t="array" ref="AU23">_xlfn.XLOOKUP(
   $B$4&amp;" "&amp;$B23,
   Actuals!$D:$D,
   _xlfn.XLOOKUP(
      AU$6,
      Actuals!$H$3:$BD$3,
      Actuals!$H:$BD
   )
)</f>
        <v>0</v>
      </c>
      <c r="AV23" s="292" cm="1">
        <f t="array" ref="AV23">_xlfn.XLOOKUP(
   $B$4&amp;" "&amp;$B23,
   Actuals!$D:$D,
   _xlfn.XLOOKUP(
      AV$6,
      Actuals!$H$3:$BD$3,
      Actuals!$H:$BD
   )
)</f>
        <v>0</v>
      </c>
      <c r="AW23" s="292" cm="1">
        <f t="array" ref="AW23">_xlfn.XLOOKUP(
   $B$4&amp;" "&amp;$B23,
   Actuals!$D:$D,
   _xlfn.XLOOKUP(
      AW$6,
      Actuals!$H$3:$BD$3,
      Actuals!$H:$BD
   )
)</f>
        <v>0</v>
      </c>
      <c r="AX23" s="292" cm="1">
        <f t="array" ref="AX23">_xlfn.XLOOKUP(
   $B$4&amp;" "&amp;$B23,
   Actuals!$D:$D,
   _xlfn.XLOOKUP(
      AX$6,
      Actuals!$H$3:$BD$3,
      Actuals!$H:$BD
   )
)</f>
        <v>0</v>
      </c>
      <c r="AY23" s="292" cm="1">
        <f t="array" ref="AY23">_xlfn.XLOOKUP(
   $B$4&amp;" "&amp;$B23,
   Actuals!$D:$D,
   _xlfn.XLOOKUP(
      AY$6,
      Actuals!$H$3:$BD$3,
      Actuals!$H:$BD
   )
)</f>
        <v>0</v>
      </c>
      <c r="AZ23" s="292" cm="1">
        <f t="array" ref="AZ23">_xlfn.XLOOKUP(
   $B$4&amp;" "&amp;$B23,
   Actuals!$D:$D,
   _xlfn.XLOOKUP(
      AZ$6,
      Actuals!$H$3:$BD$3,
      Actuals!$H:$BD
   )
)</f>
        <v>0</v>
      </c>
      <c r="BA23" s="210"/>
      <c r="BB23" s="219" cm="1">
        <f t="array" ref="BB23">_xlfn.XLOOKUP(
   $B$4&amp;" "&amp;$B23,
   Actuals!$D:$D,
   _xlfn.XLOOKUP(
      BB$7,
      Actuals!$H$3:$BM$3,
      Actuals!$H:$BM
   )
)</f>
        <v>0</v>
      </c>
      <c r="BC23" s="219">
        <f>VLOOKUP($B$4&amp;" "&amp;$B23,Budget!$AG$4:$AL$132,$BB$5+1,FALSE)</f>
        <v>0</v>
      </c>
      <c r="BD23" s="219">
        <f>BB23-BC23</f>
        <v>0</v>
      </c>
      <c r="BE23" s="210"/>
      <c r="BF23" s="219" cm="1">
        <f t="array" ref="BF23">_xlfn.XLOOKUP(
   $B$4&amp;" "&amp;$B23,
   Actuals!$D:$D,
   _xlfn.XLOOKUP(
      BF$7,
      Actuals!$H$3:$BM$3,
      Actuals!$H:$BM
   )
)</f>
        <v>0</v>
      </c>
      <c r="BG23" s="219">
        <f>VLOOKUP($B$4&amp;" "&amp;$B23,Budget!$AG$4:$AL$132,BF$5+1,FALSE)</f>
        <v>0</v>
      </c>
      <c r="BH23" s="219">
        <f>BF23-BG23</f>
        <v>0</v>
      </c>
      <c r="BI23" s="210"/>
      <c r="BJ23" s="219" cm="1">
        <f t="array" ref="BJ23">_xlfn.XLOOKUP(
   $B$4&amp;" "&amp;$B23,
   Actuals!$D:$D,
   _xlfn.XLOOKUP(
      BJ$7,
      Actuals!$H$3:$BM$3,
      Actuals!$H:$BM
   )
)</f>
        <v>0</v>
      </c>
      <c r="BK23" s="219">
        <f>VLOOKUP($B$4&amp;" "&amp;$B23,Budget!$AG$4:$AL$132,BJ$5+1,FALSE)</f>
        <v>0</v>
      </c>
      <c r="BL23" s="219">
        <f>BJ23-BK23</f>
        <v>0</v>
      </c>
      <c r="BM23" s="210"/>
      <c r="BN23" s="210" cm="1">
        <f t="array" ref="BN23">_xlfn.XLOOKUP(
   $B$4&amp;" "&amp;$B23,
   Actuals!$D:$D,
   _xlfn.XLOOKUP(
      BN$7,
      Actuals!$H$3:$BM$3,
      Actuals!$H:$BM
   )
)</f>
        <v>0</v>
      </c>
      <c r="BO23" s="219">
        <f>VLOOKUP($B$4&amp;" "&amp;$B23,Budget!$AG$4:$AL$132,BN$5+1,FALSE)</f>
        <v>0</v>
      </c>
      <c r="BP23" s="210"/>
      <c r="BQ23" s="210"/>
      <c r="BR23" s="219">
        <f ca="1">VLOOKUP($B$4&amp;" "&amp;$B23,Actuals!$BG$4:$BL$131,6,FALSE)</f>
        <v>0</v>
      </c>
      <c r="BS23" s="219">
        <f ca="1">VLOOKUP($B$4&amp;" "&amp;$B23,Budget!$AG$4:$AL$132,6,FALSE)</f>
        <v>0</v>
      </c>
      <c r="BT23" s="219">
        <f ca="1">BR23-BS23</f>
        <v>0</v>
      </c>
      <c r="BU23" s="210"/>
      <c r="BV23" s="219" cm="1">
        <f t="array" ref="BV23">_xlfn.XLOOKUP(
   $B$4&amp;" "&amp;$B23,
   Actuals!$D:$D,
   _xlfn.XLOOKUP(
      BV$6,
      Actuals!$H$3:$BM$3,
      Actuals!$H:$BM
   )
)</f>
        <v>0</v>
      </c>
    </row>
    <row r="24" spans="2:75" s="26" customFormat="1">
      <c r="B24" s="26" t="s">
        <v>221</v>
      </c>
      <c r="C24" s="139" t="s">
        <v>47</v>
      </c>
      <c r="D24" s="171" t="str">
        <f>VLOOKUP($B$4&amp;" "&amp;$B24,Actuals!$D$4:$AG$131,3,FALSE)</f>
        <v>$</v>
      </c>
      <c r="E24" s="215">
        <f>VLOOKUP($B$4&amp;" "&amp;$B24,Actuals!$D$4:$AG$131,MONTH(E$6)+4,FALSE)</f>
        <v>-12913819</v>
      </c>
      <c r="F24" s="215">
        <f>VLOOKUP($B$4&amp;" "&amp;$B24,Actuals!$D$4:$AG$131,MONTH(F$6)+4,FALSE)</f>
        <v>-12701021</v>
      </c>
      <c r="G24" s="215">
        <f>VLOOKUP($B$4&amp;" "&amp;$B24,Actuals!$D$4:$AG$131,MONTH(G$6)+4,FALSE)</f>
        <v>-13446414.969999999</v>
      </c>
      <c r="H24" s="215">
        <f>VLOOKUP($B$4&amp;" "&amp;$B24,Actuals!$D$4:$AG$131,MONTH(H$6)+4,FALSE)</f>
        <v>-12983690.050000001</v>
      </c>
      <c r="I24" s="215">
        <f>VLOOKUP($B$4&amp;" "&amp;$B24,Actuals!$D$4:$AG$131,MONTH(I$6)+4,FALSE)</f>
        <v>-13086022</v>
      </c>
      <c r="J24" s="215">
        <f>VLOOKUP($B$4&amp;" "&amp;$B24,Actuals!$D$4:$AG$131,MONTH(J$6)+4,FALSE)</f>
        <v>-12720813</v>
      </c>
      <c r="K24" s="215">
        <f>VLOOKUP($B$4&amp;" "&amp;$B24,Actuals!$D$4:$AG$131,MONTH(K$6)+4,FALSE)</f>
        <v>-12336531.65</v>
      </c>
      <c r="L24" s="215">
        <f>VLOOKUP($B$4&amp;" "&amp;$B24,Actuals!$D$4:$AG$131,MONTH(L$6)+4,FALSE)</f>
        <v>-12312851.85</v>
      </c>
      <c r="M24" s="215">
        <f>VLOOKUP($B$4&amp;" "&amp;$B24,Actuals!$D$4:$AG$131,MONTH(M$6)+4,FALSE)</f>
        <v>-11970032.08</v>
      </c>
      <c r="N24" s="215">
        <f>VLOOKUP($B$4&amp;" "&amp;$B24,Actuals!$D$4:$AG$131,MONTH(N$6)+4,FALSE)</f>
        <v>-11829847.130000001</v>
      </c>
      <c r="O24" s="219">
        <f>VLOOKUP($B$4&amp;" "&amp;$B24,Actuals!$D$4:$AG$131,MONTH(O$6)+4,FALSE)</f>
        <v>0</v>
      </c>
      <c r="P24" s="219">
        <f>VLOOKUP($B$4&amp;" "&amp;$B24,Actuals!$D$4:$AG$131,MONTH(P$6)+4,FALSE)</f>
        <v>0</v>
      </c>
      <c r="Q24" s="219">
        <f>VLOOKUP($B$4&amp;" "&amp;$B24,Actuals!$D$4:$AR$131,MONTH(Q$6)+16,FALSE)</f>
        <v>0</v>
      </c>
      <c r="R24" s="219">
        <f>VLOOKUP($B$4&amp;" "&amp;$B24,Actuals!$D$4:$AR$131,MONTH(R$6)+16,FALSE)</f>
        <v>0</v>
      </c>
      <c r="S24" s="219">
        <f>VLOOKUP($B$4&amp;" "&amp;$B24,Actuals!$D$4:$AR$131,MONTH(S$6)+16,FALSE)</f>
        <v>0</v>
      </c>
      <c r="T24" s="219">
        <f>VLOOKUP($B$4&amp;" "&amp;$B24,Actuals!$D$4:$AR$131,MONTH(T$6)+16,FALSE)</f>
        <v>0</v>
      </c>
      <c r="U24" s="219">
        <f>VLOOKUP($B$4&amp;" "&amp;$B24,Actuals!$D$4:$AR$131,MONTH(U$6)+16,FALSE)</f>
        <v>0</v>
      </c>
      <c r="V24" s="219">
        <f>VLOOKUP($B$4&amp;" "&amp;$B24,Actuals!$D$4:$AR$131,MONTH(V$6)+16,FALSE)</f>
        <v>0</v>
      </c>
      <c r="W24" s="219"/>
      <c r="X24" s="219"/>
      <c r="Y24" s="219"/>
      <c r="Z24" s="219"/>
      <c r="AA24" s="219"/>
      <c r="AB24" s="219"/>
      <c r="AC24" s="219" cm="1">
        <f t="array" ref="AC24">_xlfn.XLOOKUP(
   $B$4&amp;" "&amp;$B24,
   Actuals!$D:$D,
   _xlfn.XLOOKUP(
      AC$6,
      Actuals!$H$3:$BD$3,
      Actuals!$H:$BD
   )
)</f>
        <v>-5336986.5599999996</v>
      </c>
      <c r="AD24" s="219" cm="1">
        <f t="array" ref="AD24">_xlfn.XLOOKUP(
   $B$4&amp;" "&amp;$B24,
   Actuals!$D:$D,
   _xlfn.XLOOKUP(
      AD$6,
      Actuals!$H$3:$BD$3,
      Actuals!$H:$BD
   )
)</f>
        <v>-4232964.32</v>
      </c>
      <c r="AE24" s="219" cm="1">
        <f t="array" ref="AE24">_xlfn.XLOOKUP(
   $B$4&amp;" "&amp;$B24,
   Actuals!$D:$D,
   _xlfn.XLOOKUP(
      AE$6,
      Actuals!$H$3:$BD$3,
      Actuals!$H:$BD
   )
)</f>
        <v>-3954706.82</v>
      </c>
      <c r="AF24" s="219" cm="1">
        <f t="array" ref="AF24">_xlfn.XLOOKUP(
   $B$4&amp;" "&amp;$B24,
   Actuals!$D:$D,
   _xlfn.XLOOKUP(
      AF$6,
      Actuals!$H$3:$BD$3,
      Actuals!$H:$BD
   )
)</f>
        <v>-3682272.41</v>
      </c>
      <c r="AG24" s="219" cm="1">
        <f t="array" ref="AG24">_xlfn.XLOOKUP(
   $B$4&amp;" "&amp;$B24,
   Actuals!$D:$D,
   _xlfn.XLOOKUP(
      AG$6,
      Actuals!$H$3:$BD$3,
      Actuals!$H:$BD
   )
)</f>
        <v>-3911792.7499999995</v>
      </c>
      <c r="AH24" s="219" cm="1">
        <f t="array" ref="AH24">_xlfn.XLOOKUP(
   $B$4&amp;" "&amp;$B24,
   Actuals!$D:$D,
   _xlfn.XLOOKUP(
      AH$6,
      Actuals!$H$3:$BD$3,
      Actuals!$H:$BD
   )
)</f>
        <v>-3764928.4899999998</v>
      </c>
      <c r="AI24" s="219" cm="1">
        <f t="array" ref="AI24">_xlfn.XLOOKUP(
   $B$4&amp;" "&amp;$B24,
   Actuals!$D:$D,
   _xlfn.XLOOKUP(
      AI$6,
      Actuals!$H$3:$BD$3,
      Actuals!$H:$BD
   )
)</f>
        <v>-3664951.2399999998</v>
      </c>
      <c r="AJ24" s="219" cm="1">
        <f t="array" ref="AJ24">_xlfn.XLOOKUP(
   $B$4&amp;" "&amp;$B24,
   Actuals!$D:$D,
   _xlfn.XLOOKUP(
      AJ$6,
      Actuals!$H$3:$BD$3,
      Actuals!$H:$BD
   )
)</f>
        <v>-3352282.14</v>
      </c>
      <c r="AK24" s="219" cm="1">
        <f t="array" ref="AK24">_xlfn.XLOOKUP(
   $B$4&amp;" "&amp;$B24,
   Actuals!$D:$D,
   _xlfn.XLOOKUP(
      AK$6,
      Actuals!$H$3:$BD$3,
      Actuals!$H:$BD
   )
)</f>
        <v>-3216289.08</v>
      </c>
      <c r="AL24" s="219" cm="1">
        <f t="array" ref="AL24">_xlfn.XLOOKUP(
   $B$4&amp;" "&amp;$B24,
   Actuals!$D:$D,
   _xlfn.XLOOKUP(
      AL$6,
      Actuals!$H$3:$BD$3,
      Actuals!$H:$BD
   )
)</f>
        <v>-2577631.75</v>
      </c>
      <c r="AM24" s="219" cm="1">
        <f t="array" ref="AM24">_xlfn.XLOOKUP(
   $B$4&amp;" "&amp;$B24,
   Actuals!$D:$D,
   _xlfn.XLOOKUP(
      AM$6,
      Actuals!$H$3:$BD$3,
      Actuals!$H:$BD
   )
)</f>
        <v>-2374633.73</v>
      </c>
      <c r="AN24" s="219" cm="1">
        <f t="array" ref="AN24">_xlfn.XLOOKUP(
   $B$4&amp;" "&amp;$B24,
   Actuals!$D:$D,
   _xlfn.XLOOKUP(
      AN$6,
      Actuals!$H$3:$BD$3,
      Actuals!$H:$BD
   )
)</f>
        <v>-2051669.68</v>
      </c>
      <c r="AO24" s="219" cm="1">
        <f t="array" ref="AO24">_xlfn.XLOOKUP(
   $B$4&amp;" "&amp;$B24,
   Actuals!$D:$D,
   _xlfn.XLOOKUP(
      AO$6,
      Actuals!$H$3:$BD$3,
      Actuals!$H:$BD
   )
)</f>
        <v>-1344652.29</v>
      </c>
      <c r="AP24" s="219" cm="1">
        <f t="array" ref="AP24">_xlfn.XLOOKUP(
   $B$4&amp;" "&amp;$B24,
   Actuals!$D:$D,
   _xlfn.XLOOKUP(
      AP$6,
      Actuals!$H$3:$BD$3,
      Actuals!$H:$BD
   )
)</f>
        <v>-1056941.22</v>
      </c>
      <c r="AQ24" s="219" cm="1">
        <f t="array" ref="AQ24">_xlfn.XLOOKUP(
   $B$4&amp;" "&amp;$B24,
   Actuals!$D:$D,
   _xlfn.XLOOKUP(
      AQ$6,
      Actuals!$H$3:$BD$3,
      Actuals!$H:$BD
   )
)</f>
        <v>-1290064.29</v>
      </c>
      <c r="AR24" s="219" cm="1">
        <f t="array" ref="AR24">_xlfn.XLOOKUP(
   $B$4&amp;" "&amp;$B24,
   Actuals!$D:$D,
   _xlfn.XLOOKUP(
      AR$6,
      Actuals!$H$3:$BD$3,
      Actuals!$H:$BD
   )
)</f>
        <v>0</v>
      </c>
      <c r="AS24" s="219" cm="1">
        <f t="array" ref="AS24">_xlfn.XLOOKUP(
   $B$4&amp;" "&amp;$B24,
   Actuals!$D:$D,
   _xlfn.XLOOKUP(
      AS$6,
      Actuals!$H$3:$BD$3,
      Actuals!$H:$BD
   )
)</f>
        <v>0</v>
      </c>
      <c r="AT24" s="219" cm="1">
        <f t="array" ref="AT24">_xlfn.XLOOKUP(
   $B$4&amp;" "&amp;$B24,
   Actuals!$D:$D,
   _xlfn.XLOOKUP(
      AT$6,
      Actuals!$H$3:$BD$3,
      Actuals!$H:$BD
   )
)</f>
        <v>0</v>
      </c>
      <c r="AU24" s="219" cm="1">
        <f t="array" ref="AU24">_xlfn.XLOOKUP(
   $B$4&amp;" "&amp;$B24,
   Actuals!$D:$D,
   _xlfn.XLOOKUP(
      AU$6,
      Actuals!$H$3:$BD$3,
      Actuals!$H:$BD
   )
)</f>
        <v>0</v>
      </c>
      <c r="AV24" s="219" cm="1">
        <f t="array" ref="AV24">_xlfn.XLOOKUP(
   $B$4&amp;" "&amp;$B24,
   Actuals!$D:$D,
   _xlfn.XLOOKUP(
      AV$6,
      Actuals!$H$3:$BD$3,
      Actuals!$H:$BD
   )
)</f>
        <v>0</v>
      </c>
      <c r="AW24" s="219" cm="1">
        <f t="array" ref="AW24">_xlfn.XLOOKUP(
   $B$4&amp;" "&amp;$B24,
   Actuals!$D:$D,
   _xlfn.XLOOKUP(
      AW$6,
      Actuals!$H$3:$BD$3,
      Actuals!$H:$BD
   )
)</f>
        <v>0</v>
      </c>
      <c r="AX24" s="219" cm="1">
        <f t="array" ref="AX24">_xlfn.XLOOKUP(
   $B$4&amp;" "&amp;$B24,
   Actuals!$D:$D,
   _xlfn.XLOOKUP(
      AX$6,
      Actuals!$H$3:$BD$3,
      Actuals!$H:$BD
   )
)</f>
        <v>0</v>
      </c>
      <c r="AY24" s="219" cm="1">
        <f t="array" ref="AY24">_xlfn.XLOOKUP(
   $B$4&amp;" "&amp;$B24,
   Actuals!$D:$D,
   _xlfn.XLOOKUP(
      AY$6,
      Actuals!$H$3:$BD$3,
      Actuals!$H:$BD
   )
)</f>
        <v>0</v>
      </c>
      <c r="AZ24" s="219" cm="1">
        <f t="array" ref="AZ24">_xlfn.XLOOKUP(
   $B$4&amp;" "&amp;$B24,
   Actuals!$D:$D,
   _xlfn.XLOOKUP(
      AZ$6,
      Actuals!$H$3:$BD$3,
      Actuals!$H:$BD
   )
)</f>
        <v>0</v>
      </c>
      <c r="BA24" s="210"/>
      <c r="BB24" s="219" cm="1">
        <f t="array" ref="BB24">_xlfn.XLOOKUP(
   $B$4&amp;" "&amp;$B24,
   Actuals!$D:$D,
   _xlfn.XLOOKUP(
      BB$7,
      Actuals!$H$3:$BM$3,
      Actuals!$H:$BM
   )
)</f>
        <v>-1290064.29</v>
      </c>
      <c r="BC24" s="219">
        <f>VLOOKUP($B$4&amp;" "&amp;$B24,Budget!$AG$4:$AL$132,$BB$5+1,FALSE)</f>
        <v>0</v>
      </c>
      <c r="BD24" s="219">
        <f>BB24-BC24</f>
        <v>-1290064.29</v>
      </c>
      <c r="BE24" s="210"/>
      <c r="BF24" s="219" cm="1">
        <f t="array" ref="BF24">_xlfn.XLOOKUP(
   $B$4&amp;" "&amp;$B24,
   Actuals!$D:$D,
   _xlfn.XLOOKUP(
      BF$7,
      Actuals!$H$3:$BM$3,
      Actuals!$H:$BM
   )
)</f>
        <v>0</v>
      </c>
      <c r="BG24" s="219">
        <f>VLOOKUP($B$4&amp;" "&amp;$B24,Budget!$AG$4:$AL$132,BF$5+1,FALSE)</f>
        <v>-10830743</v>
      </c>
      <c r="BH24" s="219">
        <f>BF24-BG24</f>
        <v>10830743</v>
      </c>
      <c r="BI24" s="210"/>
      <c r="BJ24" s="219" cm="1">
        <f t="array" ref="BJ24">_xlfn.XLOOKUP(
   $B$4&amp;" "&amp;$B24,
   Actuals!$D:$D,
   _xlfn.XLOOKUP(
      BJ$7,
      Actuals!$H$3:$BM$3,
      Actuals!$H:$BM
   )
)</f>
        <v>0</v>
      </c>
      <c r="BK24" s="219">
        <f>VLOOKUP($B$4&amp;" "&amp;$B24,Budget!$AG$4:$AL$132,BJ$5+1,FALSE)</f>
        <v>-10035122</v>
      </c>
      <c r="BL24" s="219">
        <f>BJ24-BK24</f>
        <v>10035122</v>
      </c>
      <c r="BM24" s="210"/>
      <c r="BN24" s="210" cm="1">
        <f t="array" ref="BN24">_xlfn.XLOOKUP(
   $B$4&amp;" "&amp;$B24,
   Actuals!$D:$D,
   _xlfn.XLOOKUP(
      BN$7,
      Actuals!$H$3:$BM$3,
      Actuals!$H:$BM
   )
)</f>
        <v>0</v>
      </c>
      <c r="BO24" s="219">
        <f>VLOOKUP($B$4&amp;" "&amp;$B24,Budget!$AG$4:$AL$132,BN$5+1,FALSE)</f>
        <v>-8911644</v>
      </c>
      <c r="BP24" s="210"/>
      <c r="BQ24" s="210"/>
      <c r="BR24" s="219">
        <f ca="1">VLOOKUP($B$4&amp;" "&amp;$B24,Actuals!$BG$4:$BL$131,6,FALSE)</f>
        <v>0</v>
      </c>
      <c r="BS24" s="219">
        <f ca="1">VLOOKUP($B$4&amp;" "&amp;$B24,Budget!$AG$4:$AL$132,6,FALSE)</f>
        <v>-8911644</v>
      </c>
      <c r="BT24" s="219">
        <f ca="1">BR24-BS24</f>
        <v>8911644</v>
      </c>
      <c r="BU24" s="210"/>
      <c r="BV24" s="219" cm="1">
        <f t="array" ref="BV24">_xlfn.XLOOKUP(
   $B$4&amp;" "&amp;$B24,
   Actuals!$D:$D,
   _xlfn.XLOOKUP(
      BV$6,
      Actuals!$H$3:$BM$3,
      Actuals!$H:$BM
   )
)</f>
        <v>-1344652.29</v>
      </c>
    </row>
    <row r="25" spans="2:75" s="26" customFormat="1">
      <c r="B25" s="29" t="s">
        <v>222</v>
      </c>
      <c r="C25" s="142" t="s">
        <v>47</v>
      </c>
      <c r="D25" s="172" t="str">
        <f>VLOOKUP($B$4&amp;" "&amp;$B25,Actuals!$D$4:$AG$131,3,FALSE)</f>
        <v>$</v>
      </c>
      <c r="E25" s="216">
        <f>VLOOKUP($B$4&amp;" "&amp;$B25,Actuals!$D$4:$AG$131,MONTH(E$6)+4,FALSE)</f>
        <v>-12913819</v>
      </c>
      <c r="F25" s="216">
        <f>VLOOKUP($B$4&amp;" "&amp;$B25,Actuals!$D$4:$AG$131,MONTH(F$6)+4,FALSE)</f>
        <v>-12701021</v>
      </c>
      <c r="G25" s="216">
        <f>VLOOKUP($B$4&amp;" "&amp;$B25,Actuals!$D$4:$AG$131,MONTH(G$6)+4,FALSE)</f>
        <v>-13446414.969999999</v>
      </c>
      <c r="H25" s="216">
        <f>VLOOKUP($B$4&amp;" "&amp;$B25,Actuals!$D$4:$AG$131,MONTH(H$6)+4,FALSE)</f>
        <v>-12983690.050000001</v>
      </c>
      <c r="I25" s="216">
        <f>VLOOKUP($B$4&amp;" "&amp;$B25,Actuals!$D$4:$AG$131,MONTH(I$6)+4,FALSE)</f>
        <v>-13086022</v>
      </c>
      <c r="J25" s="216">
        <f>VLOOKUP($B$4&amp;" "&amp;$B25,Actuals!$D$4:$AG$131,MONTH(J$6)+4,FALSE)</f>
        <v>-12720813</v>
      </c>
      <c r="K25" s="216">
        <f>VLOOKUP($B$4&amp;" "&amp;$B25,Actuals!$D$4:$AG$131,MONTH(K$6)+4,FALSE)</f>
        <v>-12336531.65</v>
      </c>
      <c r="L25" s="216">
        <f>VLOOKUP($B$4&amp;" "&amp;$B25,Actuals!$D$4:$AG$131,MONTH(L$6)+4,FALSE)</f>
        <v>-12312851.85</v>
      </c>
      <c r="M25" s="216">
        <f>VLOOKUP($B$4&amp;" "&amp;$B25,Actuals!$D$4:$AG$131,MONTH(M$6)+4,FALSE)</f>
        <v>-11970032.08</v>
      </c>
      <c r="N25" s="216">
        <f>VLOOKUP($B$4&amp;" "&amp;$B25,Actuals!$D$4:$AG$131,MONTH(N$6)+4,FALSE)</f>
        <v>-11829847.130000001</v>
      </c>
      <c r="O25" s="327">
        <f>VLOOKUP($B$4&amp;" "&amp;$B25,Actuals!$D$4:$AG$131,MONTH(O$6)+4,FALSE)</f>
        <v>0</v>
      </c>
      <c r="P25" s="327">
        <f>VLOOKUP($B$4&amp;" "&amp;$B25,Actuals!$D$4:$AG$131,MONTH(P$6)+4,FALSE)</f>
        <v>0</v>
      </c>
      <c r="Q25" s="327">
        <f>VLOOKUP($B$4&amp;" "&amp;$B25,Actuals!$D$4:$AR$131,MONTH(Q$6)+16,FALSE)</f>
        <v>0</v>
      </c>
      <c r="R25" s="327">
        <f>VLOOKUP($B$4&amp;" "&amp;$B25,Actuals!$D$4:$AR$131,MONTH(R$6)+16,FALSE)</f>
        <v>0</v>
      </c>
      <c r="S25" s="327">
        <f>VLOOKUP($B$4&amp;" "&amp;$B25,Actuals!$D$4:$AR$131,MONTH(S$6)+16,FALSE)</f>
        <v>0</v>
      </c>
      <c r="T25" s="327">
        <f>VLOOKUP($B$4&amp;" "&amp;$B25,Actuals!$D$4:$AR$131,MONTH(T$6)+16,FALSE)</f>
        <v>0</v>
      </c>
      <c r="U25" s="327">
        <f>VLOOKUP($B$4&amp;" "&amp;$B25,Actuals!$D$4:$AR$131,MONTH(U$6)+16,FALSE)</f>
        <v>0</v>
      </c>
      <c r="V25" s="327">
        <f>VLOOKUP($B$4&amp;" "&amp;$B25,Actuals!$D$4:$AR$131,MONTH(V$6)+16,FALSE)</f>
        <v>0</v>
      </c>
      <c r="W25" s="327"/>
      <c r="X25" s="327"/>
      <c r="Y25" s="327"/>
      <c r="Z25" s="327"/>
      <c r="AA25" s="327"/>
      <c r="AB25" s="327"/>
      <c r="AC25" s="327" cm="1">
        <f t="array" ref="AC25">_xlfn.XLOOKUP(
   $B$4&amp;" "&amp;$B25,
   Actuals!$D:$D,
   _xlfn.XLOOKUP(
      AC$6,
      Actuals!$H$3:$BD$3,
      Actuals!$H:$BD
   )
)</f>
        <v>-5336986.5599999996</v>
      </c>
      <c r="AD25" s="327" cm="1">
        <f t="array" ref="AD25">_xlfn.XLOOKUP(
   $B$4&amp;" "&amp;$B25,
   Actuals!$D:$D,
   _xlfn.XLOOKUP(
      AD$6,
      Actuals!$H$3:$BD$3,
      Actuals!$H:$BD
   )
)</f>
        <v>-4232964.32</v>
      </c>
      <c r="AE25" s="327" cm="1">
        <f t="array" ref="AE25">_xlfn.XLOOKUP(
   $B$4&amp;" "&amp;$B25,
   Actuals!$D:$D,
   _xlfn.XLOOKUP(
      AE$6,
      Actuals!$H$3:$BD$3,
      Actuals!$H:$BD
   )
)</f>
        <v>-3954706.82</v>
      </c>
      <c r="AF25" s="327" cm="1">
        <f t="array" ref="AF25">_xlfn.XLOOKUP(
   $B$4&amp;" "&amp;$B25,
   Actuals!$D:$D,
   _xlfn.XLOOKUP(
      AF$6,
      Actuals!$H$3:$BD$3,
      Actuals!$H:$BD
   )
)</f>
        <v>-3682272.41</v>
      </c>
      <c r="AG25" s="327" cm="1">
        <f t="array" ref="AG25">_xlfn.XLOOKUP(
   $B$4&amp;" "&amp;$B25,
   Actuals!$D:$D,
   _xlfn.XLOOKUP(
      AG$6,
      Actuals!$H$3:$BD$3,
      Actuals!$H:$BD
   )
)</f>
        <v>-3911792.7499999995</v>
      </c>
      <c r="AH25" s="327" cm="1">
        <f t="array" ref="AH25">_xlfn.XLOOKUP(
   $B$4&amp;" "&amp;$B25,
   Actuals!$D:$D,
   _xlfn.XLOOKUP(
      AH$6,
      Actuals!$H$3:$BD$3,
      Actuals!$H:$BD
   )
)</f>
        <v>-3764928.4899999998</v>
      </c>
      <c r="AI25" s="327" cm="1">
        <f t="array" ref="AI25">_xlfn.XLOOKUP(
   $B$4&amp;" "&amp;$B25,
   Actuals!$D:$D,
   _xlfn.XLOOKUP(
      AI$6,
      Actuals!$H$3:$BD$3,
      Actuals!$H:$BD
   )
)</f>
        <v>-3664951.2399999998</v>
      </c>
      <c r="AJ25" s="327" cm="1">
        <f t="array" ref="AJ25">_xlfn.XLOOKUP(
   $B$4&amp;" "&amp;$B25,
   Actuals!$D:$D,
   _xlfn.XLOOKUP(
      AJ$6,
      Actuals!$H$3:$BD$3,
      Actuals!$H:$BD
   )
)</f>
        <v>-3352282.14</v>
      </c>
      <c r="AK25" s="327" cm="1">
        <f t="array" ref="AK25">_xlfn.XLOOKUP(
   $B$4&amp;" "&amp;$B25,
   Actuals!$D:$D,
   _xlfn.XLOOKUP(
      AK$6,
      Actuals!$H$3:$BD$3,
      Actuals!$H:$BD
   )
)</f>
        <v>-3216289.08</v>
      </c>
      <c r="AL25" s="327" cm="1">
        <f t="array" ref="AL25">_xlfn.XLOOKUP(
   $B$4&amp;" "&amp;$B25,
   Actuals!$D:$D,
   _xlfn.XLOOKUP(
      AL$6,
      Actuals!$H$3:$BD$3,
      Actuals!$H:$BD
   )
)</f>
        <v>-2577631.75</v>
      </c>
      <c r="AM25" s="327" cm="1">
        <f t="array" ref="AM25">_xlfn.XLOOKUP(
   $B$4&amp;" "&amp;$B25,
   Actuals!$D:$D,
   _xlfn.XLOOKUP(
      AM$6,
      Actuals!$H$3:$BD$3,
      Actuals!$H:$BD
   )
)</f>
        <v>-2374633.73</v>
      </c>
      <c r="AN25" s="327" cm="1">
        <f t="array" ref="AN25">_xlfn.XLOOKUP(
   $B$4&amp;" "&amp;$B25,
   Actuals!$D:$D,
   _xlfn.XLOOKUP(
      AN$6,
      Actuals!$H$3:$BD$3,
      Actuals!$H:$BD
   )
)</f>
        <v>-2051669.68</v>
      </c>
      <c r="AO25" s="327" cm="1">
        <f t="array" ref="AO25">_xlfn.XLOOKUP(
   $B$4&amp;" "&amp;$B25,
   Actuals!$D:$D,
   _xlfn.XLOOKUP(
      AO$6,
      Actuals!$H$3:$BD$3,
      Actuals!$H:$BD
   )
)</f>
        <v>-1344652.29</v>
      </c>
      <c r="AP25" s="327" cm="1">
        <f t="array" ref="AP25">_xlfn.XLOOKUP(
   $B$4&amp;" "&amp;$B25,
   Actuals!$D:$D,
   _xlfn.XLOOKUP(
      AP$6,
      Actuals!$H$3:$BD$3,
      Actuals!$H:$BD
   )
)</f>
        <v>-1056941.22</v>
      </c>
      <c r="AQ25" s="327" cm="1">
        <f t="array" ref="AQ25">_xlfn.XLOOKUP(
   $B$4&amp;" "&amp;$B25,
   Actuals!$D:$D,
   _xlfn.XLOOKUP(
      AQ$6,
      Actuals!$H$3:$BD$3,
      Actuals!$H:$BD
   )
)</f>
        <v>-1290064.29</v>
      </c>
      <c r="AR25" s="327" cm="1">
        <f t="array" ref="AR25">_xlfn.XLOOKUP(
   $B$4&amp;" "&amp;$B25,
   Actuals!$D:$D,
   _xlfn.XLOOKUP(
      AR$6,
      Actuals!$H$3:$BD$3,
      Actuals!$H:$BD
   )
)</f>
        <v>0</v>
      </c>
      <c r="AS25" s="327" cm="1">
        <f t="array" ref="AS25">_xlfn.XLOOKUP(
   $B$4&amp;" "&amp;$B25,
   Actuals!$D:$D,
   _xlfn.XLOOKUP(
      AS$6,
      Actuals!$H$3:$BD$3,
      Actuals!$H:$BD
   )
)</f>
        <v>0</v>
      </c>
      <c r="AT25" s="327" cm="1">
        <f t="array" ref="AT25">_xlfn.XLOOKUP(
   $B$4&amp;" "&amp;$B25,
   Actuals!$D:$D,
   _xlfn.XLOOKUP(
      AT$6,
      Actuals!$H$3:$BD$3,
      Actuals!$H:$BD
   )
)</f>
        <v>0</v>
      </c>
      <c r="AU25" s="327" cm="1">
        <f t="array" ref="AU25">_xlfn.XLOOKUP(
   $B$4&amp;" "&amp;$B25,
   Actuals!$D:$D,
   _xlfn.XLOOKUP(
      AU$6,
      Actuals!$H$3:$BD$3,
      Actuals!$H:$BD
   )
)</f>
        <v>0</v>
      </c>
      <c r="AV25" s="327" cm="1">
        <f t="array" ref="AV25">_xlfn.XLOOKUP(
   $B$4&amp;" "&amp;$B25,
   Actuals!$D:$D,
   _xlfn.XLOOKUP(
      AV$6,
      Actuals!$H$3:$BD$3,
      Actuals!$H:$BD
   )
)</f>
        <v>0</v>
      </c>
      <c r="AW25" s="327" cm="1">
        <f t="array" ref="AW25">_xlfn.XLOOKUP(
   $B$4&amp;" "&amp;$B25,
   Actuals!$D:$D,
   _xlfn.XLOOKUP(
      AW$6,
      Actuals!$H$3:$BD$3,
      Actuals!$H:$BD
   )
)</f>
        <v>0</v>
      </c>
      <c r="AX25" s="327" cm="1">
        <f t="array" ref="AX25">_xlfn.XLOOKUP(
   $B$4&amp;" "&amp;$B25,
   Actuals!$D:$D,
   _xlfn.XLOOKUP(
      AX$6,
      Actuals!$H$3:$BD$3,
      Actuals!$H:$BD
   )
)</f>
        <v>0</v>
      </c>
      <c r="AY25" s="327" cm="1">
        <f t="array" ref="AY25">_xlfn.XLOOKUP(
   $B$4&amp;" "&amp;$B25,
   Actuals!$D:$D,
   _xlfn.XLOOKUP(
      AY$6,
      Actuals!$H$3:$BD$3,
      Actuals!$H:$BD
   )
)</f>
        <v>0</v>
      </c>
      <c r="AZ25" s="327" cm="1">
        <f t="array" ref="AZ25">_xlfn.XLOOKUP(
   $B$4&amp;" "&amp;$B25,
   Actuals!$D:$D,
   _xlfn.XLOOKUP(
      AZ$6,
      Actuals!$H$3:$BD$3,
      Actuals!$H:$BD
   )
)</f>
        <v>0</v>
      </c>
      <c r="BA25" s="333"/>
      <c r="BB25" s="327" cm="1">
        <f t="array" ref="BB25">_xlfn.XLOOKUP(
   $B$4&amp;" "&amp;$B25,
   Actuals!$D:$D,
   _xlfn.XLOOKUP(
      BB$7,
      Actuals!$H$3:$BM$3,
      Actuals!$H:$BM
   )
)</f>
        <v>-1290064.29</v>
      </c>
      <c r="BC25" s="327">
        <f>VLOOKUP($B$4&amp;" "&amp;$B25,Budget!$AG$4:$AL$132,$BB$5+1,FALSE)</f>
        <v>0</v>
      </c>
      <c r="BD25" s="327">
        <f>BB25-BC25</f>
        <v>-1290064.29</v>
      </c>
      <c r="BE25" s="333"/>
      <c r="BF25" s="327" cm="1">
        <f t="array" ref="BF25">_xlfn.XLOOKUP(
   $B$4&amp;" "&amp;$B25,
   Actuals!$D:$D,
   _xlfn.XLOOKUP(
      BF$7,
      Actuals!$H$3:$BM$3,
      Actuals!$H:$BM
   )
)</f>
        <v>0</v>
      </c>
      <c r="BG25" s="327">
        <f>VLOOKUP($B$4&amp;" "&amp;$B25,Budget!$AG$4:$AL$132,BF$5+1,FALSE)</f>
        <v>-10830743</v>
      </c>
      <c r="BH25" s="327">
        <f>BF25-BG25</f>
        <v>10830743</v>
      </c>
      <c r="BI25" s="333"/>
      <c r="BJ25" s="327" cm="1">
        <f t="array" ref="BJ25">_xlfn.XLOOKUP(
   $B$4&amp;" "&amp;$B25,
   Actuals!$D:$D,
   _xlfn.XLOOKUP(
      BJ$7,
      Actuals!$H$3:$BM$3,
      Actuals!$H:$BM
   )
)</f>
        <v>0</v>
      </c>
      <c r="BK25" s="327">
        <f>VLOOKUP($B$4&amp;" "&amp;$B25,Budget!$AG$4:$AL$132,BJ$5+1,FALSE)</f>
        <v>-10035122</v>
      </c>
      <c r="BL25" s="327">
        <f>BJ25-BK25</f>
        <v>10035122</v>
      </c>
      <c r="BM25" s="333"/>
      <c r="BN25" s="333" cm="1">
        <f t="array" ref="BN25">_xlfn.XLOOKUP(
   $B$4&amp;" "&amp;$B25,
   Actuals!$D:$D,
   _xlfn.XLOOKUP(
      BN$7,
      Actuals!$H$3:$BM$3,
      Actuals!$H:$BM
   )
)</f>
        <v>0</v>
      </c>
      <c r="BO25" s="327">
        <f>VLOOKUP($B$4&amp;" "&amp;$B25,Budget!$AG$4:$AL$132,BN$5+1,FALSE)</f>
        <v>-8911644</v>
      </c>
      <c r="BP25" s="333"/>
      <c r="BQ25" s="333"/>
      <c r="BR25" s="327">
        <f ca="1">VLOOKUP($B$4&amp;" "&amp;$B25,Actuals!$BG$4:$BL$131,6,FALSE)</f>
        <v>0</v>
      </c>
      <c r="BS25" s="327">
        <f ca="1">VLOOKUP($B$4&amp;" "&amp;$B25,Budget!$AG$4:$AL$132,6,FALSE)</f>
        <v>-8911644</v>
      </c>
      <c r="BT25" s="327">
        <f ca="1">BR25-BS25</f>
        <v>8911644</v>
      </c>
      <c r="BU25" s="333"/>
      <c r="BV25" s="327" cm="1">
        <f t="array" ref="BV25">_xlfn.XLOOKUP(
   $B$4&amp;" "&amp;$B25,
   Actuals!$D:$D,
   _xlfn.XLOOKUP(
      BV$6,
      Actuals!$H$3:$BM$3,
      Actuals!$H:$BM
   )
)</f>
        <v>-1344652.29</v>
      </c>
    </row>
    <row r="26" spans="2:75" s="26" customFormat="1">
      <c r="C26" s="135"/>
      <c r="D26" s="173"/>
      <c r="O26" s="285"/>
      <c r="P26" s="285"/>
      <c r="Q26" s="285"/>
      <c r="R26" s="285"/>
      <c r="S26" s="285"/>
      <c r="T26" s="285"/>
      <c r="U26" s="285"/>
      <c r="V26" s="285"/>
      <c r="W26" s="285"/>
      <c r="X26" s="285"/>
      <c r="Y26" s="285"/>
      <c r="Z26" s="285"/>
      <c r="AA26" s="285"/>
      <c r="AB26" s="285"/>
      <c r="AC26" s="285"/>
      <c r="AD26" s="285"/>
      <c r="AE26" s="285"/>
      <c r="AF26" s="285"/>
      <c r="AG26" s="285"/>
      <c r="AH26" s="285"/>
      <c r="AI26" s="285"/>
      <c r="AJ26" s="285"/>
      <c r="AK26" s="285"/>
      <c r="AL26" s="285"/>
      <c r="AM26" s="285"/>
      <c r="AN26" s="285"/>
      <c r="AO26" s="285"/>
      <c r="AP26" s="285"/>
      <c r="AQ26" s="285"/>
      <c r="AR26" s="285"/>
      <c r="AS26" s="285"/>
      <c r="AT26" s="285"/>
      <c r="AU26" s="285"/>
      <c r="AV26" s="285"/>
      <c r="AW26" s="285"/>
      <c r="AX26" s="285"/>
      <c r="AY26" s="285"/>
      <c r="AZ26" s="285"/>
      <c r="BA26" s="285"/>
      <c r="BB26" s="285"/>
      <c r="BC26" s="285"/>
      <c r="BD26" s="285"/>
      <c r="BE26" s="285"/>
      <c r="BF26" s="285"/>
      <c r="BG26" s="285"/>
      <c r="BH26" s="285"/>
      <c r="BI26" s="285"/>
      <c r="BJ26" s="285"/>
      <c r="BK26" s="285"/>
      <c r="BL26" s="285"/>
      <c r="BM26" s="285"/>
      <c r="BN26" s="285"/>
      <c r="BO26" s="285"/>
      <c r="BP26" s="285"/>
      <c r="BQ26" s="285"/>
      <c r="BR26" s="285"/>
      <c r="BS26" s="285"/>
      <c r="BT26" s="285"/>
      <c r="BU26" s="285"/>
      <c r="BV26" s="285"/>
    </row>
    <row r="27" spans="2:75" s="26" customFormat="1" ht="13">
      <c r="B27" s="126" t="s">
        <v>223</v>
      </c>
      <c r="C27" s="138"/>
      <c r="D27" s="174"/>
      <c r="E27" s="127"/>
      <c r="F27" s="127"/>
      <c r="G27" s="127"/>
      <c r="H27" s="127"/>
      <c r="I27" s="127"/>
      <c r="J27" s="127"/>
      <c r="K27" s="127"/>
      <c r="L27" s="127"/>
      <c r="M27" s="127"/>
      <c r="N27" s="127"/>
      <c r="O27" s="321"/>
      <c r="P27" s="321"/>
      <c r="Q27" s="321"/>
      <c r="R27" s="321"/>
      <c r="S27" s="321"/>
      <c r="T27" s="321"/>
      <c r="U27" s="321"/>
      <c r="V27" s="321"/>
      <c r="W27" s="321"/>
      <c r="X27" s="321"/>
      <c r="Y27" s="321"/>
      <c r="Z27" s="321"/>
      <c r="AA27" s="321"/>
      <c r="AB27" s="321"/>
      <c r="AC27" s="321"/>
      <c r="AD27" s="321"/>
      <c r="AE27" s="321"/>
      <c r="AF27" s="321"/>
      <c r="AG27" s="321"/>
      <c r="AH27" s="321"/>
      <c r="AI27" s="321"/>
      <c r="AJ27" s="321"/>
      <c r="AK27" s="321"/>
      <c r="AL27" s="321"/>
      <c r="AM27" s="321"/>
      <c r="AN27" s="321"/>
      <c r="AO27" s="321"/>
      <c r="AP27" s="321"/>
      <c r="AQ27" s="321"/>
      <c r="AR27" s="321"/>
      <c r="AS27" s="321"/>
      <c r="AT27" s="321"/>
      <c r="AU27" s="321"/>
      <c r="AV27" s="321"/>
      <c r="AW27" s="321"/>
      <c r="AX27" s="321"/>
      <c r="AY27" s="321"/>
      <c r="AZ27" s="321"/>
      <c r="BA27" s="321"/>
      <c r="BB27" s="321"/>
      <c r="BC27" s="321"/>
      <c r="BD27" s="321"/>
      <c r="BE27" s="321"/>
      <c r="BF27" s="321"/>
      <c r="BG27" s="321"/>
      <c r="BH27" s="321"/>
      <c r="BI27" s="321"/>
      <c r="BJ27" s="321"/>
      <c r="BK27" s="321"/>
      <c r="BL27" s="321"/>
      <c r="BM27" s="321"/>
      <c r="BN27" s="321"/>
      <c r="BO27" s="321"/>
      <c r="BP27" s="321"/>
      <c r="BQ27" s="321"/>
      <c r="BR27" s="321"/>
      <c r="BS27" s="321"/>
      <c r="BT27" s="321"/>
      <c r="BU27" s="321"/>
      <c r="BV27" s="321"/>
    </row>
    <row r="28" spans="2:75" s="26" customFormat="1">
      <c r="B28" s="26" t="s">
        <v>97</v>
      </c>
      <c r="C28" s="139" t="s">
        <v>47</v>
      </c>
      <c r="D28" s="171"/>
      <c r="O28" s="285"/>
      <c r="P28" s="285"/>
      <c r="Q28" s="285"/>
      <c r="R28" s="285"/>
      <c r="S28" s="285"/>
      <c r="T28" s="285"/>
      <c r="U28" s="285"/>
      <c r="V28" s="285"/>
      <c r="W28" s="285"/>
      <c r="X28" s="285"/>
      <c r="Y28" s="285"/>
      <c r="Z28" s="285"/>
      <c r="AA28" s="285"/>
      <c r="AB28" s="285"/>
      <c r="AC28" s="285"/>
      <c r="AD28" s="285"/>
      <c r="AE28" s="285"/>
      <c r="AF28" s="285"/>
      <c r="AG28" s="285"/>
      <c r="AH28" s="285"/>
      <c r="AI28" s="285"/>
      <c r="AJ28" s="285"/>
      <c r="AK28" s="285"/>
      <c r="AL28" s="285"/>
      <c r="AM28" s="285"/>
      <c r="AN28" s="285"/>
      <c r="AO28" s="285"/>
      <c r="AP28" s="285"/>
      <c r="AQ28" s="285"/>
      <c r="AR28" s="285"/>
      <c r="AS28" s="285"/>
      <c r="AT28" s="285"/>
      <c r="AU28" s="285"/>
      <c r="AV28" s="285"/>
      <c r="AW28" s="285"/>
      <c r="AX28" s="285"/>
      <c r="AY28" s="285"/>
      <c r="AZ28" s="285"/>
      <c r="BA28" s="285"/>
      <c r="BB28" s="285"/>
      <c r="BC28" s="285"/>
      <c r="BD28" s="285"/>
      <c r="BE28" s="285"/>
      <c r="BF28" s="285"/>
      <c r="BG28" s="285"/>
      <c r="BH28" s="285"/>
      <c r="BI28" s="285"/>
      <c r="BJ28" s="285"/>
      <c r="BK28" s="285"/>
      <c r="BL28" s="285"/>
      <c r="BM28" s="285"/>
      <c r="BN28" s="285"/>
      <c r="BO28" s="285"/>
      <c r="BP28" s="285"/>
      <c r="BQ28" s="285"/>
      <c r="BR28" s="285"/>
      <c r="BS28" s="285"/>
      <c r="BT28" s="285"/>
      <c r="BU28" s="285"/>
      <c r="BV28" s="285"/>
    </row>
    <row r="29" spans="2:75" s="26" customFormat="1">
      <c r="B29" s="133" t="s">
        <v>224</v>
      </c>
      <c r="C29" s="139" t="s">
        <v>47</v>
      </c>
      <c r="D29" s="171" t="str">
        <f>VLOOKUP($B$4&amp;" "&amp;$B29,Actuals!$D$4:$AG$131,3,FALSE)</f>
        <v>#</v>
      </c>
      <c r="E29" s="168">
        <f>VLOOKUP($B$4&amp;" "&amp;$B29,Actuals!$D$4:$AG$131,MONTH(E$6)+4,FALSE)</f>
        <v>37</v>
      </c>
      <c r="F29" s="168">
        <f>VLOOKUP($B$4&amp;" "&amp;$B29,Actuals!$D$4:$AG$131,MONTH(F$6)+4,FALSE)</f>
        <v>39</v>
      </c>
      <c r="G29" s="168">
        <f>VLOOKUP($B$4&amp;" "&amp;$B29,Actuals!$D$4:$AG$131,MONTH(G$6)+4,FALSE)</f>
        <v>41</v>
      </c>
      <c r="H29" s="168">
        <f>VLOOKUP($B$4&amp;" "&amp;$B29,Actuals!$D$4:$AG$131,MONTH(H$6)+4,FALSE)</f>
        <v>40</v>
      </c>
      <c r="I29" s="168">
        <f>VLOOKUP($B$4&amp;" "&amp;$B29,Actuals!$D$4:$AG$131,MONTH(I$6)+4,FALSE)</f>
        <v>41</v>
      </c>
      <c r="J29" s="168">
        <f>VLOOKUP($B$4&amp;" "&amp;$B29,Actuals!$D$4:$AG$131,MONTH(J$6)+4,FALSE)</f>
        <v>43</v>
      </c>
      <c r="K29" s="168">
        <f>VLOOKUP($B$4&amp;" "&amp;$B29,Actuals!$D$4:$AG$131,MONTH(K$6)+4,FALSE)</f>
        <v>45</v>
      </c>
      <c r="L29" s="168">
        <f>VLOOKUP($B$4&amp;" "&amp;$B29,Actuals!$D$4:$AG$131,MONTH(L$6)+4,FALSE)</f>
        <v>42</v>
      </c>
      <c r="M29" s="168">
        <f>VLOOKUP($B$4&amp;" "&amp;$B29,Actuals!$D$4:$AG$131,MONTH(M$6)+4,FALSE)</f>
        <v>46</v>
      </c>
      <c r="N29" s="168">
        <f>VLOOKUP($B$4&amp;" "&amp;$B29,Actuals!$D$4:$AG$131,MONTH(N$6)+4,FALSE)</f>
        <v>48</v>
      </c>
      <c r="O29" s="292">
        <f>VLOOKUP($B$4&amp;" "&amp;$B29,Actuals!$D$4:$AG$131,MONTH(O$6)+4,FALSE)</f>
        <v>0</v>
      </c>
      <c r="P29" s="292">
        <f>VLOOKUP($B$4&amp;" "&amp;$B29,Actuals!$D$4:$AG$131,MONTH(P$6)+4,FALSE)</f>
        <v>0</v>
      </c>
      <c r="Q29" s="292">
        <f>VLOOKUP($B$4&amp;" "&amp;$B29,Actuals!$D$4:$AR$131,MONTH(Q$6)+16,FALSE)</f>
        <v>0</v>
      </c>
      <c r="R29" s="292">
        <f>VLOOKUP($B$4&amp;" "&amp;$B29,Actuals!$D$4:$AR$131,MONTH(R$6)+16,FALSE)</f>
        <v>0</v>
      </c>
      <c r="S29" s="292">
        <f>VLOOKUP($B$4&amp;" "&amp;$B29,Actuals!$D$4:$AR$131,MONTH(S$6)+16,FALSE)</f>
        <v>0</v>
      </c>
      <c r="T29" s="292">
        <f>VLOOKUP($B$4&amp;" "&amp;$B29,Actuals!$D$4:$AR$131,MONTH(T$6)+16,FALSE)</f>
        <v>0</v>
      </c>
      <c r="U29" s="292">
        <f>VLOOKUP($B$4&amp;" "&amp;$B29,Actuals!$D$4:$AR$131,MONTH(U$6)+16,FALSE)</f>
        <v>0</v>
      </c>
      <c r="V29" s="292">
        <f>VLOOKUP($B$4&amp;" "&amp;$B29,Actuals!$D$4:$AR$131,MONTH(V$6)+16,FALSE)</f>
        <v>0</v>
      </c>
      <c r="W29" s="292"/>
      <c r="X29" s="292"/>
      <c r="Y29" s="292"/>
      <c r="Z29" s="292"/>
      <c r="AA29" s="292"/>
      <c r="AB29" s="292"/>
      <c r="AC29" s="292" cm="1">
        <f t="array" ref="AC29">_xlfn.XLOOKUP(
   $B$4&amp;" "&amp;$B29,
   Actuals!$D:$D,
   _xlfn.XLOOKUP(
      AC$6,
      Actuals!$H$3:$BD$3,
      Actuals!$H:$BD
   )
)</f>
        <v>47</v>
      </c>
      <c r="AD29" s="292" cm="1">
        <f t="array" ref="AD29">_xlfn.XLOOKUP(
   $B$4&amp;" "&amp;$B29,
   Actuals!$D:$D,
   _xlfn.XLOOKUP(
      AD$6,
      Actuals!$H$3:$BD$3,
      Actuals!$H:$BD
   )
)</f>
        <v>49</v>
      </c>
      <c r="AE29" s="292" cm="1">
        <f t="array" ref="AE29">_xlfn.XLOOKUP(
   $B$4&amp;" "&amp;$B29,
   Actuals!$D:$D,
   _xlfn.XLOOKUP(
      AE$6,
      Actuals!$H$3:$BD$3,
      Actuals!$H:$BD
   )
)</f>
        <v>49</v>
      </c>
      <c r="AF29" s="292" cm="1">
        <f t="array" ref="AF29">_xlfn.XLOOKUP(
   $B$4&amp;" "&amp;$B29,
   Actuals!$D:$D,
   _xlfn.XLOOKUP(
      AF$6,
      Actuals!$H$3:$BD$3,
      Actuals!$H:$BD
   )
)</f>
        <v>47</v>
      </c>
      <c r="AG29" s="292" cm="1">
        <f t="array" ref="AG29">_xlfn.XLOOKUP(
   $B$4&amp;" "&amp;$B29,
   Actuals!$D:$D,
   _xlfn.XLOOKUP(
      AG$6,
      Actuals!$H$3:$BD$3,
      Actuals!$H:$BD
   )
)</f>
        <v>44</v>
      </c>
      <c r="AH29" s="292" cm="1">
        <f t="array" ref="AH29">_xlfn.XLOOKUP(
   $B$4&amp;" "&amp;$B29,
   Actuals!$D:$D,
   _xlfn.XLOOKUP(
      AH$6,
      Actuals!$H$3:$BD$3,
      Actuals!$H:$BD
   )
)</f>
        <v>44</v>
      </c>
      <c r="AI29" s="292" cm="1">
        <f t="array" ref="AI29">_xlfn.XLOOKUP(
   $B$4&amp;" "&amp;$B29,
   Actuals!$D:$D,
   _xlfn.XLOOKUP(
      AI$6,
      Actuals!$H$3:$BD$3,
      Actuals!$H:$BD
   )
)</f>
        <v>42</v>
      </c>
      <c r="AJ29" s="292" cm="1">
        <f t="array" ref="AJ29">_xlfn.XLOOKUP(
   $B$4&amp;" "&amp;$B29,
   Actuals!$D:$D,
   _xlfn.XLOOKUP(
      AJ$6,
      Actuals!$H$3:$BD$3,
      Actuals!$H:$BD
   )
)</f>
        <v>43</v>
      </c>
      <c r="AK29" s="292" cm="1">
        <f t="array" ref="AK29">_xlfn.XLOOKUP(
   $B$4&amp;" "&amp;$B29,
   Actuals!$D:$D,
   _xlfn.XLOOKUP(
      AK$6,
      Actuals!$H$3:$BD$3,
      Actuals!$H:$BD
   )
)</f>
        <v>41</v>
      </c>
      <c r="AL29" s="292" cm="1">
        <f t="array" ref="AL29">_xlfn.XLOOKUP(
   $B$4&amp;" "&amp;$B29,
   Actuals!$D:$D,
   _xlfn.XLOOKUP(
      AL$6,
      Actuals!$H$3:$BD$3,
      Actuals!$H:$BD
   )
)</f>
        <v>41</v>
      </c>
      <c r="AM29" s="292" cm="1">
        <f t="array" ref="AM29">_xlfn.XLOOKUP(
   $B$4&amp;" "&amp;$B29,
   Actuals!$D:$D,
   _xlfn.XLOOKUP(
      AM$6,
      Actuals!$H$3:$BD$3,
      Actuals!$H:$BD
   )
)</f>
        <v>36</v>
      </c>
      <c r="AN29" s="292" cm="1">
        <f t="array" ref="AN29">_xlfn.XLOOKUP(
   $B$4&amp;" "&amp;$B29,
   Actuals!$D:$D,
   _xlfn.XLOOKUP(
      AN$6,
      Actuals!$H$3:$BD$3,
      Actuals!$H:$BD
   )
)</f>
        <v>38</v>
      </c>
      <c r="AO29" s="292" cm="1">
        <f t="array" ref="AO29">_xlfn.XLOOKUP(
   $B$4&amp;" "&amp;$B29,
   Actuals!$D:$D,
   _xlfn.XLOOKUP(
      AO$6,
      Actuals!$H$3:$BD$3,
      Actuals!$H:$BD
   )
)</f>
        <v>37</v>
      </c>
      <c r="AP29" s="292" cm="1">
        <f t="array" ref="AP29">_xlfn.XLOOKUP(
   $B$4&amp;" "&amp;$B29,
   Actuals!$D:$D,
   _xlfn.XLOOKUP(
      AP$6,
      Actuals!$H$3:$BD$3,
      Actuals!$H:$BD
   )
)</f>
        <v>37</v>
      </c>
      <c r="AQ29" s="292" cm="1">
        <f t="array" ref="AQ29">_xlfn.XLOOKUP(
   $B$4&amp;" "&amp;$B29,
   Actuals!$D:$D,
   _xlfn.XLOOKUP(
      AQ$6,
      Actuals!$H$3:$BD$3,
      Actuals!$H:$BD
   )
)</f>
        <v>24</v>
      </c>
      <c r="AR29" s="292" cm="1">
        <f t="array" ref="AR29">_xlfn.XLOOKUP(
   $B$4&amp;" "&amp;$B29,
   Actuals!$D:$D,
   _xlfn.XLOOKUP(
      AR$6,
      Actuals!$H$3:$BD$3,
      Actuals!$H:$BD
   )
)</f>
        <v>0</v>
      </c>
      <c r="AS29" s="292" cm="1">
        <f t="array" ref="AS29">_xlfn.XLOOKUP(
   $B$4&amp;" "&amp;$B29,
   Actuals!$D:$D,
   _xlfn.XLOOKUP(
      AS$6,
      Actuals!$H$3:$BD$3,
      Actuals!$H:$BD
   )
)</f>
        <v>0</v>
      </c>
      <c r="AT29" s="292" cm="1">
        <f t="array" ref="AT29">_xlfn.XLOOKUP(
   $B$4&amp;" "&amp;$B29,
   Actuals!$D:$D,
   _xlfn.XLOOKUP(
      AT$6,
      Actuals!$H$3:$BD$3,
      Actuals!$H:$BD
   )
)</f>
        <v>0</v>
      </c>
      <c r="AU29" s="292" cm="1">
        <f t="array" ref="AU29">_xlfn.XLOOKUP(
   $B$4&amp;" "&amp;$B29,
   Actuals!$D:$D,
   _xlfn.XLOOKUP(
      AU$6,
      Actuals!$H$3:$BD$3,
      Actuals!$H:$BD
   )
)</f>
        <v>0</v>
      </c>
      <c r="AV29" s="292" cm="1">
        <f t="array" ref="AV29">_xlfn.XLOOKUP(
   $B$4&amp;" "&amp;$B29,
   Actuals!$D:$D,
   _xlfn.XLOOKUP(
      AV$6,
      Actuals!$H$3:$BD$3,
      Actuals!$H:$BD
   )
)</f>
        <v>0</v>
      </c>
      <c r="AW29" s="292" cm="1">
        <f t="array" ref="AW29">_xlfn.XLOOKUP(
   $B$4&amp;" "&amp;$B29,
   Actuals!$D:$D,
   _xlfn.XLOOKUP(
      AW$6,
      Actuals!$H$3:$BD$3,
      Actuals!$H:$BD
   )
)</f>
        <v>0</v>
      </c>
      <c r="AX29" s="292" cm="1">
        <f t="array" ref="AX29">_xlfn.XLOOKUP(
   $B$4&amp;" "&amp;$B29,
   Actuals!$D:$D,
   _xlfn.XLOOKUP(
      AX$6,
      Actuals!$H$3:$BD$3,
      Actuals!$H:$BD
   )
)</f>
        <v>0</v>
      </c>
      <c r="AY29" s="292" cm="1">
        <f t="array" ref="AY29">_xlfn.XLOOKUP(
   $B$4&amp;" "&amp;$B29,
   Actuals!$D:$D,
   _xlfn.XLOOKUP(
      AY$6,
      Actuals!$H$3:$BD$3,
      Actuals!$H:$BD
   )
)</f>
        <v>0</v>
      </c>
      <c r="AZ29" s="292" cm="1">
        <f t="array" ref="AZ29">_xlfn.XLOOKUP(
   $B$4&amp;" "&amp;$B29,
   Actuals!$D:$D,
   _xlfn.XLOOKUP(
      AZ$6,
      Actuals!$H$3:$BD$3,
      Actuals!$H:$BD
   )
)</f>
        <v>0</v>
      </c>
      <c r="BA29" s="292"/>
      <c r="BB29" s="292" cm="1">
        <f t="array" ref="BB29">_xlfn.XLOOKUP(
   $B$4&amp;" "&amp;$B29,
   Actuals!$D:$D,
   _xlfn.XLOOKUP(
      BB$7,
      Actuals!$H$3:$BM$3,
      Actuals!$H:$BM
   )
)</f>
        <v>24</v>
      </c>
      <c r="BC29" s="292">
        <f>VLOOKUP($B$4&amp;" "&amp;$B29,Budget!$AG$4:$AL$132,$BB$5+1,FALSE)</f>
        <v>0</v>
      </c>
      <c r="BD29" s="292">
        <f>BB29-BC29</f>
        <v>24</v>
      </c>
      <c r="BE29" s="292"/>
      <c r="BF29" s="292" cm="1">
        <f t="array" ref="BF29">_xlfn.XLOOKUP(
   $B$4&amp;" "&amp;$B29,
   Actuals!$D:$D,
   _xlfn.XLOOKUP(
      BF$7,
      Actuals!$H$3:$BM$3,
      Actuals!$H:$BM
   )
)</f>
        <v>0</v>
      </c>
      <c r="BG29" s="292">
        <f>VLOOKUP($B$4&amp;" "&amp;$B29,Budget!$AG$4:$AL$132,BF$5+1,FALSE)</f>
        <v>54</v>
      </c>
      <c r="BH29" s="292">
        <f>BF29-BG29</f>
        <v>-54</v>
      </c>
      <c r="BI29" s="292"/>
      <c r="BJ29" s="292" cm="1">
        <f t="array" ref="BJ29">_xlfn.XLOOKUP(
   $B$4&amp;" "&amp;$B29,
   Actuals!$D:$D,
   _xlfn.XLOOKUP(
      BJ$7,
      Actuals!$H$3:$BM$3,
      Actuals!$H:$BM
   )
)</f>
        <v>0</v>
      </c>
      <c r="BK29" s="292">
        <f>VLOOKUP($B$4&amp;" "&amp;$B29,Budget!$AG$4:$AL$132,BJ$5+1,FALSE)</f>
        <v>56</v>
      </c>
      <c r="BL29" s="292">
        <f>BJ29-BK29</f>
        <v>-56</v>
      </c>
      <c r="BM29" s="292"/>
      <c r="BN29" s="292" cm="1">
        <f t="array" ref="BN29">_xlfn.XLOOKUP(
   $B$4&amp;" "&amp;$B29,
   Actuals!$D:$D,
   _xlfn.XLOOKUP(
      BN$7,
      Actuals!$H$3:$BM$3,
      Actuals!$H:$BM
   )
)</f>
        <v>0</v>
      </c>
      <c r="BO29" s="292">
        <f>VLOOKUP($B$4&amp;" "&amp;$B29,Budget!$AG$4:$AL$132,BN$5+1,FALSE)</f>
        <v>56</v>
      </c>
      <c r="BP29" s="292"/>
      <c r="BQ29" s="292"/>
      <c r="BR29" s="292">
        <f ca="1">VLOOKUP($B$4&amp;" "&amp;$B29,Actuals!$BG$4:$BL$131,6,FALSE)</f>
        <v>0</v>
      </c>
      <c r="BS29" s="292">
        <f ca="1">VLOOKUP($B$4&amp;" "&amp;$B29,Budget!$AG$4:$AL$132,6,FALSE)</f>
        <v>56</v>
      </c>
      <c r="BT29" s="292">
        <f ca="1">BR29-BS29</f>
        <v>-56</v>
      </c>
      <c r="BU29" s="292"/>
      <c r="BV29" s="292" cm="1">
        <f t="array" ref="BV29">_xlfn.XLOOKUP(
   $B$4&amp;" "&amp;$B29,
   Actuals!$D:$D,
   _xlfn.XLOOKUP(
      BV$6,
      Actuals!$H$3:$BM$3,
      Actuals!$H:$BM
   )
)</f>
        <v>37</v>
      </c>
    </row>
    <row r="30" spans="2:75" s="26" customFormat="1">
      <c r="B30" s="133" t="s">
        <v>225</v>
      </c>
      <c r="C30" s="139" t="s">
        <v>47</v>
      </c>
      <c r="D30" s="171" t="str">
        <f>VLOOKUP($B$4&amp;" "&amp;$B30,Actuals!$D$4:$AG$131,3,FALSE)</f>
        <v>#</v>
      </c>
      <c r="E30" s="168">
        <f>VLOOKUP($B$4&amp;" "&amp;$B30,Actuals!$D$4:$AG$131,MONTH(E$6)+4,FALSE)</f>
        <v>5</v>
      </c>
      <c r="F30" s="168">
        <f>VLOOKUP($B$4&amp;" "&amp;$B30,Actuals!$D$4:$AG$131,MONTH(F$6)+4,FALSE)</f>
        <v>7</v>
      </c>
      <c r="G30" s="168">
        <f>VLOOKUP($B$4&amp;" "&amp;$B30,Actuals!$D$4:$AG$131,MONTH(G$6)+4,FALSE)</f>
        <v>7</v>
      </c>
      <c r="H30" s="168">
        <f>VLOOKUP($B$4&amp;" "&amp;$B30,Actuals!$D$4:$AG$131,MONTH(H$6)+4,FALSE)</f>
        <v>7</v>
      </c>
      <c r="I30" s="168">
        <f>VLOOKUP($B$4&amp;" "&amp;$B30,Actuals!$D$4:$AG$131,MONTH(I$6)+4,FALSE)</f>
        <v>7</v>
      </c>
      <c r="J30" s="168">
        <f>VLOOKUP($B$4&amp;" "&amp;$B30,Actuals!$D$4:$AG$131,MONTH(J$6)+4,FALSE)</f>
        <v>9</v>
      </c>
      <c r="K30" s="168">
        <f>VLOOKUP($B$4&amp;" "&amp;$B30,Actuals!$D$4:$AG$131,MONTH(K$6)+4,FALSE)</f>
        <v>11</v>
      </c>
      <c r="L30" s="168">
        <f>VLOOKUP($B$4&amp;" "&amp;$B30,Actuals!$D$4:$AG$131,MONTH(L$6)+4,FALSE)</f>
        <v>12</v>
      </c>
      <c r="M30" s="168">
        <f>VLOOKUP($B$4&amp;" "&amp;$B30,Actuals!$D$4:$AG$131,MONTH(M$6)+4,FALSE)</f>
        <v>11</v>
      </c>
      <c r="N30" s="168">
        <f>VLOOKUP($B$4&amp;" "&amp;$B30,Actuals!$D$4:$AG$131,MONTH(N$6)+4,FALSE)</f>
        <v>15</v>
      </c>
      <c r="O30" s="292">
        <f>VLOOKUP($B$4&amp;" "&amp;$B30,Actuals!$D$4:$AG$131,MONTH(O$6)+4,FALSE)</f>
        <v>0</v>
      </c>
      <c r="P30" s="292">
        <f>VLOOKUP($B$4&amp;" "&amp;$B30,Actuals!$D$4:$AG$131,MONTH(P$6)+4,FALSE)</f>
        <v>0</v>
      </c>
      <c r="Q30" s="292">
        <f>VLOOKUP($B$4&amp;" "&amp;$B30,Actuals!$D$4:$AR$131,MONTH(Q$6)+16,FALSE)</f>
        <v>0</v>
      </c>
      <c r="R30" s="292">
        <f>VLOOKUP($B$4&amp;" "&amp;$B30,Actuals!$D$4:$AR$131,MONTH(R$6)+16,FALSE)</f>
        <v>0</v>
      </c>
      <c r="S30" s="292">
        <f>VLOOKUP($B$4&amp;" "&amp;$B30,Actuals!$D$4:$AR$131,MONTH(S$6)+16,FALSE)</f>
        <v>0</v>
      </c>
      <c r="T30" s="292">
        <f>VLOOKUP($B$4&amp;" "&amp;$B30,Actuals!$D$4:$AR$131,MONTH(T$6)+16,FALSE)</f>
        <v>0</v>
      </c>
      <c r="U30" s="292">
        <f>VLOOKUP($B$4&amp;" "&amp;$B30,Actuals!$D$4:$AR$131,MONTH(U$6)+16,FALSE)</f>
        <v>0</v>
      </c>
      <c r="V30" s="292">
        <f>VLOOKUP($B$4&amp;" "&amp;$B30,Actuals!$D$4:$AR$131,MONTH(V$6)+16,FALSE)</f>
        <v>0</v>
      </c>
      <c r="W30" s="292"/>
      <c r="X30" s="292"/>
      <c r="Y30" s="292"/>
      <c r="Z30" s="292"/>
      <c r="AA30" s="292"/>
      <c r="AB30" s="292"/>
      <c r="AC30" s="292" cm="1">
        <f t="array" ref="AC30">_xlfn.XLOOKUP(
   $B$4&amp;" "&amp;$B30,
   Actuals!$D:$D,
   _xlfn.XLOOKUP(
      AC$6,
      Actuals!$H$3:$BD$3,
      Actuals!$H:$BD
   )
)</f>
        <v>24</v>
      </c>
      <c r="AD30" s="292" cm="1">
        <f t="array" ref="AD30">_xlfn.XLOOKUP(
   $B$4&amp;" "&amp;$B30,
   Actuals!$D:$D,
   _xlfn.XLOOKUP(
      AD$6,
      Actuals!$H$3:$BD$3,
      Actuals!$H:$BD
   )
)</f>
        <v>26</v>
      </c>
      <c r="AE30" s="292" cm="1">
        <f t="array" ref="AE30">_xlfn.XLOOKUP(
   $B$4&amp;" "&amp;$B30,
   Actuals!$D:$D,
   _xlfn.XLOOKUP(
      AE$6,
      Actuals!$H$3:$BD$3,
      Actuals!$H:$BD
   )
)</f>
        <v>25</v>
      </c>
      <c r="AF30" s="292" cm="1">
        <f t="array" ref="AF30">_xlfn.XLOOKUP(
   $B$4&amp;" "&amp;$B30,
   Actuals!$D:$D,
   _xlfn.XLOOKUP(
      AF$6,
      Actuals!$H$3:$BD$3,
      Actuals!$H:$BD
   )
)</f>
        <v>25</v>
      </c>
      <c r="AG30" s="292" cm="1">
        <f t="array" ref="AG30">_xlfn.XLOOKUP(
   $B$4&amp;" "&amp;$B30,
   Actuals!$D:$D,
   _xlfn.XLOOKUP(
      AG$6,
      Actuals!$H$3:$BD$3,
      Actuals!$H:$BD
   )
)</f>
        <v>23</v>
      </c>
      <c r="AH30" s="292" cm="1">
        <f t="array" ref="AH30">_xlfn.XLOOKUP(
   $B$4&amp;" "&amp;$B30,
   Actuals!$D:$D,
   _xlfn.XLOOKUP(
      AH$6,
      Actuals!$H$3:$BD$3,
      Actuals!$H:$BD
   )
)</f>
        <v>23</v>
      </c>
      <c r="AI30" s="292" cm="1">
        <f t="array" ref="AI30">_xlfn.XLOOKUP(
   $B$4&amp;" "&amp;$B30,
   Actuals!$D:$D,
   _xlfn.XLOOKUP(
      AI$6,
      Actuals!$H$3:$BD$3,
      Actuals!$H:$BD
   )
)</f>
        <v>23</v>
      </c>
      <c r="AJ30" s="292" cm="1">
        <f t="array" ref="AJ30">_xlfn.XLOOKUP(
   $B$4&amp;" "&amp;$B30,
   Actuals!$D:$D,
   _xlfn.XLOOKUP(
      AJ$6,
      Actuals!$H$3:$BD$3,
      Actuals!$H:$BD
   )
)</f>
        <v>23</v>
      </c>
      <c r="AK30" s="292" cm="1">
        <f t="array" ref="AK30">_xlfn.XLOOKUP(
   $B$4&amp;" "&amp;$B30,
   Actuals!$D:$D,
   _xlfn.XLOOKUP(
      AK$6,
      Actuals!$H$3:$BD$3,
      Actuals!$H:$BD
   )
)</f>
        <v>23</v>
      </c>
      <c r="AL30" s="292" cm="1">
        <f t="array" ref="AL30">_xlfn.XLOOKUP(
   $B$4&amp;" "&amp;$B30,
   Actuals!$D:$D,
   _xlfn.XLOOKUP(
      AL$6,
      Actuals!$H$3:$BD$3,
      Actuals!$H:$BD
   )
)</f>
        <v>22</v>
      </c>
      <c r="AM30" s="292" cm="1">
        <f t="array" ref="AM30">_xlfn.XLOOKUP(
   $B$4&amp;" "&amp;$B30,
   Actuals!$D:$D,
   _xlfn.XLOOKUP(
      AM$6,
      Actuals!$H$3:$BD$3,
      Actuals!$H:$BD
   )
)</f>
        <v>21</v>
      </c>
      <c r="AN30" s="292" cm="1">
        <f t="array" ref="AN30">_xlfn.XLOOKUP(
   $B$4&amp;" "&amp;$B30,
   Actuals!$D:$D,
   _xlfn.XLOOKUP(
      AN$6,
      Actuals!$H$3:$BD$3,
      Actuals!$H:$BD
   )
)</f>
        <v>21</v>
      </c>
      <c r="AO30" s="292" cm="1">
        <f t="array" ref="AO30">_xlfn.XLOOKUP(
   $B$4&amp;" "&amp;$B30,
   Actuals!$D:$D,
   _xlfn.XLOOKUP(
      AO$6,
      Actuals!$H$3:$BD$3,
      Actuals!$H:$BD
   )
)</f>
        <v>21</v>
      </c>
      <c r="AP30" s="292" cm="1">
        <f t="array" ref="AP30">_xlfn.XLOOKUP(
   $B$4&amp;" "&amp;$B30,
   Actuals!$D:$D,
   _xlfn.XLOOKUP(
      AP$6,
      Actuals!$H$3:$BD$3,
      Actuals!$H:$BD
   )
)</f>
        <v>21</v>
      </c>
      <c r="AQ30" s="292" cm="1">
        <f t="array" ref="AQ30">_xlfn.XLOOKUP(
   $B$4&amp;" "&amp;$B30,
   Actuals!$D:$D,
   _xlfn.XLOOKUP(
      AQ$6,
      Actuals!$H$3:$BD$3,
      Actuals!$H:$BD
   )
)</f>
        <v>22</v>
      </c>
      <c r="AR30" s="292" cm="1">
        <f t="array" ref="AR30">_xlfn.XLOOKUP(
   $B$4&amp;" "&amp;$B30,
   Actuals!$D:$D,
   _xlfn.XLOOKUP(
      AR$6,
      Actuals!$H$3:$BD$3,
      Actuals!$H:$BD
   )
)</f>
        <v>0</v>
      </c>
      <c r="AS30" s="292" cm="1">
        <f t="array" ref="AS30">_xlfn.XLOOKUP(
   $B$4&amp;" "&amp;$B30,
   Actuals!$D:$D,
   _xlfn.XLOOKUP(
      AS$6,
      Actuals!$H$3:$BD$3,
      Actuals!$H:$BD
   )
)</f>
        <v>0</v>
      </c>
      <c r="AT30" s="292" cm="1">
        <f t="array" ref="AT30">_xlfn.XLOOKUP(
   $B$4&amp;" "&amp;$B30,
   Actuals!$D:$D,
   _xlfn.XLOOKUP(
      AT$6,
      Actuals!$H$3:$BD$3,
      Actuals!$H:$BD
   )
)</f>
        <v>0</v>
      </c>
      <c r="AU30" s="292" cm="1">
        <f t="array" ref="AU30">_xlfn.XLOOKUP(
   $B$4&amp;" "&amp;$B30,
   Actuals!$D:$D,
   _xlfn.XLOOKUP(
      AU$6,
      Actuals!$H$3:$BD$3,
      Actuals!$H:$BD
   )
)</f>
        <v>0</v>
      </c>
      <c r="AV30" s="292" cm="1">
        <f t="array" ref="AV30">_xlfn.XLOOKUP(
   $B$4&amp;" "&amp;$B30,
   Actuals!$D:$D,
   _xlfn.XLOOKUP(
      AV$6,
      Actuals!$H$3:$BD$3,
      Actuals!$H:$BD
   )
)</f>
        <v>0</v>
      </c>
      <c r="AW30" s="292" cm="1">
        <f t="array" ref="AW30">_xlfn.XLOOKUP(
   $B$4&amp;" "&amp;$B30,
   Actuals!$D:$D,
   _xlfn.XLOOKUP(
      AW$6,
      Actuals!$H$3:$BD$3,
      Actuals!$H:$BD
   )
)</f>
        <v>0</v>
      </c>
      <c r="AX30" s="292" cm="1">
        <f t="array" ref="AX30">_xlfn.XLOOKUP(
   $B$4&amp;" "&amp;$B30,
   Actuals!$D:$D,
   _xlfn.XLOOKUP(
      AX$6,
      Actuals!$H$3:$BD$3,
      Actuals!$H:$BD
   )
)</f>
        <v>0</v>
      </c>
      <c r="AY30" s="292" cm="1">
        <f t="array" ref="AY30">_xlfn.XLOOKUP(
   $B$4&amp;" "&amp;$B30,
   Actuals!$D:$D,
   _xlfn.XLOOKUP(
      AY$6,
      Actuals!$H$3:$BD$3,
      Actuals!$H:$BD
   )
)</f>
        <v>0</v>
      </c>
      <c r="AZ30" s="292" cm="1">
        <f t="array" ref="AZ30">_xlfn.XLOOKUP(
   $B$4&amp;" "&amp;$B30,
   Actuals!$D:$D,
   _xlfn.XLOOKUP(
      AZ$6,
      Actuals!$H$3:$BD$3,
      Actuals!$H:$BD
   )
)</f>
        <v>0</v>
      </c>
      <c r="BA30" s="292"/>
      <c r="BB30" s="292" cm="1">
        <f t="array" ref="BB30">_xlfn.XLOOKUP(
   $B$4&amp;" "&amp;$B30,
   Actuals!$D:$D,
   _xlfn.XLOOKUP(
      BB$7,
      Actuals!$H$3:$BM$3,
      Actuals!$H:$BM
   )
)</f>
        <v>22</v>
      </c>
      <c r="BC30" s="292">
        <f>VLOOKUP($B$4&amp;" "&amp;$B30,Budget!$AG$4:$AL$132,$BB$5+1,FALSE)</f>
        <v>0</v>
      </c>
      <c r="BD30" s="292">
        <f>BB30-BC30</f>
        <v>22</v>
      </c>
      <c r="BE30" s="292"/>
      <c r="BF30" s="292" cm="1">
        <f t="array" ref="BF30">_xlfn.XLOOKUP(
   $B$4&amp;" "&amp;$B30,
   Actuals!$D:$D,
   _xlfn.XLOOKUP(
      BF$7,
      Actuals!$H$3:$BM$3,
      Actuals!$H:$BM
   )
)</f>
        <v>0</v>
      </c>
      <c r="BG30" s="292">
        <f>VLOOKUP($B$4&amp;" "&amp;$B30,Budget!$AG$4:$AL$132,BF$5+1,FALSE)</f>
        <v>19</v>
      </c>
      <c r="BH30" s="292">
        <f>BF30-BG30</f>
        <v>-19</v>
      </c>
      <c r="BI30" s="292"/>
      <c r="BJ30" s="292" cm="1">
        <f t="array" ref="BJ30">_xlfn.XLOOKUP(
   $B$4&amp;" "&amp;$B30,
   Actuals!$D:$D,
   _xlfn.XLOOKUP(
      BJ$7,
      Actuals!$H$3:$BM$3,
      Actuals!$H:$BM
   )
)</f>
        <v>0</v>
      </c>
      <c r="BK30" s="292">
        <f>VLOOKUP($B$4&amp;" "&amp;$B30,Budget!$AG$4:$AL$132,BJ$5+1,FALSE)</f>
        <v>19</v>
      </c>
      <c r="BL30" s="292">
        <f>BJ30-BK30</f>
        <v>-19</v>
      </c>
      <c r="BM30" s="292"/>
      <c r="BN30" s="292" cm="1">
        <f t="array" ref="BN30">_xlfn.XLOOKUP(
   $B$4&amp;" "&amp;$B30,
   Actuals!$D:$D,
   _xlfn.XLOOKUP(
      BN$7,
      Actuals!$H$3:$BM$3,
      Actuals!$H:$BM
   )
)</f>
        <v>0</v>
      </c>
      <c r="BO30" s="292">
        <f>VLOOKUP($B$4&amp;" "&amp;$B30,Budget!$AG$4:$AL$132,BN$5+1,FALSE)</f>
        <v>19</v>
      </c>
      <c r="BP30" s="292"/>
      <c r="BQ30" s="292"/>
      <c r="BR30" s="292">
        <f ca="1">VLOOKUP($B$4&amp;" "&amp;$B30,Actuals!$BG$4:$BL$131,6,FALSE)</f>
        <v>0</v>
      </c>
      <c r="BS30" s="292">
        <f ca="1">VLOOKUP($B$4&amp;" "&amp;$B30,Budget!$AG$4:$AL$132,6,FALSE)</f>
        <v>19</v>
      </c>
      <c r="BT30" s="292">
        <f ca="1">BR30-BS30</f>
        <v>-19</v>
      </c>
      <c r="BU30" s="292"/>
      <c r="BV30" s="292" cm="1">
        <f t="array" ref="BV30">_xlfn.XLOOKUP(
   $B$4&amp;" "&amp;$B30,
   Actuals!$D:$D,
   _xlfn.XLOOKUP(
      BV$6,
      Actuals!$H$3:$BM$3,
      Actuals!$H:$BM
   )
)</f>
        <v>21</v>
      </c>
    </row>
    <row r="31" spans="2:75" s="26" customFormat="1">
      <c r="B31" s="133" t="s">
        <v>226</v>
      </c>
      <c r="C31" s="139" t="s">
        <v>47</v>
      </c>
      <c r="D31" s="171" t="str">
        <f>VLOOKUP($B$4&amp;" "&amp;$B31,Actuals!$D$4:$AG$131,3,FALSE)</f>
        <v>#</v>
      </c>
      <c r="E31" s="168">
        <f>VLOOKUP($B$4&amp;" "&amp;$B31,Actuals!$D$4:$AG$131,MONTH(E$6)+4,FALSE)</f>
        <v>0</v>
      </c>
      <c r="F31" s="168">
        <f>VLOOKUP($B$4&amp;" "&amp;$B31,Actuals!$D$4:$AG$131,MONTH(F$6)+4,FALSE)</f>
        <v>0</v>
      </c>
      <c r="G31" s="168">
        <f>VLOOKUP($B$4&amp;" "&amp;$B31,Actuals!$D$4:$AG$131,MONTH(G$6)+4,FALSE)</f>
        <v>0</v>
      </c>
      <c r="H31" s="168">
        <f>VLOOKUP($B$4&amp;" "&amp;$B31,Actuals!$D$4:$AG$131,MONTH(H$6)+4,FALSE)</f>
        <v>0</v>
      </c>
      <c r="I31" s="168">
        <f>VLOOKUP($B$4&amp;" "&amp;$B31,Actuals!$D$4:$AG$131,MONTH(I$6)+4,FALSE)</f>
        <v>1</v>
      </c>
      <c r="J31" s="168">
        <f>VLOOKUP($B$4&amp;" "&amp;$B31,Actuals!$D$4:$AG$131,MONTH(J$6)+4,FALSE)</f>
        <v>2</v>
      </c>
      <c r="K31" s="168">
        <f>VLOOKUP($B$4&amp;" "&amp;$B31,Actuals!$D$4:$AG$131,MONTH(K$6)+4,FALSE)</f>
        <v>2</v>
      </c>
      <c r="L31" s="168">
        <f>VLOOKUP($B$4&amp;" "&amp;$B31,Actuals!$D$4:$AG$131,MONTH(L$6)+4,FALSE)</f>
        <v>3</v>
      </c>
      <c r="M31" s="168">
        <f>VLOOKUP($B$4&amp;" "&amp;$B31,Actuals!$D$4:$AG$131,MONTH(M$6)+4,FALSE)</f>
        <v>3</v>
      </c>
      <c r="N31" s="168">
        <f>VLOOKUP($B$4&amp;" "&amp;$B31,Actuals!$D$4:$AG$131,MONTH(N$6)+4,FALSE)</f>
        <v>3</v>
      </c>
      <c r="O31" s="292">
        <f>VLOOKUP($B$4&amp;" "&amp;$B31,Actuals!$D$4:$AG$131,MONTH(O$6)+4,FALSE)</f>
        <v>0</v>
      </c>
      <c r="P31" s="292">
        <f>VLOOKUP($B$4&amp;" "&amp;$B31,Actuals!$D$4:$AG$131,MONTH(P$6)+4,FALSE)</f>
        <v>0</v>
      </c>
      <c r="Q31" s="292">
        <f>VLOOKUP($B$4&amp;" "&amp;$B31,Actuals!$D$4:$AR$131,MONTH(Q$6)+16,FALSE)</f>
        <v>0</v>
      </c>
      <c r="R31" s="292">
        <f>VLOOKUP($B$4&amp;" "&amp;$B31,Actuals!$D$4:$AR$131,MONTH(R$6)+16,FALSE)</f>
        <v>0</v>
      </c>
      <c r="S31" s="292">
        <f>VLOOKUP($B$4&amp;" "&amp;$B31,Actuals!$D$4:$AR$131,MONTH(S$6)+16,FALSE)</f>
        <v>0</v>
      </c>
      <c r="T31" s="292">
        <f>VLOOKUP($B$4&amp;" "&amp;$B31,Actuals!$D$4:$AR$131,MONTH(T$6)+16,FALSE)</f>
        <v>0</v>
      </c>
      <c r="U31" s="292">
        <f>VLOOKUP($B$4&amp;" "&amp;$B31,Actuals!$D$4:$AR$131,MONTH(U$6)+16,FALSE)</f>
        <v>0</v>
      </c>
      <c r="V31" s="292">
        <f>VLOOKUP($B$4&amp;" "&amp;$B31,Actuals!$D$4:$AR$131,MONTH(V$6)+16,FALSE)</f>
        <v>0</v>
      </c>
      <c r="W31" s="292"/>
      <c r="X31" s="292"/>
      <c r="Y31" s="292"/>
      <c r="Z31" s="292"/>
      <c r="AA31" s="292"/>
      <c r="AB31" s="292"/>
      <c r="AC31" s="292" cm="1">
        <f t="array" ref="AC31">_xlfn.XLOOKUP(
   $B$4&amp;" "&amp;$B31,
   Actuals!$D:$D,
   _xlfn.XLOOKUP(
      AC$6,
      Actuals!$H$3:$BD$3,
      Actuals!$H:$BD
   )
)</f>
        <v>0</v>
      </c>
      <c r="AD31" s="292" cm="1">
        <f t="array" ref="AD31">_xlfn.XLOOKUP(
   $B$4&amp;" "&amp;$B31,
   Actuals!$D:$D,
   _xlfn.XLOOKUP(
      AD$6,
      Actuals!$H$3:$BD$3,
      Actuals!$H:$BD
   )
)</f>
        <v>0</v>
      </c>
      <c r="AE31" s="292" cm="1">
        <f t="array" ref="AE31">_xlfn.XLOOKUP(
   $B$4&amp;" "&amp;$B31,
   Actuals!$D:$D,
   _xlfn.XLOOKUP(
      AE$6,
      Actuals!$H$3:$BD$3,
      Actuals!$H:$BD
   )
)</f>
        <v>0</v>
      </c>
      <c r="AF31" s="292" cm="1">
        <f t="array" ref="AF31">_xlfn.XLOOKUP(
   $B$4&amp;" "&amp;$B31,
   Actuals!$D:$D,
   _xlfn.XLOOKUP(
      AF$6,
      Actuals!$H$3:$BD$3,
      Actuals!$H:$BD
   )
)</f>
        <v>0</v>
      </c>
      <c r="AG31" s="292" cm="1">
        <f t="array" ref="AG31">_xlfn.XLOOKUP(
   $B$4&amp;" "&amp;$B31,
   Actuals!$D:$D,
   _xlfn.XLOOKUP(
      AG$6,
      Actuals!$H$3:$BD$3,
      Actuals!$H:$BD
   )
)</f>
        <v>0</v>
      </c>
      <c r="AH31" s="292" cm="1">
        <f t="array" ref="AH31">_xlfn.XLOOKUP(
   $B$4&amp;" "&amp;$B31,
   Actuals!$D:$D,
   _xlfn.XLOOKUP(
      AH$6,
      Actuals!$H$3:$BD$3,
      Actuals!$H:$BD
   )
)</f>
        <v>0</v>
      </c>
      <c r="AI31" s="292" cm="1">
        <f t="array" ref="AI31">_xlfn.XLOOKUP(
   $B$4&amp;" "&amp;$B31,
   Actuals!$D:$D,
   _xlfn.XLOOKUP(
      AI$6,
      Actuals!$H$3:$BD$3,
      Actuals!$H:$BD
   )
)</f>
        <v>0</v>
      </c>
      <c r="AJ31" s="292" cm="1">
        <f t="array" ref="AJ31">_xlfn.XLOOKUP(
   $B$4&amp;" "&amp;$B31,
   Actuals!$D:$D,
   _xlfn.XLOOKUP(
      AJ$6,
      Actuals!$H$3:$BD$3,
      Actuals!$H:$BD
   )
)</f>
        <v>0</v>
      </c>
      <c r="AK31" s="292" cm="1">
        <f t="array" ref="AK31">_xlfn.XLOOKUP(
   $B$4&amp;" "&amp;$B31,
   Actuals!$D:$D,
   _xlfn.XLOOKUP(
      AK$6,
      Actuals!$H$3:$BD$3,
      Actuals!$H:$BD
   )
)</f>
        <v>0</v>
      </c>
      <c r="AL31" s="292" cm="1">
        <f t="array" ref="AL31">_xlfn.XLOOKUP(
   $B$4&amp;" "&amp;$B31,
   Actuals!$D:$D,
   _xlfn.XLOOKUP(
      AL$6,
      Actuals!$H$3:$BD$3,
      Actuals!$H:$BD
   )
)</f>
        <v>0</v>
      </c>
      <c r="AM31" s="292" cm="1">
        <f t="array" ref="AM31">_xlfn.XLOOKUP(
   $B$4&amp;" "&amp;$B31,
   Actuals!$D:$D,
   _xlfn.XLOOKUP(
      AM$6,
      Actuals!$H$3:$BD$3,
      Actuals!$H:$BD
   )
)</f>
        <v>0</v>
      </c>
      <c r="AN31" s="292" cm="1">
        <f t="array" ref="AN31">_xlfn.XLOOKUP(
   $B$4&amp;" "&amp;$B31,
   Actuals!$D:$D,
   _xlfn.XLOOKUP(
      AN$6,
      Actuals!$H$3:$BD$3,
      Actuals!$H:$BD
   )
)</f>
        <v>0</v>
      </c>
      <c r="AO31" s="292" cm="1">
        <f t="array" ref="AO31">_xlfn.XLOOKUP(
   $B$4&amp;" "&amp;$B31,
   Actuals!$D:$D,
   _xlfn.XLOOKUP(
      AO$6,
      Actuals!$H$3:$BD$3,
      Actuals!$H:$BD
   )
)</f>
        <v>0</v>
      </c>
      <c r="AP31" s="292" cm="1">
        <f t="array" ref="AP31">_xlfn.XLOOKUP(
   $B$4&amp;" "&amp;$B31,
   Actuals!$D:$D,
   _xlfn.XLOOKUP(
      AP$6,
      Actuals!$H$3:$BD$3,
      Actuals!$H:$BD
   )
)</f>
        <v>0</v>
      </c>
      <c r="AQ31" s="292" cm="1">
        <f t="array" ref="AQ31">_xlfn.XLOOKUP(
   $B$4&amp;" "&amp;$B31,
   Actuals!$D:$D,
   _xlfn.XLOOKUP(
      AQ$6,
      Actuals!$H$3:$BD$3,
      Actuals!$H:$BD
   )
)</f>
        <v>0</v>
      </c>
      <c r="AR31" s="292" cm="1">
        <f t="array" ref="AR31">_xlfn.XLOOKUP(
   $B$4&amp;" "&amp;$B31,
   Actuals!$D:$D,
   _xlfn.XLOOKUP(
      AR$6,
      Actuals!$H$3:$BD$3,
      Actuals!$H:$BD
   )
)</f>
        <v>0</v>
      </c>
      <c r="AS31" s="292" cm="1">
        <f t="array" ref="AS31">_xlfn.XLOOKUP(
   $B$4&amp;" "&amp;$B31,
   Actuals!$D:$D,
   _xlfn.XLOOKUP(
      AS$6,
      Actuals!$H$3:$BD$3,
      Actuals!$H:$BD
   )
)</f>
        <v>0</v>
      </c>
      <c r="AT31" s="292" cm="1">
        <f t="array" ref="AT31">_xlfn.XLOOKUP(
   $B$4&amp;" "&amp;$B31,
   Actuals!$D:$D,
   _xlfn.XLOOKUP(
      AT$6,
      Actuals!$H$3:$BD$3,
      Actuals!$H:$BD
   )
)</f>
        <v>0</v>
      </c>
      <c r="AU31" s="292" cm="1">
        <f t="array" ref="AU31">_xlfn.XLOOKUP(
   $B$4&amp;" "&amp;$B31,
   Actuals!$D:$D,
   _xlfn.XLOOKUP(
      AU$6,
      Actuals!$H$3:$BD$3,
      Actuals!$H:$BD
   )
)</f>
        <v>0</v>
      </c>
      <c r="AV31" s="292" cm="1">
        <f t="array" ref="AV31">_xlfn.XLOOKUP(
   $B$4&amp;" "&amp;$B31,
   Actuals!$D:$D,
   _xlfn.XLOOKUP(
      AV$6,
      Actuals!$H$3:$BD$3,
      Actuals!$H:$BD
   )
)</f>
        <v>0</v>
      </c>
      <c r="AW31" s="292" cm="1">
        <f t="array" ref="AW31">_xlfn.XLOOKUP(
   $B$4&amp;" "&amp;$B31,
   Actuals!$D:$D,
   _xlfn.XLOOKUP(
      AW$6,
      Actuals!$H$3:$BD$3,
      Actuals!$H:$BD
   )
)</f>
        <v>0</v>
      </c>
      <c r="AX31" s="292" cm="1">
        <f t="array" ref="AX31">_xlfn.XLOOKUP(
   $B$4&amp;" "&amp;$B31,
   Actuals!$D:$D,
   _xlfn.XLOOKUP(
      AX$6,
      Actuals!$H$3:$BD$3,
      Actuals!$H:$BD
   )
)</f>
        <v>0</v>
      </c>
      <c r="AY31" s="292" cm="1">
        <f t="array" ref="AY31">_xlfn.XLOOKUP(
   $B$4&amp;" "&amp;$B31,
   Actuals!$D:$D,
   _xlfn.XLOOKUP(
      AY$6,
      Actuals!$H$3:$BD$3,
      Actuals!$H:$BD
   )
)</f>
        <v>0</v>
      </c>
      <c r="AZ31" s="292" cm="1">
        <f t="array" ref="AZ31">_xlfn.XLOOKUP(
   $B$4&amp;" "&amp;$B31,
   Actuals!$D:$D,
   _xlfn.XLOOKUP(
      AZ$6,
      Actuals!$H$3:$BD$3,
      Actuals!$H:$BD
   )
)</f>
        <v>0</v>
      </c>
      <c r="BA31" s="292"/>
      <c r="BB31" s="292" cm="1">
        <f t="array" ref="BB31">_xlfn.XLOOKUP(
   $B$4&amp;" "&amp;$B31,
   Actuals!$D:$D,
   _xlfn.XLOOKUP(
      BB$7,
      Actuals!$H$3:$BM$3,
      Actuals!$H:$BM
   )
)</f>
        <v>0</v>
      </c>
      <c r="BC31" s="292">
        <f>VLOOKUP($B$4&amp;" "&amp;$B31,Budget!$AG$4:$AL$132,$BB$5+1,FALSE)</f>
        <v>0</v>
      </c>
      <c r="BD31" s="292">
        <f>BB31-BC31</f>
        <v>0</v>
      </c>
      <c r="BE31" s="292"/>
      <c r="BF31" s="292" cm="1">
        <f t="array" ref="BF31">_xlfn.XLOOKUP(
   $B$4&amp;" "&amp;$B31,
   Actuals!$D:$D,
   _xlfn.XLOOKUP(
      BF$7,
      Actuals!$H$3:$BM$3,
      Actuals!$H:$BM
   )
)</f>
        <v>0</v>
      </c>
      <c r="BG31" s="292">
        <f>VLOOKUP($B$4&amp;" "&amp;$B31,Budget!$AG$4:$AL$132,BF$5+1,FALSE)</f>
        <v>2</v>
      </c>
      <c r="BH31" s="292">
        <f>BF31-BG31</f>
        <v>-2</v>
      </c>
      <c r="BI31" s="292"/>
      <c r="BJ31" s="292" cm="1">
        <f t="array" ref="BJ31">_xlfn.XLOOKUP(
   $B$4&amp;" "&amp;$B31,
   Actuals!$D:$D,
   _xlfn.XLOOKUP(
      BJ$7,
      Actuals!$H$3:$BM$3,
      Actuals!$H:$BM
   )
)</f>
        <v>0</v>
      </c>
      <c r="BK31" s="292">
        <f>VLOOKUP($B$4&amp;" "&amp;$B31,Budget!$AG$4:$AL$132,BJ$5+1,FALSE)</f>
        <v>2</v>
      </c>
      <c r="BL31" s="292">
        <f>BJ31-BK31</f>
        <v>-2</v>
      </c>
      <c r="BM31" s="292"/>
      <c r="BN31" s="292" cm="1">
        <f t="array" ref="BN31">_xlfn.XLOOKUP(
   $B$4&amp;" "&amp;$B31,
   Actuals!$D:$D,
   _xlfn.XLOOKUP(
      BN$7,
      Actuals!$H$3:$BM$3,
      Actuals!$H:$BM
   )
)</f>
        <v>0</v>
      </c>
      <c r="BO31" s="292">
        <f>VLOOKUP($B$4&amp;" "&amp;$B31,Budget!$AG$4:$AL$132,BN$5+1,FALSE)</f>
        <v>2</v>
      </c>
      <c r="BP31" s="292"/>
      <c r="BQ31" s="292"/>
      <c r="BR31" s="292">
        <f ca="1">VLOOKUP($B$4&amp;" "&amp;$B31,Actuals!$BG$4:$BL$131,6,FALSE)</f>
        <v>0</v>
      </c>
      <c r="BS31" s="292">
        <f ca="1">VLOOKUP($B$4&amp;" "&amp;$B31,Budget!$AG$4:$AL$132,6,FALSE)</f>
        <v>2</v>
      </c>
      <c r="BT31" s="292">
        <f ca="1">BR31-BS31</f>
        <v>-2</v>
      </c>
      <c r="BU31" s="292"/>
      <c r="BV31" s="292" cm="1">
        <f t="array" ref="BV31">_xlfn.XLOOKUP(
   $B$4&amp;" "&amp;$B31,
   Actuals!$D:$D,
   _xlfn.XLOOKUP(
      BV$6,
      Actuals!$H$3:$BM$3,
      Actuals!$H:$BM
   )
)</f>
        <v>0</v>
      </c>
    </row>
    <row r="32" spans="2:75">
      <c r="D32" s="173"/>
      <c r="E32" s="26"/>
      <c r="F32" s="26"/>
      <c r="G32" s="26"/>
      <c r="H32" s="26"/>
      <c r="I32" s="26"/>
      <c r="J32" s="26"/>
      <c r="K32" s="26"/>
      <c r="L32" s="26"/>
      <c r="M32" s="26"/>
      <c r="N32" s="26"/>
      <c r="O32" s="285"/>
      <c r="P32" s="285"/>
      <c r="Q32" s="285"/>
      <c r="R32" s="285"/>
      <c r="S32" s="285"/>
      <c r="T32" s="285"/>
      <c r="U32" s="285"/>
      <c r="V32" s="285"/>
      <c r="W32" s="285"/>
      <c r="X32" s="285"/>
      <c r="Y32" s="285"/>
      <c r="Z32" s="285"/>
      <c r="AA32" s="285"/>
      <c r="AB32" s="285"/>
      <c r="AC32" s="285"/>
      <c r="AD32" s="285"/>
      <c r="AE32" s="285"/>
      <c r="AF32" s="285"/>
      <c r="AG32" s="285"/>
      <c r="AH32" s="285"/>
      <c r="AI32" s="285"/>
      <c r="AJ32" s="285"/>
      <c r="AK32" s="285"/>
      <c r="AL32" s="285"/>
      <c r="AM32" s="285"/>
      <c r="AN32" s="285"/>
      <c r="AO32" s="285"/>
      <c r="AP32" s="285"/>
      <c r="AQ32" s="285"/>
      <c r="AR32" s="285"/>
      <c r="AS32" s="285"/>
      <c r="AT32" s="285"/>
      <c r="AU32" s="285"/>
      <c r="AV32" s="285"/>
      <c r="AW32" s="285"/>
      <c r="AX32" s="285"/>
      <c r="AY32" s="285"/>
      <c r="AZ32" s="285"/>
      <c r="BA32" s="285"/>
      <c r="BB32" s="285"/>
      <c r="BC32" s="285"/>
      <c r="BD32" s="285"/>
      <c r="BE32" s="285"/>
      <c r="BF32" s="285"/>
      <c r="BG32" s="285"/>
      <c r="BH32" s="285"/>
      <c r="BI32" s="285"/>
      <c r="BJ32" s="285"/>
      <c r="BK32" s="285"/>
      <c r="BL32" s="285"/>
      <c r="BM32" s="285"/>
      <c r="BN32" s="285"/>
      <c r="BO32" s="285"/>
      <c r="BP32" s="285"/>
      <c r="BQ32" s="285"/>
      <c r="BR32" s="285"/>
      <c r="BS32" s="285"/>
      <c r="BT32" s="285"/>
      <c r="BU32" s="285"/>
      <c r="BV32" s="285"/>
      <c r="BW32" s="26"/>
    </row>
    <row r="33" spans="2:75" s="26" customFormat="1" ht="13">
      <c r="B33" s="126" t="s">
        <v>227</v>
      </c>
      <c r="C33" s="138"/>
      <c r="D33" s="174"/>
      <c r="E33" s="127"/>
      <c r="F33" s="127"/>
      <c r="G33" s="127"/>
      <c r="H33" s="127"/>
      <c r="I33" s="127"/>
      <c r="J33" s="127"/>
      <c r="K33" s="127"/>
      <c r="L33" s="127"/>
      <c r="M33" s="127"/>
      <c r="N33" s="127"/>
      <c r="O33" s="321"/>
      <c r="P33" s="321"/>
      <c r="Q33" s="321"/>
      <c r="R33" s="321"/>
      <c r="S33" s="321"/>
      <c r="T33" s="321"/>
      <c r="U33" s="321"/>
      <c r="V33" s="321"/>
      <c r="W33" s="321"/>
      <c r="X33" s="321"/>
      <c r="Y33" s="321"/>
      <c r="Z33" s="321"/>
      <c r="AA33" s="321"/>
      <c r="AB33" s="321"/>
      <c r="AC33" s="321"/>
      <c r="AD33" s="321"/>
      <c r="AE33" s="321"/>
      <c r="AF33" s="321"/>
      <c r="AG33" s="321"/>
      <c r="AH33" s="321"/>
      <c r="AI33" s="321"/>
      <c r="AJ33" s="321"/>
      <c r="AK33" s="321"/>
      <c r="AL33" s="321"/>
      <c r="AM33" s="321"/>
      <c r="AN33" s="321"/>
      <c r="AO33" s="321"/>
      <c r="AP33" s="321"/>
      <c r="AQ33" s="321"/>
      <c r="AR33" s="321"/>
      <c r="AS33" s="321"/>
      <c r="AT33" s="321"/>
      <c r="AU33" s="321"/>
      <c r="AV33" s="321"/>
      <c r="AW33" s="321"/>
      <c r="AX33" s="321"/>
      <c r="AY33" s="321"/>
      <c r="AZ33" s="321"/>
      <c r="BA33" s="321"/>
      <c r="BB33" s="321"/>
      <c r="BC33" s="321"/>
      <c r="BD33" s="321"/>
      <c r="BE33" s="321"/>
      <c r="BF33" s="321"/>
      <c r="BG33" s="321"/>
      <c r="BH33" s="321"/>
      <c r="BI33" s="321"/>
      <c r="BJ33" s="321"/>
      <c r="BK33" s="321"/>
      <c r="BL33" s="321"/>
      <c r="BM33" s="321"/>
      <c r="BN33" s="321"/>
      <c r="BO33" s="321"/>
      <c r="BP33" s="321"/>
      <c r="BQ33" s="321"/>
      <c r="BR33" s="321"/>
      <c r="BS33" s="321"/>
      <c r="BT33" s="321"/>
      <c r="BU33" s="321"/>
      <c r="BV33" s="321"/>
    </row>
    <row r="34" spans="2:75" s="26" customFormat="1">
      <c r="B34" s="26" t="str">
        <f>'Prod Dev'!B26</f>
        <v>Avg. Personnel Cost per Squad</v>
      </c>
      <c r="C34" s="139" t="str">
        <f>'Prod Dev'!C26</f>
        <v>Avg</v>
      </c>
      <c r="D34" s="171" t="str">
        <f>VLOOKUP($B$4&amp;" "&amp;$B34,Actuals!$D$4:$AG$131,3,FALSE)</f>
        <v>$</v>
      </c>
      <c r="E34" s="219">
        <f>VLOOKUP($B$4&amp;" "&amp;$B34,Actuals!$D$4:$AG$131,MONTH(E$6)+4,FALSE)</f>
        <v>69121.714999999997</v>
      </c>
      <c r="F34" s="219">
        <f>VLOOKUP($B$4&amp;" "&amp;$B34,Actuals!$D$4:$AG$131,MONTH(F$6)+4,FALSE)</f>
        <v>72497.695000000007</v>
      </c>
      <c r="G34" s="219">
        <f>VLOOKUP($B$4&amp;" "&amp;$B34,Actuals!$D$4:$AG$131,MONTH(G$6)+4,FALSE)</f>
        <v>74103.684999999998</v>
      </c>
      <c r="H34" s="219">
        <f>VLOOKUP($B$4&amp;" "&amp;$B34,Actuals!$D$4:$AG$131,MONTH(H$6)+4,FALSE)</f>
        <v>72135.81</v>
      </c>
      <c r="I34" s="219">
        <f>VLOOKUP($B$4&amp;" "&amp;$B34,Actuals!$D$4:$AG$131,MONTH(I$6)+4,FALSE)</f>
        <v>70305.679999999993</v>
      </c>
      <c r="J34" s="219">
        <f>VLOOKUP($B$4&amp;" "&amp;$B34,Actuals!$D$4:$AG$131,MONTH(J$6)+4,FALSE)</f>
        <v>77211.37</v>
      </c>
      <c r="K34" s="219">
        <f>VLOOKUP($B$4&amp;" "&amp;$B34,Actuals!$D$4:$AG$131,MONTH(K$6)+4,FALSE)</f>
        <v>57329.25</v>
      </c>
      <c r="L34" s="219">
        <f>VLOOKUP($B$4&amp;" "&amp;$B34,Actuals!$D$4:$AG$131,MONTH(L$6)+4,FALSE)</f>
        <v>59369.04</v>
      </c>
      <c r="M34" s="219">
        <f>VLOOKUP($B$4&amp;" "&amp;$B34,Actuals!$D$4:$AG$131,MONTH(M$6)+4,FALSE)</f>
        <v>56274.559999999998</v>
      </c>
      <c r="N34" s="219">
        <f>VLOOKUP($B$4&amp;" "&amp;$B34,Actuals!$D$4:$AG$131,MONTH(N$6)+4,FALSE)</f>
        <v>61662.713333333326</v>
      </c>
      <c r="O34" s="219">
        <f>VLOOKUP($B$4&amp;" "&amp;$B34,Actuals!$D$4:$AG$131,MONTH(O$6)+4,FALSE)</f>
        <v>0</v>
      </c>
      <c r="P34" s="219">
        <f>VLOOKUP($B$4&amp;" "&amp;$B34,Actuals!$D$4:$AG$131,MONTH(P$6)+4,FALSE)</f>
        <v>0</v>
      </c>
      <c r="Q34" s="219">
        <f>VLOOKUP($B$4&amp;" "&amp;$B34,Actuals!$D$4:$AR$131,MONTH(Q$6)+16,FALSE)</f>
        <v>0</v>
      </c>
      <c r="R34" s="219">
        <f>VLOOKUP($B$4&amp;" "&amp;$B34,Actuals!$D$4:$AR$131,MONTH(R$6)+16,FALSE)</f>
        <v>0</v>
      </c>
      <c r="S34" s="219">
        <f>VLOOKUP($B$4&amp;" "&amp;$B34,Actuals!$D$4:$AR$131,MONTH(S$6)+16,FALSE)</f>
        <v>0</v>
      </c>
      <c r="T34" s="219">
        <f>VLOOKUP($B$4&amp;" "&amp;$B34,Actuals!$D$4:$AR$131,MONTH(T$6)+16,FALSE)</f>
        <v>0</v>
      </c>
      <c r="U34" s="219">
        <f>VLOOKUP($B$4&amp;" "&amp;$B34,Actuals!$D$4:$AR$131,MONTH(U$6)+16,FALSE)</f>
        <v>0</v>
      </c>
      <c r="V34" s="219">
        <f>VLOOKUP($B$4&amp;" "&amp;$B34,Actuals!$D$4:$AR$131,MONTH(V$6)+16,FALSE)</f>
        <v>0</v>
      </c>
      <c r="W34" s="219"/>
      <c r="X34" s="219"/>
      <c r="Y34" s="219"/>
      <c r="Z34" s="219"/>
      <c r="AA34" s="219"/>
      <c r="AB34" s="219"/>
      <c r="AC34" s="219" cm="1">
        <f t="array" ref="AC34">_xlfn.XLOOKUP(
   $B$4&amp;" "&amp;$B34,
   Actuals!$D:$D,
   _xlfn.XLOOKUP(
      AC$6,
      Actuals!$H$3:$BD$3,
      Actuals!$H:$BD
   )
)</f>
        <v>75495.760000000009</v>
      </c>
      <c r="AD34" s="219" cm="1">
        <f t="array" ref="AD34">_xlfn.XLOOKUP(
   $B$4&amp;" "&amp;$B34,
   Actuals!$D:$D,
   _xlfn.XLOOKUP(
      AD$6,
      Actuals!$H$3:$BD$3,
      Actuals!$H:$BD
   )
)</f>
        <v>75135.530933333343</v>
      </c>
      <c r="AE34" s="219" cm="1">
        <f t="array" ref="AE34">_xlfn.XLOOKUP(
   $B$4&amp;" "&amp;$B34,
   Actuals!$D:$D,
   _xlfn.XLOOKUP(
      AE$6,
      Actuals!$H$3:$BD$3,
      Actuals!$H:$BD
   )
)</f>
        <v>75845.786242666669</v>
      </c>
      <c r="AF34" s="219" cm="1">
        <f t="array" ref="AF34">_xlfn.XLOOKUP(
   $B$4&amp;" "&amp;$B34,
   Actuals!$D:$D,
   _xlfn.XLOOKUP(
      AF$6,
      Actuals!$H$3:$BD$3,
      Actuals!$H:$BD
   )
)</f>
        <v>78563.604105093342</v>
      </c>
      <c r="AG34" s="219" cm="1">
        <f t="array" ref="AG34">_xlfn.XLOOKUP(
   $B$4&amp;" "&amp;$B34,
   Actuals!$D:$D,
   _xlfn.XLOOKUP(
      AG$6,
      Actuals!$H$3:$BD$3,
      Actuals!$H:$BD
   )
)</f>
        <v>78607.396812810926</v>
      </c>
      <c r="AH34" s="219" cm="1">
        <f t="array" ref="AH34">_xlfn.XLOOKUP(
   $B$4&amp;" "&amp;$B34,
   Actuals!$D:$D,
   _xlfn.XLOOKUP(
      AH$6,
      Actuals!$H$3:$BD$3,
      Actuals!$H:$BD
   )
)</f>
        <v>78757.244114272369</v>
      </c>
      <c r="AI34" s="219" cm="1">
        <f t="array" ref="AI34">_xlfn.XLOOKUP(
   $B$4&amp;" "&amp;$B34,
   Actuals!$D:$D,
   _xlfn.XLOOKUP(
      AI$6,
      Actuals!$H$3:$BD$3,
      Actuals!$H:$BD
   )
)</f>
        <v>121684.83983312265</v>
      </c>
      <c r="AJ34" s="219" cm="1">
        <f t="array" ref="AJ34">_xlfn.XLOOKUP(
   $B$4&amp;" "&amp;$B34,
   Actuals!$D:$D,
   _xlfn.XLOOKUP(
      AJ$6,
      Actuals!$H$3:$BD$3,
      Actuals!$H:$BD
   )
)</f>
        <v>121424.63823145388</v>
      </c>
      <c r="AK34" s="219" cm="1">
        <f t="array" ref="AK34">_xlfn.XLOOKUP(
   $B$4&amp;" "&amp;$B34,
   Actuals!$D:$D,
   _xlfn.XLOOKUP(
      AK$6,
      Actuals!$H$3:$BD$3,
      Actuals!$H:$BD
   )
)</f>
        <v>123465.38461376843</v>
      </c>
      <c r="AL34" s="219" cm="1">
        <f t="array" ref="AL34">_xlfn.XLOOKUP(
   $B$4&amp;" "&amp;$B34,
   Actuals!$D:$D,
   _xlfn.XLOOKUP(
      AL$6,
      Actuals!$H$3:$BD$3,
      Actuals!$H:$BD
   )
)</f>
        <v>125551.7034599061</v>
      </c>
      <c r="AM34" s="219" cm="1">
        <f t="array" ref="AM34">_xlfn.XLOOKUP(
   $B$4&amp;" "&amp;$B34,
   Actuals!$D:$D,
   _xlfn.XLOOKUP(
      AM$6,
      Actuals!$H$3:$BD$3,
      Actuals!$H:$BD
   )
)</f>
        <v>125683.22049450516</v>
      </c>
      <c r="AN34" s="219" cm="1">
        <f t="array" ref="AN34">_xlfn.XLOOKUP(
   $B$4&amp;" "&amp;$B34,
   Actuals!$D:$D,
   _xlfn.XLOOKUP(
      AN$6,
      Actuals!$H$3:$BD$3,
      Actuals!$H:$BD
   )
)</f>
        <v>127811.37269945021</v>
      </c>
      <c r="AO34" s="219" cm="1">
        <f t="array" ref="AO34">_xlfn.XLOOKUP(
   $B$4&amp;" "&amp;$B34,
   Actuals!$D:$D,
   _xlfn.XLOOKUP(
      AO$6,
      Actuals!$H$3:$BD$3,
      Actuals!$H:$BD
   )
)</f>
        <v>82492.058884296479</v>
      </c>
      <c r="AP34" s="219" cm="1">
        <f t="array" ref="AP34">_xlfn.XLOOKUP(
   $B$4&amp;" "&amp;$B34,
   Actuals!$D:$D,
   _xlfn.XLOOKUP(
      AP$6,
      Actuals!$H$3:$BD$3,
      Actuals!$H:$BD
   )
)</f>
        <v>84530.011273139447</v>
      </c>
      <c r="AQ34" s="219" cm="1">
        <f t="array" ref="AQ34">_xlfn.XLOOKUP(
   $B$4&amp;" "&amp;$B34,
   Actuals!$D:$D,
   _xlfn.XLOOKUP(
      AQ$6,
      Actuals!$H$3:$BD$3,
      Actuals!$H:$BD
   )
)</f>
        <v>86948.846185870832</v>
      </c>
      <c r="AR34" s="219" cm="1">
        <f t="array" ref="AR34">_xlfn.XLOOKUP(
   $B$4&amp;" "&amp;$B34,
   Actuals!$D:$D,
   _xlfn.XLOOKUP(
      AR$6,
      Actuals!$H$3:$BD$3,
      Actuals!$H:$BD
   )
)</f>
        <v>0</v>
      </c>
      <c r="AS34" s="219" cm="1">
        <f t="array" ref="AS34">_xlfn.XLOOKUP(
   $B$4&amp;" "&amp;$B34,
   Actuals!$D:$D,
   _xlfn.XLOOKUP(
      AS$6,
      Actuals!$H$3:$BD$3,
      Actuals!$H:$BD
   )
)</f>
        <v>0</v>
      </c>
      <c r="AT34" s="219" cm="1">
        <f t="array" ref="AT34">_xlfn.XLOOKUP(
   $B$4&amp;" "&amp;$B34,
   Actuals!$D:$D,
   _xlfn.XLOOKUP(
      AT$6,
      Actuals!$H$3:$BD$3,
      Actuals!$H:$BD
   )
)</f>
        <v>0</v>
      </c>
      <c r="AU34" s="219" cm="1">
        <f t="array" ref="AU34">_xlfn.XLOOKUP(
   $B$4&amp;" "&amp;$B34,
   Actuals!$D:$D,
   _xlfn.XLOOKUP(
      AU$6,
      Actuals!$H$3:$BD$3,
      Actuals!$H:$BD
   )
)</f>
        <v>0</v>
      </c>
      <c r="AV34" s="219" cm="1">
        <f t="array" ref="AV34">_xlfn.XLOOKUP(
   $B$4&amp;" "&amp;$B34,
   Actuals!$D:$D,
   _xlfn.XLOOKUP(
      AV$6,
      Actuals!$H$3:$BD$3,
      Actuals!$H:$BD
   )
)</f>
        <v>0</v>
      </c>
      <c r="AW34" s="219" cm="1">
        <f t="array" ref="AW34">_xlfn.XLOOKUP(
   $B$4&amp;" "&amp;$B34,
   Actuals!$D:$D,
   _xlfn.XLOOKUP(
      AW$6,
      Actuals!$H$3:$BD$3,
      Actuals!$H:$BD
   )
)</f>
        <v>0</v>
      </c>
      <c r="AX34" s="219" cm="1">
        <f t="array" ref="AX34">_xlfn.XLOOKUP(
   $B$4&amp;" "&amp;$B34,
   Actuals!$D:$D,
   _xlfn.XLOOKUP(
      AX$6,
      Actuals!$H$3:$BD$3,
      Actuals!$H:$BD
   )
)</f>
        <v>0</v>
      </c>
      <c r="AY34" s="219" cm="1">
        <f t="array" ref="AY34">_xlfn.XLOOKUP(
   $B$4&amp;" "&amp;$B34,
   Actuals!$D:$D,
   _xlfn.XLOOKUP(
      AY$6,
      Actuals!$H$3:$BD$3,
      Actuals!$H:$BD
   )
)</f>
        <v>0</v>
      </c>
      <c r="AZ34" s="219" cm="1">
        <f t="array" ref="AZ34">_xlfn.XLOOKUP(
   $B$4&amp;" "&amp;$B34,
   Actuals!$D:$D,
   _xlfn.XLOOKUP(
      AZ$6,
      Actuals!$H$3:$BD$3,
      Actuals!$H:$BD
   )
)</f>
        <v>0</v>
      </c>
      <c r="BA34" s="210"/>
      <c r="BB34" s="219" cm="1">
        <f t="array" ref="BB34">_xlfn.XLOOKUP(
   $B$4&amp;" "&amp;$B34,
   Actuals!$D:$D,
   _xlfn.XLOOKUP(
      BB$7,
      Actuals!$H$3:$BM$3,
      Actuals!$H:$BM
   )
)</f>
        <v>84656.972114435586</v>
      </c>
      <c r="BC34" s="219">
        <f>VLOOKUP($B$4&amp;" "&amp;$B34,Budget!$AG$4:$AL$132,$BB$5+1,FALSE)</f>
        <v>75549.333333333328</v>
      </c>
      <c r="BD34" s="219">
        <f>IFERROR(BB34-BC34,"-")</f>
        <v>9107.6387811022578</v>
      </c>
      <c r="BE34" s="210"/>
      <c r="BF34" s="219" cm="1">
        <f t="array" ref="BF34">_xlfn.XLOOKUP(
   $B$4&amp;" "&amp;$B34,
   Actuals!$D:$D,
   _xlfn.XLOOKUP(
      BF$7,
      Actuals!$H$3:$BM$3,
      Actuals!$H:$BM
   )
)</f>
        <v>0</v>
      </c>
      <c r="BG34" s="219">
        <f>VLOOKUP($B$4&amp;" "&amp;$B34,Budget!$AG$4:$AL$132,BF$5+1,FALSE)</f>
        <v>75549.333333333328</v>
      </c>
      <c r="BH34" s="219">
        <f>IFERROR(BF34-BG34,"-")</f>
        <v>-75549.333333333328</v>
      </c>
      <c r="BI34" s="210"/>
      <c r="BJ34" s="219" cm="1">
        <f t="array" ref="BJ34">_xlfn.XLOOKUP(
   $B$4&amp;" "&amp;$B34,
   Actuals!$D:$D,
   _xlfn.XLOOKUP(
      BJ$7,
      Actuals!$H$3:$BM$3,
      Actuals!$H:$BM
   )
)</f>
        <v>0</v>
      </c>
      <c r="BK34" s="219">
        <f>VLOOKUP($B$4&amp;" "&amp;$B34,Budget!$AG$4:$AL$132,BJ$5+1,FALSE)</f>
        <v>76843.777777777766</v>
      </c>
      <c r="BL34" s="219">
        <f>IFERROR(BJ34-BK34,"-")</f>
        <v>-76843.777777777766</v>
      </c>
      <c r="BM34" s="210"/>
      <c r="BN34" s="210" cm="1">
        <f t="array" ref="BN34">_xlfn.XLOOKUP(
   $B$4&amp;" "&amp;$B34,
   Actuals!$D:$D,
   _xlfn.XLOOKUP(
      BN$7,
      Actuals!$H$3:$BM$3,
      Actuals!$H:$BM
   )
)</f>
        <v>0</v>
      </c>
      <c r="BO34" s="219">
        <f>VLOOKUP($B$4&amp;" "&amp;$B34,Budget!$AG$4:$AL$132,BN$5+1,FALSE)</f>
        <v>77566</v>
      </c>
      <c r="BP34" s="210"/>
      <c r="BQ34" s="210"/>
      <c r="BR34" s="219">
        <f ca="1">VLOOKUP($B$4&amp;" "&amp;$B34,Actuals!$BG$4:$BL$131,6,FALSE)</f>
        <v>21164.243028608897</v>
      </c>
      <c r="BS34" s="219">
        <f ca="1">VLOOKUP($B$4&amp;" "&amp;$B34,Budget!$AG$4:$AL$132,6,FALSE)</f>
        <v>76545.166666666672</v>
      </c>
      <c r="BT34" s="219">
        <f t="shared" ref="BT34:BT39" ca="1" si="20">BR34-BS34</f>
        <v>-55380.923638057779</v>
      </c>
      <c r="BU34" s="210"/>
      <c r="BV34" s="219" cm="1">
        <f t="array" ref="BV34">_xlfn.XLOOKUP(
   $B$4&amp;" "&amp;$B34,
   Actuals!$D:$D,
   _xlfn.XLOOKUP(
      BV$6,
      Actuals!$H$3:$BM$3,
      Actuals!$H:$BM
   )
)</f>
        <v>101251.89836872328</v>
      </c>
      <c r="BW34" s="151"/>
    </row>
    <row r="35" spans="2:75" s="26" customFormat="1">
      <c r="B35" s="26" t="str">
        <f>'Prod Dev'!B27</f>
        <v>P&amp;T Overhead</v>
      </c>
      <c r="C35" s="139" t="str">
        <f>'Prod Dev'!C27</f>
        <v>In-period</v>
      </c>
      <c r="D35" s="171" t="str">
        <f>VLOOKUP($B$4&amp;" "&amp;$B35,Actuals!$D$4:$AG$131,3,FALSE)</f>
        <v>$</v>
      </c>
      <c r="E35" s="219">
        <f>VLOOKUP($B$4&amp;" "&amp;$B35,Actuals!$D$4:$AG$131,MONTH(E$6)+4,FALSE)</f>
        <v>3540.88</v>
      </c>
      <c r="F35" s="219">
        <f>VLOOKUP($B$4&amp;" "&amp;$B35,Actuals!$D$4:$AG$131,MONTH(F$6)+4,FALSE)</f>
        <v>12655.84</v>
      </c>
      <c r="G35" s="219">
        <f>VLOOKUP($B$4&amp;" "&amp;$B35,Actuals!$D$4:$AG$131,MONTH(G$6)+4,FALSE)</f>
        <v>5571.2300000000005</v>
      </c>
      <c r="H35" s="219">
        <f>VLOOKUP($B$4&amp;" "&amp;$B35,Actuals!$D$4:$AG$131,MONTH(H$6)+4,FALSE)</f>
        <v>3952.25</v>
      </c>
      <c r="I35" s="219">
        <f>VLOOKUP($B$4&amp;" "&amp;$B35,Actuals!$D$4:$AG$131,MONTH(I$6)+4,FALSE)</f>
        <v>7151.77</v>
      </c>
      <c r="J35" s="219">
        <f>VLOOKUP($B$4&amp;" "&amp;$B35,Actuals!$D$4:$AG$131,MONTH(J$6)+4,FALSE)</f>
        <v>3481.27</v>
      </c>
      <c r="K35" s="219">
        <f>VLOOKUP($B$4&amp;" "&amp;$B35,Actuals!$D$4:$AG$131,MONTH(K$6)+4,FALSE)</f>
        <v>28391.06</v>
      </c>
      <c r="L35" s="219">
        <f>VLOOKUP($B$4&amp;" "&amp;$B35,Actuals!$D$4:$AG$131,MONTH(L$6)+4,FALSE)</f>
        <v>3604.27</v>
      </c>
      <c r="M35" s="219">
        <f>VLOOKUP($B$4&amp;" "&amp;$B35,Actuals!$D$4:$AG$131,MONTH(M$6)+4,FALSE)</f>
        <v>4818.01</v>
      </c>
      <c r="N35" s="219">
        <f>VLOOKUP($B$4&amp;" "&amp;$B35,Actuals!$D$4:$AG$131,MONTH(N$6)+4,FALSE)</f>
        <v>7809.3</v>
      </c>
      <c r="O35" s="219">
        <f>VLOOKUP($B$4&amp;" "&amp;$B35,Actuals!$D$4:$AG$131,MONTH(O$6)+4,FALSE)</f>
        <v>0</v>
      </c>
      <c r="P35" s="219">
        <f>VLOOKUP($B$4&amp;" "&amp;$B35,Actuals!$D$4:$AG$131,MONTH(P$6)+4,FALSE)</f>
        <v>0</v>
      </c>
      <c r="Q35" s="219">
        <f>VLOOKUP($B$4&amp;" "&amp;$B35,Actuals!$D$4:$AR$131,MONTH(Q$6)+16,FALSE)</f>
        <v>0</v>
      </c>
      <c r="R35" s="219">
        <f>VLOOKUP($B$4&amp;" "&amp;$B35,Actuals!$D$4:$AR$131,MONTH(R$6)+16,FALSE)</f>
        <v>0</v>
      </c>
      <c r="S35" s="219">
        <f>VLOOKUP($B$4&amp;" "&amp;$B35,Actuals!$D$4:$AR$131,MONTH(S$6)+16,FALSE)</f>
        <v>0</v>
      </c>
      <c r="T35" s="219">
        <f>VLOOKUP($B$4&amp;" "&amp;$B35,Actuals!$D$4:$AR$131,MONTH(T$6)+16,FALSE)</f>
        <v>0</v>
      </c>
      <c r="U35" s="219">
        <f>VLOOKUP($B$4&amp;" "&amp;$B35,Actuals!$D$4:$AR$131,MONTH(U$6)+16,FALSE)</f>
        <v>0</v>
      </c>
      <c r="V35" s="219">
        <f>VLOOKUP($B$4&amp;" "&amp;$B35,Actuals!$D$4:$AR$131,MONTH(V$6)+16,FALSE)</f>
        <v>0</v>
      </c>
      <c r="W35" s="219"/>
      <c r="X35" s="219"/>
      <c r="Y35" s="219"/>
      <c r="Z35" s="219"/>
      <c r="AA35" s="219"/>
      <c r="AB35" s="219"/>
      <c r="AC35" s="219" cm="1">
        <f t="array" ref="AC35">_xlfn.XLOOKUP(
   $B$4&amp;" "&amp;$B35,
   Actuals!$D:$D,
   _xlfn.XLOOKUP(
      AC$6,
      Actuals!$H$3:$BD$3,
      Actuals!$H:$BD
   )
)</f>
        <v>8044</v>
      </c>
      <c r="AD35" s="219" cm="1">
        <f t="array" ref="AD35">_xlfn.XLOOKUP(
   $B$4&amp;" "&amp;$B35,
   Actuals!$D:$D,
   _xlfn.XLOOKUP(
      AD$6,
      Actuals!$H$3:$BD$3,
      Actuals!$H:$BD
   )
)</f>
        <v>11470</v>
      </c>
      <c r="AE35" s="219" cm="1">
        <f t="array" ref="AE35">_xlfn.XLOOKUP(
   $B$4&amp;" "&amp;$B35,
   Actuals!$D:$D,
   _xlfn.XLOOKUP(
      AE$6,
      Actuals!$H$3:$BD$3,
      Actuals!$H:$BD
   )
)</f>
        <v>11708</v>
      </c>
      <c r="AF35" s="219" cm="1">
        <f t="array" ref="AF35">_xlfn.XLOOKUP(
   $B$4&amp;" "&amp;$B35,
   Actuals!$D:$D,
   _xlfn.XLOOKUP(
      AF$6,
      Actuals!$H$3:$BD$3,
      Actuals!$H:$BD
   )
)</f>
        <v>5947</v>
      </c>
      <c r="AG35" s="219" cm="1">
        <f t="array" ref="AG35">_xlfn.XLOOKUP(
   $B$4&amp;" "&amp;$B35,
   Actuals!$D:$D,
   _xlfn.XLOOKUP(
      AG$6,
      Actuals!$H$3:$BD$3,
      Actuals!$H:$BD
   )
)</f>
        <v>8232</v>
      </c>
      <c r="AH35" s="219" cm="1">
        <f t="array" ref="AH35">_xlfn.XLOOKUP(
   $B$4&amp;" "&amp;$B35,
   Actuals!$D:$D,
   _xlfn.XLOOKUP(
      AH$6,
      Actuals!$H$3:$BD$3,
      Actuals!$H:$BD
   )
)</f>
        <v>10223</v>
      </c>
      <c r="AI35" s="219" cm="1">
        <f t="array" ref="AI35">_xlfn.XLOOKUP(
   $B$4&amp;" "&amp;$B35,
   Actuals!$D:$D,
   _xlfn.XLOOKUP(
      AI$6,
      Actuals!$H$3:$BD$3,
      Actuals!$H:$BD
   )
)</f>
        <v>5590</v>
      </c>
      <c r="AJ35" s="219" cm="1">
        <f t="array" ref="AJ35">_xlfn.XLOOKUP(
   $B$4&amp;" "&amp;$B35,
   Actuals!$D:$D,
   _xlfn.XLOOKUP(
      AJ$6,
      Actuals!$H$3:$BD$3,
      Actuals!$H:$BD
   )
)</f>
        <v>8600</v>
      </c>
      <c r="AK35" s="219" cm="1">
        <f t="array" ref="AK35">_xlfn.XLOOKUP(
   $B$4&amp;" "&amp;$B35,
   Actuals!$D:$D,
   _xlfn.XLOOKUP(
      AK$6,
      Actuals!$H$3:$BD$3,
      Actuals!$H:$BD
   )
)</f>
        <v>7033</v>
      </c>
      <c r="AL35" s="219" cm="1">
        <f t="array" ref="AL35">_xlfn.XLOOKUP(
   $B$4&amp;" "&amp;$B35,
   Actuals!$D:$D,
   _xlfn.XLOOKUP(
      AL$6,
      Actuals!$H$3:$BD$3,
      Actuals!$H:$BD
   )
)</f>
        <v>5400</v>
      </c>
      <c r="AM35" s="219" cm="1">
        <f t="array" ref="AM35">_xlfn.XLOOKUP(
   $B$4&amp;" "&amp;$B35,
   Actuals!$D:$D,
   _xlfn.XLOOKUP(
      AM$6,
      Actuals!$H$3:$BD$3,
      Actuals!$H:$BD
   )
)</f>
        <v>7702</v>
      </c>
      <c r="AN35" s="219" cm="1">
        <f t="array" ref="AN35">_xlfn.XLOOKUP(
   $B$4&amp;" "&amp;$B35,
   Actuals!$D:$D,
   _xlfn.XLOOKUP(
      AN$6,
      Actuals!$H$3:$BD$3,
      Actuals!$H:$BD
   )
)</f>
        <v>6036.38</v>
      </c>
      <c r="AO35" s="219" cm="1">
        <f t="array" ref="AO35">_xlfn.XLOOKUP(
   $B$4&amp;" "&amp;$B35,
   Actuals!$D:$D,
   _xlfn.XLOOKUP(
      AO$6,
      Actuals!$H$3:$BD$3,
      Actuals!$H:$BD
   )
)</f>
        <v>16799.54</v>
      </c>
      <c r="AP35" s="219" cm="1">
        <f t="array" ref="AP35">_xlfn.XLOOKUP(
   $B$4&amp;" "&amp;$B35,
   Actuals!$D:$D,
   _xlfn.XLOOKUP(
      AP$6,
      Actuals!$H$3:$BD$3,
      Actuals!$H:$BD
   )
)</f>
        <v>13328.44</v>
      </c>
      <c r="AQ35" s="219" cm="1">
        <f t="array" ref="AQ35">_xlfn.XLOOKUP(
   $B$4&amp;" "&amp;$B35,
   Actuals!$D:$D,
   _xlfn.XLOOKUP(
      AQ$6,
      Actuals!$H$3:$BD$3,
      Actuals!$H:$BD
   )
)</f>
        <v>8741.1200000000008</v>
      </c>
      <c r="AR35" s="219" cm="1">
        <f t="array" ref="AR35">_xlfn.XLOOKUP(
   $B$4&amp;" "&amp;$B35,
   Actuals!$D:$D,
   _xlfn.XLOOKUP(
      AR$6,
      Actuals!$H$3:$BD$3,
      Actuals!$H:$BD
   )
)</f>
        <v>0</v>
      </c>
      <c r="AS35" s="219" cm="1">
        <f t="array" ref="AS35">_xlfn.XLOOKUP(
   $B$4&amp;" "&amp;$B35,
   Actuals!$D:$D,
   _xlfn.XLOOKUP(
      AS$6,
      Actuals!$H$3:$BD$3,
      Actuals!$H:$BD
   )
)</f>
        <v>0</v>
      </c>
      <c r="AT35" s="219" cm="1">
        <f t="array" ref="AT35">_xlfn.XLOOKUP(
   $B$4&amp;" "&amp;$B35,
   Actuals!$D:$D,
   _xlfn.XLOOKUP(
      AT$6,
      Actuals!$H$3:$BD$3,
      Actuals!$H:$BD
   )
)</f>
        <v>0</v>
      </c>
      <c r="AU35" s="219" cm="1">
        <f t="array" ref="AU35">_xlfn.XLOOKUP(
   $B$4&amp;" "&amp;$B35,
   Actuals!$D:$D,
   _xlfn.XLOOKUP(
      AU$6,
      Actuals!$H$3:$BD$3,
      Actuals!$H:$BD
   )
)</f>
        <v>0</v>
      </c>
      <c r="AV35" s="219" cm="1">
        <f t="array" ref="AV35">_xlfn.XLOOKUP(
   $B$4&amp;" "&amp;$B35,
   Actuals!$D:$D,
   _xlfn.XLOOKUP(
      AV$6,
      Actuals!$H$3:$BD$3,
      Actuals!$H:$BD
   )
)</f>
        <v>0</v>
      </c>
      <c r="AW35" s="219" cm="1">
        <f t="array" ref="AW35">_xlfn.XLOOKUP(
   $B$4&amp;" "&amp;$B35,
   Actuals!$D:$D,
   _xlfn.XLOOKUP(
      AW$6,
      Actuals!$H$3:$BD$3,
      Actuals!$H:$BD
   )
)</f>
        <v>0</v>
      </c>
      <c r="AX35" s="219" cm="1">
        <f t="array" ref="AX35">_xlfn.XLOOKUP(
   $B$4&amp;" "&amp;$B35,
   Actuals!$D:$D,
   _xlfn.XLOOKUP(
      AX$6,
      Actuals!$H$3:$BD$3,
      Actuals!$H:$BD
   )
)</f>
        <v>0</v>
      </c>
      <c r="AY35" s="219" cm="1">
        <f t="array" ref="AY35">_xlfn.XLOOKUP(
   $B$4&amp;" "&amp;$B35,
   Actuals!$D:$D,
   _xlfn.XLOOKUP(
      AY$6,
      Actuals!$H$3:$BD$3,
      Actuals!$H:$BD
   )
)</f>
        <v>0</v>
      </c>
      <c r="AZ35" s="219" cm="1">
        <f t="array" ref="AZ35">_xlfn.XLOOKUP(
   $B$4&amp;" "&amp;$B35,
   Actuals!$D:$D,
   _xlfn.XLOOKUP(
      AZ$6,
      Actuals!$H$3:$BD$3,
      Actuals!$H:$BD
   )
)</f>
        <v>0</v>
      </c>
      <c r="BA35" s="210"/>
      <c r="BB35" s="219" cm="1">
        <f t="array" ref="BB35">_xlfn.XLOOKUP(
   $B$4&amp;" "&amp;$B35,
   Actuals!$D:$D,
   _xlfn.XLOOKUP(
      BB$7,
      Actuals!$H$3:$BM$3,
      Actuals!$H:$BM
   )
)</f>
        <v>38869.100000000006</v>
      </c>
      <c r="BC35" s="219">
        <f>VLOOKUP($B$4&amp;" "&amp;$B35,Budget!$AG$4:$AL$132,$BB$5+1,FALSE)</f>
        <v>80112</v>
      </c>
      <c r="BD35" s="219">
        <f t="shared" ref="BD35:BD39" si="21">IFERROR(BB35-BC35,"-")</f>
        <v>-41242.899999999994</v>
      </c>
      <c r="BE35" s="210"/>
      <c r="BF35" s="219" cm="1">
        <f t="array" ref="BF35">_xlfn.XLOOKUP(
   $B$4&amp;" "&amp;$B35,
   Actuals!$D:$D,
   _xlfn.XLOOKUP(
      BF$7,
      Actuals!$H$3:$BM$3,
      Actuals!$H:$BM
   )
)</f>
        <v>0</v>
      </c>
      <c r="BG35" s="219">
        <f>VLOOKUP($B$4&amp;" "&amp;$B35,Budget!$AG$4:$AL$132,BF$5+1,FALSE)</f>
        <v>19044</v>
      </c>
      <c r="BH35" s="219">
        <f t="shared" ref="BH35:BH39" si="22">IFERROR(BF35-BG35,"-")</f>
        <v>-19044</v>
      </c>
      <c r="BI35" s="210"/>
      <c r="BJ35" s="219" cm="1">
        <f t="array" ref="BJ35">_xlfn.XLOOKUP(
   $B$4&amp;" "&amp;$B35,
   Actuals!$D:$D,
   _xlfn.XLOOKUP(
      BJ$7,
      Actuals!$H$3:$BM$3,
      Actuals!$H:$BM
   )
)</f>
        <v>0</v>
      </c>
      <c r="BK35" s="219">
        <f>VLOOKUP($B$4&amp;" "&amp;$B35,Budget!$AG$4:$AL$132,BJ$5+1,FALSE)</f>
        <v>30904</v>
      </c>
      <c r="BL35" s="219">
        <f t="shared" ref="BL35:BL39" si="23">IFERROR(BJ35-BK35,"-")</f>
        <v>-30904</v>
      </c>
      <c r="BM35" s="210"/>
      <c r="BN35" s="210" cm="1">
        <f t="array" ref="BN35">_xlfn.XLOOKUP(
   $B$4&amp;" "&amp;$B35,
   Actuals!$D:$D,
   _xlfn.XLOOKUP(
      BN$7,
      Actuals!$H$3:$BM$3,
      Actuals!$H:$BM
   )
)</f>
        <v>0</v>
      </c>
      <c r="BO35" s="219">
        <f>VLOOKUP($B$4&amp;" "&amp;$B35,Budget!$AG$4:$AL$132,BN$5+1,FALSE)</f>
        <v>29584</v>
      </c>
      <c r="BP35" s="210"/>
      <c r="BQ35" s="210"/>
      <c r="BR35" s="219">
        <f ca="1">VLOOKUP($B$4&amp;" "&amp;$B35,Actuals!$BG$4:$BL$131,6,FALSE)</f>
        <v>38869.100000000006</v>
      </c>
      <c r="BS35" s="219">
        <f ca="1">VLOOKUP($B$4&amp;" "&amp;$B35,Budget!$AG$4:$AL$132,6,FALSE)</f>
        <v>165824</v>
      </c>
      <c r="BT35" s="219">
        <f t="shared" ca="1" si="20"/>
        <v>-126954.9</v>
      </c>
      <c r="BU35" s="210"/>
      <c r="BV35" s="219" cm="1">
        <f t="array" ref="BV35">_xlfn.XLOOKUP(
   $B$4&amp;" "&amp;$B35,
   Actuals!$D:$D,
   _xlfn.XLOOKUP(
      BV$6,
      Actuals!$H$3:$BM$3,
      Actuals!$H:$BM
   )
)</f>
        <v>104740.92000000001</v>
      </c>
      <c r="BW35" s="151"/>
    </row>
    <row r="36" spans="2:75" s="26" customFormat="1">
      <c r="B36" s="26" t="str">
        <f>Marketing!B44</f>
        <v>Mktg exp. per $1 ARR</v>
      </c>
      <c r="C36" s="139" t="str">
        <f>Marketing!C44</f>
        <v>L3M Avg</v>
      </c>
      <c r="D36" s="171" t="str">
        <f>VLOOKUP($B$4&amp;" "&amp;$B36,Actuals!$D$4:$AG$131,3,FALSE)</f>
        <v>$</v>
      </c>
      <c r="E36" s="281">
        <f>VLOOKUP($B$4&amp;" "&amp;$B36,Actuals!$D$4:$AG$131,MONTH(E$6)+4,FALSE)</f>
        <v>1.5924885714285715</v>
      </c>
      <c r="F36" s="281" t="str">
        <f>VLOOKUP($B$4&amp;" "&amp;$B36,Actuals!$D$4:$AG$131,MONTH(F$6)+4,FALSE)</f>
        <v>-</v>
      </c>
      <c r="G36" s="281">
        <f>VLOOKUP($B$4&amp;" "&amp;$B36,Actuals!$D$4:$AG$131,MONTH(G$6)+4,FALSE)</f>
        <v>0.45294985074626865</v>
      </c>
      <c r="H36" s="281">
        <f>VLOOKUP($B$4&amp;" "&amp;$B36,Actuals!$D$4:$AG$131,MONTH(H$6)+4,FALSE)</f>
        <v>6.7148207999999991</v>
      </c>
      <c r="I36" s="281" t="str">
        <f>VLOOKUP($B$4&amp;" "&amp;$B36,Actuals!$D$4:$AG$131,MONTH(I$6)+4,FALSE)</f>
        <v>-</v>
      </c>
      <c r="J36" s="281">
        <f>VLOOKUP($B$4&amp;" "&amp;$B36,Actuals!$D$4:$AG$131,MONTH(J$6)+4,FALSE)</f>
        <v>0.25770942317081674</v>
      </c>
      <c r="K36" s="281" t="str">
        <f>VLOOKUP($B$4&amp;" "&amp;$B36,Actuals!$D$4:$AG$131,MONTH(K$6)+4,FALSE)</f>
        <v>-</v>
      </c>
      <c r="L36" s="281">
        <f>VLOOKUP($B$4&amp;" "&amp;$B36,Actuals!$D$4:$AG$131,MONTH(L$6)+4,FALSE)</f>
        <v>0.15620077698793189</v>
      </c>
      <c r="M36" s="281">
        <f>VLOOKUP($B$4&amp;" "&amp;$B36,Actuals!$D$4:$AG$131,MONTH(M$6)+4,FALSE)</f>
        <v>9.4428049999999999</v>
      </c>
      <c r="N36" s="281" t="str">
        <f>VLOOKUP($B$4&amp;" "&amp;$B36,Actuals!$D$4:$AG$131,MONTH(N$6)+4,FALSE)</f>
        <v>-</v>
      </c>
      <c r="O36" s="281" t="str">
        <f>VLOOKUP($B$4&amp;" "&amp;$B36,Actuals!$D$4:$AG$131,MONTH(O$6)+4,FALSE)</f>
        <v>-</v>
      </c>
      <c r="P36" s="281" t="str">
        <f>VLOOKUP($B$4&amp;" "&amp;$B36,Actuals!$D$4:$AG$131,MONTH(P$6)+4,FALSE)</f>
        <v>-</v>
      </c>
      <c r="Q36" s="281" t="str">
        <f>VLOOKUP($B$4&amp;" "&amp;$B36,Actuals!$D$4:$AR$131,MONTH(Q$6)+16,FALSE)</f>
        <v>-</v>
      </c>
      <c r="R36" s="281" t="str">
        <f>VLOOKUP($B$4&amp;" "&amp;$B36,Actuals!$D$4:$AR$131,MONTH(R$6)+16,FALSE)</f>
        <v>-</v>
      </c>
      <c r="S36" s="281" t="str">
        <f>VLOOKUP($B$4&amp;" "&amp;$B36,Actuals!$D$4:$AR$131,MONTH(S$6)+16,FALSE)</f>
        <v>-</v>
      </c>
      <c r="T36" s="281" t="str">
        <f>VLOOKUP($B$4&amp;" "&amp;$B36,Actuals!$D$4:$AR$131,MONTH(T$6)+16,FALSE)</f>
        <v>-</v>
      </c>
      <c r="U36" s="281" t="str">
        <f>VLOOKUP($B$4&amp;" "&amp;$B36,Actuals!$D$4:$AR$131,MONTH(U$6)+16,FALSE)</f>
        <v>-</v>
      </c>
      <c r="V36" s="281" t="str">
        <f>VLOOKUP($B$4&amp;" "&amp;$B36,Actuals!$D$4:$AR$131,MONTH(V$6)+16,FALSE)</f>
        <v>-</v>
      </c>
      <c r="W36" s="281"/>
      <c r="X36" s="281"/>
      <c r="Y36" s="281"/>
      <c r="Z36" s="281"/>
      <c r="AA36" s="281"/>
      <c r="AB36" s="281"/>
      <c r="AC36" s="281" t="str" cm="1">
        <f t="array" ref="AC36">_xlfn.XLOOKUP(
   $B$4&amp;" "&amp;$B36,
   Actuals!$D:$D,
   _xlfn.XLOOKUP(
      AC$6,
      Actuals!$H$3:$BD$3,
      Actuals!$H:$BD
   )
)</f>
        <v>-</v>
      </c>
      <c r="AD36" s="281" t="str" cm="1">
        <f t="array" ref="AD36">_xlfn.XLOOKUP(
   $B$4&amp;" "&amp;$B36,
   Actuals!$D:$D,
   _xlfn.XLOOKUP(
      AD$6,
      Actuals!$H$3:$BD$3,
      Actuals!$H:$BD
   )
)</f>
        <v>-</v>
      </c>
      <c r="AE36" s="281" t="str" cm="1">
        <f t="array" ref="AE36">_xlfn.XLOOKUP(
   $B$4&amp;" "&amp;$B36,
   Actuals!$D:$D,
   _xlfn.XLOOKUP(
      AE$6,
      Actuals!$H$3:$BD$3,
      Actuals!$H:$BD
   )
)</f>
        <v>-</v>
      </c>
      <c r="AF36" s="281" t="str" cm="1">
        <f t="array" ref="AF36">_xlfn.XLOOKUP(
   $B$4&amp;" "&amp;$B36,
   Actuals!$D:$D,
   _xlfn.XLOOKUP(
      AF$6,
      Actuals!$H$3:$BD$3,
      Actuals!$H:$BD
   )
)</f>
        <v>-</v>
      </c>
      <c r="AG36" s="281" t="str" cm="1">
        <f t="array" ref="AG36">_xlfn.XLOOKUP(
   $B$4&amp;" "&amp;$B36,
   Actuals!$D:$D,
   _xlfn.XLOOKUP(
      AG$6,
      Actuals!$H$3:$BD$3,
      Actuals!$H:$BD
   )
)</f>
        <v>-</v>
      </c>
      <c r="AH36" s="281" cm="1">
        <f t="array" ref="AH36">_xlfn.XLOOKUP(
   $B$4&amp;" "&amp;$B36,
   Actuals!$D:$D,
   _xlfn.XLOOKUP(
      AH$6,
      Actuals!$H$3:$BD$3,
      Actuals!$H:$BD
   )
)</f>
        <v>0.81408920577500377</v>
      </c>
      <c r="AI36" s="281" cm="1">
        <f t="array" ref="AI36">_xlfn.XLOOKUP(
   $B$4&amp;" "&amp;$B36,
   Actuals!$D:$D,
   _xlfn.XLOOKUP(
      AI$6,
      Actuals!$H$3:$BD$3,
      Actuals!$H:$BD
   )
)</f>
        <v>3.8028142024764864</v>
      </c>
      <c r="AJ36" s="281" cm="1">
        <f t="array" ref="AJ36">_xlfn.XLOOKUP(
   $B$4&amp;" "&amp;$B36,
   Actuals!$D:$D,
   _xlfn.XLOOKUP(
      AJ$6,
      Actuals!$H$3:$BD$3,
      Actuals!$H:$BD
   )
)</f>
        <v>0.96021058612531285</v>
      </c>
      <c r="AK36" s="281" cm="1">
        <f t="array" ref="AK36">_xlfn.XLOOKUP(
   $B$4&amp;" "&amp;$B36,
   Actuals!$D:$D,
   _xlfn.XLOOKUP(
      AK$6,
      Actuals!$H$3:$BD$3,
      Actuals!$H:$BD
   )
)</f>
        <v>5.1723343572616844</v>
      </c>
      <c r="AL36" s="281" cm="1">
        <f t="array" ref="AL36">_xlfn.XLOOKUP(
   $B$4&amp;" "&amp;$B36,
   Actuals!$D:$D,
   _xlfn.XLOOKUP(
      AL$6,
      Actuals!$H$3:$BD$3,
      Actuals!$H:$BD
   )
)</f>
        <v>15.672173102502907</v>
      </c>
      <c r="AM36" s="281" cm="1">
        <f t="array" ref="AM36">_xlfn.XLOOKUP(
   $B$4&amp;" "&amp;$B36,
   Actuals!$D:$D,
   _xlfn.XLOOKUP(
      AM$6,
      Actuals!$H$3:$BD$3,
      Actuals!$H:$BD
   )
)</f>
        <v>10.552596555685291</v>
      </c>
      <c r="AN36" s="281" cm="1">
        <f t="array" ref="AN36">_xlfn.XLOOKUP(
   $B$4&amp;" "&amp;$B36,
   Actuals!$D:$D,
   _xlfn.XLOOKUP(
      AN$6,
      Actuals!$H$3:$BD$3,
      Actuals!$H:$BD
   )
)</f>
        <v>0.47722936662278259</v>
      </c>
      <c r="AO36" s="281" t="str" cm="1">
        <f t="array" ref="AO36">_xlfn.XLOOKUP(
   $B$4&amp;" "&amp;$B36,
   Actuals!$D:$D,
   _xlfn.XLOOKUP(
      AO$6,
      Actuals!$H$3:$BD$3,
      Actuals!$H:$BD
   )
)</f>
        <v>-</v>
      </c>
      <c r="AP36" s="281" t="str" cm="1">
        <f t="array" ref="AP36">_xlfn.XLOOKUP(
   $B$4&amp;" "&amp;$B36,
   Actuals!$D:$D,
   _xlfn.XLOOKUP(
      AP$6,
      Actuals!$H$3:$BD$3,
      Actuals!$H:$BD
   )
)</f>
        <v>-</v>
      </c>
      <c r="AQ36" s="281" t="str" cm="1">
        <f t="array" ref="AQ36">_xlfn.XLOOKUP(
   $B$4&amp;" "&amp;$B36,
   Actuals!$D:$D,
   _xlfn.XLOOKUP(
      AQ$6,
      Actuals!$H$3:$BD$3,
      Actuals!$H:$BD
   )
)</f>
        <v>-</v>
      </c>
      <c r="AR36" s="281" t="str" cm="1">
        <f t="array" ref="AR36">_xlfn.XLOOKUP(
   $B$4&amp;" "&amp;$B36,
   Actuals!$D:$D,
   _xlfn.XLOOKUP(
      AR$6,
      Actuals!$H$3:$BD$3,
      Actuals!$H:$BD
   )
)</f>
        <v>-</v>
      </c>
      <c r="AS36" s="281" t="str" cm="1">
        <f t="array" ref="AS36">_xlfn.XLOOKUP(
   $B$4&amp;" "&amp;$B36,
   Actuals!$D:$D,
   _xlfn.XLOOKUP(
      AS$6,
      Actuals!$H$3:$BD$3,
      Actuals!$H:$BD
   )
)</f>
        <v>-</v>
      </c>
      <c r="AT36" s="281" t="str" cm="1">
        <f t="array" ref="AT36">_xlfn.XLOOKUP(
   $B$4&amp;" "&amp;$B36,
   Actuals!$D:$D,
   _xlfn.XLOOKUP(
      AT$6,
      Actuals!$H$3:$BD$3,
      Actuals!$H:$BD
   )
)</f>
        <v>-</v>
      </c>
      <c r="AU36" s="281" t="str" cm="1">
        <f t="array" ref="AU36">_xlfn.XLOOKUP(
   $B$4&amp;" "&amp;$B36,
   Actuals!$D:$D,
   _xlfn.XLOOKUP(
      AU$6,
      Actuals!$H$3:$BD$3,
      Actuals!$H:$BD
   )
)</f>
        <v>-</v>
      </c>
      <c r="AV36" s="281" t="str" cm="1">
        <f t="array" ref="AV36">_xlfn.XLOOKUP(
   $B$4&amp;" "&amp;$B36,
   Actuals!$D:$D,
   _xlfn.XLOOKUP(
      AV$6,
      Actuals!$H$3:$BD$3,
      Actuals!$H:$BD
   )
)</f>
        <v>-</v>
      </c>
      <c r="AW36" s="281" t="str" cm="1">
        <f t="array" ref="AW36">_xlfn.XLOOKUP(
   $B$4&amp;" "&amp;$B36,
   Actuals!$D:$D,
   _xlfn.XLOOKUP(
      AW$6,
      Actuals!$H$3:$BD$3,
      Actuals!$H:$BD
   )
)</f>
        <v>-</v>
      </c>
      <c r="AX36" s="281" t="str" cm="1">
        <f t="array" ref="AX36">_xlfn.XLOOKUP(
   $B$4&amp;" "&amp;$B36,
   Actuals!$D:$D,
   _xlfn.XLOOKUP(
      AX$6,
      Actuals!$H$3:$BD$3,
      Actuals!$H:$BD
   )
)</f>
        <v>-</v>
      </c>
      <c r="AY36" s="281" t="str" cm="1">
        <f t="array" ref="AY36">_xlfn.XLOOKUP(
   $B$4&amp;" "&amp;$B36,
   Actuals!$D:$D,
   _xlfn.XLOOKUP(
      AY$6,
      Actuals!$H$3:$BD$3,
      Actuals!$H:$BD
   )
)</f>
        <v>-</v>
      </c>
      <c r="AZ36" s="281" t="str" cm="1">
        <f t="array" ref="AZ36">_xlfn.XLOOKUP(
   $B$4&amp;" "&amp;$B36,
   Actuals!$D:$D,
   _xlfn.XLOOKUP(
      AZ$6,
      Actuals!$H$3:$BD$3,
      Actuals!$H:$BD
   )
)</f>
        <v>-</v>
      </c>
      <c r="BA36" s="281"/>
      <c r="BB36" s="281" t="str" cm="1">
        <f t="array" ref="BB36">_xlfn.XLOOKUP(
   $B$4&amp;" "&amp;$B36,
   Actuals!$D:$D,
   _xlfn.XLOOKUP(
      BB$7,
      Actuals!$H$3:$BM$3,
      Actuals!$H:$BM
   )
)</f>
        <v>-</v>
      </c>
      <c r="BC36" s="281">
        <f>VLOOKUP($B$4&amp;" "&amp;$B36,Budget!$AG$4:$AL$132,$BB$5+1,FALSE)</f>
        <v>0.72768750000000004</v>
      </c>
      <c r="BD36" s="281" t="str">
        <f t="shared" si="21"/>
        <v>-</v>
      </c>
      <c r="BE36" s="281"/>
      <c r="BF36" s="281" t="str" cm="1">
        <f t="array" ref="BF36">_xlfn.XLOOKUP(
   $B$4&amp;" "&amp;$B36,
   Actuals!$D:$D,
   _xlfn.XLOOKUP(
      BF$7,
      Actuals!$H$3:$BM$3,
      Actuals!$H:$BM
   )
)</f>
        <v>-</v>
      </c>
      <c r="BG36" s="281">
        <f>VLOOKUP($B$4&amp;" "&amp;$B36,Budget!$AG$4:$AL$132,BF$5+1,FALSE)</f>
        <v>0.56194</v>
      </c>
      <c r="BH36" s="281" t="str">
        <f t="shared" si="22"/>
        <v>-</v>
      </c>
      <c r="BI36" s="281"/>
      <c r="BJ36" s="281" t="str" cm="1">
        <f t="array" ref="BJ36">_xlfn.XLOOKUP(
   $B$4&amp;" "&amp;$B36,
   Actuals!$D:$D,
   _xlfn.XLOOKUP(
      BJ$7,
      Actuals!$H$3:$BM$3,
      Actuals!$H:$BM
   )
)</f>
        <v>-</v>
      </c>
      <c r="BK36" s="281">
        <f>VLOOKUP($B$4&amp;" "&amp;$B36,Budget!$AG$4:$AL$132,BJ$5+1,FALSE)</f>
        <v>0.56002888888888891</v>
      </c>
      <c r="BL36" s="281" t="str">
        <f t="shared" si="23"/>
        <v>-</v>
      </c>
      <c r="BM36" s="281"/>
      <c r="BN36" s="281" t="str" cm="1">
        <f t="array" ref="BN36">_xlfn.XLOOKUP(
   $B$4&amp;" "&amp;$B36,
   Actuals!$D:$D,
   _xlfn.XLOOKUP(
      BN$7,
      Actuals!$H$3:$BM$3,
      Actuals!$H:$BM
   )
)</f>
        <v>-</v>
      </c>
      <c r="BO36" s="281">
        <f>VLOOKUP($B$4&amp;" "&amp;$B36,Budget!$AG$4:$AL$132,BN$5+1,FALSE)</f>
        <v>0.44255689655172414</v>
      </c>
      <c r="BP36" s="281"/>
      <c r="BQ36" s="281"/>
      <c r="BR36" s="281">
        <f ca="1">VLOOKUP($B$4&amp;" "&amp;$B36,Actuals!$BG$4:$BL$131,6,FALSE)</f>
        <v>3.1209539480374553</v>
      </c>
      <c r="BS36" s="281" t="e">
        <f ca="1">VLOOKUP($B$4&amp;" "&amp;$B36,Budget!$AG$4:$AL$132,6,FALSE)</f>
        <v>#DIV/0!</v>
      </c>
      <c r="BT36" s="281" t="e">
        <f t="shared" ca="1" si="20"/>
        <v>#DIV/0!</v>
      </c>
      <c r="BU36" s="281"/>
      <c r="BV36" s="281" t="str" cm="1">
        <f t="array" ref="BV36">_xlfn.XLOOKUP(
   $B$4&amp;" "&amp;$B36,
   Actuals!$D:$D,
   _xlfn.XLOOKUP(
      BV$6,
      Actuals!$H$3:$BM$3,
      Actuals!$H:$BM
   )
)</f>
        <v/>
      </c>
      <c r="BW36" s="151"/>
    </row>
    <row r="37" spans="2:75" s="26" customFormat="1">
      <c r="B37" s="26" t="str">
        <f>'Sales old)'!$B$44</f>
        <v>Sales exp. per $1 ARR</v>
      </c>
      <c r="C37" s="139" t="str">
        <f>'Sales old)'!C44</f>
        <v>L3M Avg</v>
      </c>
      <c r="D37" s="171" t="str">
        <f>VLOOKUP($B$4&amp;" "&amp;$B37,Actuals!$D$4:$AG$131,3,FALSE)</f>
        <v>$</v>
      </c>
      <c r="E37" s="281">
        <f>VLOOKUP($B$4&amp;" "&amp;$B37,Actuals!$D$4:$AG$131,MONTH(E$6)+4,FALSE)</f>
        <v>2.7599495918367345</v>
      </c>
      <c r="F37" s="281" t="str">
        <f>VLOOKUP($B$4&amp;" "&amp;$B37,Actuals!$D$4:$AG$131,MONTH(F$6)+4,FALSE)</f>
        <v>-</v>
      </c>
      <c r="G37" s="281">
        <f>VLOOKUP($B$4&amp;" "&amp;$B37,Actuals!$D$4:$AG$131,MONTH(G$6)+4,FALSE)</f>
        <v>2.1003974626865674</v>
      </c>
      <c r="H37" s="281">
        <f>VLOOKUP($B$4&amp;" "&amp;$B37,Actuals!$D$4:$AG$131,MONTH(H$6)+4,FALSE)</f>
        <v>23.8097952</v>
      </c>
      <c r="I37" s="281" t="str">
        <f>VLOOKUP($B$4&amp;" "&amp;$B37,Actuals!$D$4:$AG$131,MONTH(I$6)+4,FALSE)</f>
        <v>-</v>
      </c>
      <c r="J37" s="281">
        <f>VLOOKUP($B$4&amp;" "&amp;$B37,Actuals!$D$4:$AG$131,MONTH(J$6)+4,FALSE)</f>
        <v>0.67990830252726042</v>
      </c>
      <c r="K37" s="281" t="str">
        <f>VLOOKUP($B$4&amp;" "&amp;$B37,Actuals!$D$4:$AG$131,MONTH(K$6)+4,FALSE)</f>
        <v>-</v>
      </c>
      <c r="L37" s="281">
        <f>VLOOKUP($B$4&amp;" "&amp;$B37,Actuals!$D$4:$AG$131,MONTH(L$6)+4,FALSE)</f>
        <v>0.35496666115611397</v>
      </c>
      <c r="M37" s="281">
        <f>VLOOKUP($B$4&amp;" "&amp;$B37,Actuals!$D$4:$AG$131,MONTH(M$6)+4,FALSE)</f>
        <v>11.254523999999998</v>
      </c>
      <c r="N37" s="281" t="str">
        <f>VLOOKUP($B$4&amp;" "&amp;$B37,Actuals!$D$4:$AG$131,MONTH(N$6)+4,FALSE)</f>
        <v>-</v>
      </c>
      <c r="O37" s="281" t="str">
        <f>VLOOKUP($B$4&amp;" "&amp;$B37,Actuals!$D$4:$AG$131,MONTH(O$6)+4,FALSE)</f>
        <v>-</v>
      </c>
      <c r="P37" s="281" t="str">
        <f>VLOOKUP($B$4&amp;" "&amp;$B37,Actuals!$D$4:$AG$131,MONTH(P$6)+4,FALSE)</f>
        <v>-</v>
      </c>
      <c r="Q37" s="281" t="str">
        <f>VLOOKUP($B$4&amp;" "&amp;$B37,Actuals!$D$4:$AR$131,MONTH(Q$6)+16,FALSE)</f>
        <v>-</v>
      </c>
      <c r="R37" s="281" t="str">
        <f>VLOOKUP($B$4&amp;" "&amp;$B37,Actuals!$D$4:$AR$131,MONTH(R$6)+16,FALSE)</f>
        <v>-</v>
      </c>
      <c r="S37" s="281" t="str">
        <f>VLOOKUP($B$4&amp;" "&amp;$B37,Actuals!$D$4:$AR$131,MONTH(S$6)+16,FALSE)</f>
        <v>-</v>
      </c>
      <c r="T37" s="281" t="str">
        <f>VLOOKUP($B$4&amp;" "&amp;$B37,Actuals!$D$4:$AR$131,MONTH(T$6)+16,FALSE)</f>
        <v>-</v>
      </c>
      <c r="U37" s="281" t="str">
        <f>VLOOKUP($B$4&amp;" "&amp;$B37,Actuals!$D$4:$AR$131,MONTH(U$6)+16,FALSE)</f>
        <v>-</v>
      </c>
      <c r="V37" s="281" t="str">
        <f>VLOOKUP($B$4&amp;" "&amp;$B37,Actuals!$D$4:$AR$131,MONTH(V$6)+16,FALSE)</f>
        <v>-</v>
      </c>
      <c r="W37" s="281"/>
      <c r="X37" s="281"/>
      <c r="Y37" s="281"/>
      <c r="Z37" s="281"/>
      <c r="AA37" s="281"/>
      <c r="AB37" s="281"/>
      <c r="AC37" s="281" t="str" cm="1">
        <f t="array" ref="AC37">_xlfn.XLOOKUP(
   $B$4&amp;" "&amp;$B37,
   Actuals!$D:$D,
   _xlfn.XLOOKUP(
      AC$6,
      Actuals!$H$3:$BD$3,
      Actuals!$H:$BD
   )
)</f>
        <v>-</v>
      </c>
      <c r="AD37" s="281" t="str" cm="1">
        <f t="array" ref="AD37">_xlfn.XLOOKUP(
   $B$4&amp;" "&amp;$B37,
   Actuals!$D:$D,
   _xlfn.XLOOKUP(
      AD$6,
      Actuals!$H$3:$BD$3,
      Actuals!$H:$BD
   )
)</f>
        <v>-</v>
      </c>
      <c r="AE37" s="281" t="str" cm="1">
        <f t="array" ref="AE37">_xlfn.XLOOKUP(
   $B$4&amp;" "&amp;$B37,
   Actuals!$D:$D,
   _xlfn.XLOOKUP(
      AE$6,
      Actuals!$H$3:$BD$3,
      Actuals!$H:$BD
   )
)</f>
        <v>-</v>
      </c>
      <c r="AF37" s="281" t="str" cm="1">
        <f t="array" ref="AF37">_xlfn.XLOOKUP(
   $B$4&amp;" "&amp;$B37,
   Actuals!$D:$D,
   _xlfn.XLOOKUP(
      AF$6,
      Actuals!$H$3:$BD$3,
      Actuals!$H:$BD
   )
)</f>
        <v>-</v>
      </c>
      <c r="AG37" s="281" t="str" cm="1">
        <f t="array" ref="AG37">_xlfn.XLOOKUP(
   $B$4&amp;" "&amp;$B37,
   Actuals!$D:$D,
   _xlfn.XLOOKUP(
      AG$6,
      Actuals!$H$3:$BD$3,
      Actuals!$H:$BD
   )
)</f>
        <v>-</v>
      </c>
      <c r="AH37" s="281" cm="1">
        <f t="array" ref="AH37">_xlfn.XLOOKUP(
   $B$4&amp;" "&amp;$B37,
   Actuals!$D:$D,
   _xlfn.XLOOKUP(
      AH$6,
      Actuals!$H$3:$BD$3,
      Actuals!$H:$BD
   )
)</f>
        <v>0.53669345311846994</v>
      </c>
      <c r="AI37" s="281" cm="1">
        <f t="array" ref="AI37">_xlfn.XLOOKUP(
   $B$4&amp;" "&amp;$B37,
   Actuals!$D:$D,
   _xlfn.XLOOKUP(
      AI$6,
      Actuals!$H$3:$BD$3,
      Actuals!$H:$BD
   )
)</f>
        <v>2.5070292928796527</v>
      </c>
      <c r="AJ37" s="281" cm="1">
        <f t="array" ref="AJ37">_xlfn.XLOOKUP(
   $B$4&amp;" "&amp;$B37,
   Actuals!$D:$D,
   _xlfn.XLOOKUP(
      AJ$6,
      Actuals!$H$3:$BD$3,
      Actuals!$H:$BD
   )
)</f>
        <v>0.63302489645211235</v>
      </c>
      <c r="AK37" s="281" cm="1">
        <f t="array" ref="AK37">_xlfn.XLOOKUP(
   $B$4&amp;" "&amp;$B37,
   Actuals!$D:$D,
   _xlfn.XLOOKUP(
      AK$6,
      Actuals!$H$3:$BD$3,
      Actuals!$H:$BD
   )
)</f>
        <v>3.4098941088887122</v>
      </c>
      <c r="AL37" s="281" cm="1">
        <f t="array" ref="AL37">_xlfn.XLOOKUP(
   $B$4&amp;" "&amp;$B37,
   Actuals!$D:$D,
   _xlfn.XLOOKUP(
      AL$6,
      Actuals!$H$3:$BD$3,
      Actuals!$H:$BD
   )
)</f>
        <v>10.331979149932797</v>
      </c>
      <c r="AM37" s="281" cm="1">
        <f t="array" ref="AM37">_xlfn.XLOOKUP(
   $B$4&amp;" "&amp;$B37,
   Actuals!$D:$D,
   _xlfn.XLOOKUP(
      AM$6,
      Actuals!$H$3:$BD$3,
      Actuals!$H:$BD
   )
)</f>
        <v>6.9568659609547492</v>
      </c>
      <c r="AN37" s="281" cm="1">
        <f t="array" ref="AN37">_xlfn.XLOOKUP(
   $B$4&amp;" "&amp;$B37,
   Actuals!$D:$D,
   _xlfn.XLOOKUP(
      AN$6,
      Actuals!$H$3:$BD$3,
      Actuals!$H:$BD
   )
)</f>
        <v>0.31461647554765509</v>
      </c>
      <c r="AO37" s="281" t="str" cm="1">
        <f t="array" ref="AO37">_xlfn.XLOOKUP(
   $B$4&amp;" "&amp;$B37,
   Actuals!$D:$D,
   _xlfn.XLOOKUP(
      AO$6,
      Actuals!$H$3:$BD$3,
      Actuals!$H:$BD
   )
)</f>
        <v>-</v>
      </c>
      <c r="AP37" s="281" t="str" cm="1">
        <f t="array" ref="AP37">_xlfn.XLOOKUP(
   $B$4&amp;" "&amp;$B37,
   Actuals!$D:$D,
   _xlfn.XLOOKUP(
      AP$6,
      Actuals!$H$3:$BD$3,
      Actuals!$H:$BD
   )
)</f>
        <v>-</v>
      </c>
      <c r="AQ37" s="281" t="str" cm="1">
        <f t="array" ref="AQ37">_xlfn.XLOOKUP(
   $B$4&amp;" "&amp;$B37,
   Actuals!$D:$D,
   _xlfn.XLOOKUP(
      AQ$6,
      Actuals!$H$3:$BD$3,
      Actuals!$H:$BD
   )
)</f>
        <v>-</v>
      </c>
      <c r="AR37" s="281" t="str" cm="1">
        <f t="array" ref="AR37">_xlfn.XLOOKUP(
   $B$4&amp;" "&amp;$B37,
   Actuals!$D:$D,
   _xlfn.XLOOKUP(
      AR$6,
      Actuals!$H$3:$BD$3,
      Actuals!$H:$BD
   )
)</f>
        <v>-</v>
      </c>
      <c r="AS37" s="281" t="str" cm="1">
        <f t="array" ref="AS37">_xlfn.XLOOKUP(
   $B$4&amp;" "&amp;$B37,
   Actuals!$D:$D,
   _xlfn.XLOOKUP(
      AS$6,
      Actuals!$H$3:$BD$3,
      Actuals!$H:$BD
   )
)</f>
        <v>-</v>
      </c>
      <c r="AT37" s="281" t="str" cm="1">
        <f t="array" ref="AT37">_xlfn.XLOOKUP(
   $B$4&amp;" "&amp;$B37,
   Actuals!$D:$D,
   _xlfn.XLOOKUP(
      AT$6,
      Actuals!$H$3:$BD$3,
      Actuals!$H:$BD
   )
)</f>
        <v>-</v>
      </c>
      <c r="AU37" s="281" t="str" cm="1">
        <f t="array" ref="AU37">_xlfn.XLOOKUP(
   $B$4&amp;" "&amp;$B37,
   Actuals!$D:$D,
   _xlfn.XLOOKUP(
      AU$6,
      Actuals!$H$3:$BD$3,
      Actuals!$H:$BD
   )
)</f>
        <v>-</v>
      </c>
      <c r="AV37" s="281" t="str" cm="1">
        <f t="array" ref="AV37">_xlfn.XLOOKUP(
   $B$4&amp;" "&amp;$B37,
   Actuals!$D:$D,
   _xlfn.XLOOKUP(
      AV$6,
      Actuals!$H$3:$BD$3,
      Actuals!$H:$BD
   )
)</f>
        <v>-</v>
      </c>
      <c r="AW37" s="281" t="str" cm="1">
        <f t="array" ref="AW37">_xlfn.XLOOKUP(
   $B$4&amp;" "&amp;$B37,
   Actuals!$D:$D,
   _xlfn.XLOOKUP(
      AW$6,
      Actuals!$H$3:$BD$3,
      Actuals!$H:$BD
   )
)</f>
        <v>-</v>
      </c>
      <c r="AX37" s="281" t="str" cm="1">
        <f t="array" ref="AX37">_xlfn.XLOOKUP(
   $B$4&amp;" "&amp;$B37,
   Actuals!$D:$D,
   _xlfn.XLOOKUP(
      AX$6,
      Actuals!$H$3:$BD$3,
      Actuals!$H:$BD
   )
)</f>
        <v>-</v>
      </c>
      <c r="AY37" s="281" t="str" cm="1">
        <f t="array" ref="AY37">_xlfn.XLOOKUP(
   $B$4&amp;" "&amp;$B37,
   Actuals!$D:$D,
   _xlfn.XLOOKUP(
      AY$6,
      Actuals!$H$3:$BD$3,
      Actuals!$H:$BD
   )
)</f>
        <v>-</v>
      </c>
      <c r="AZ37" s="281" t="str" cm="1">
        <f t="array" ref="AZ37">_xlfn.XLOOKUP(
   $B$4&amp;" "&amp;$B37,
   Actuals!$D:$D,
   _xlfn.XLOOKUP(
      AZ$6,
      Actuals!$H$3:$BD$3,
      Actuals!$H:$BD
   )
)</f>
        <v>-</v>
      </c>
      <c r="BA37" s="281"/>
      <c r="BB37" s="281" t="str" cm="1">
        <f t="array" ref="BB37">_xlfn.XLOOKUP(
   $B$4&amp;" "&amp;$B37,
   Actuals!$D:$D,
   _xlfn.XLOOKUP(
      BB$7,
      Actuals!$H$3:$BM$3,
      Actuals!$H:$BM
   )
)</f>
        <v>-</v>
      </c>
      <c r="BC37" s="281">
        <f>VLOOKUP($B$4&amp;" "&amp;$B37,Budget!$AG$4:$AL$132,$BB$5+1,FALSE)</f>
        <v>1.3836312500000001</v>
      </c>
      <c r="BD37" s="281" t="str">
        <f t="shared" si="21"/>
        <v>-</v>
      </c>
      <c r="BE37" s="281"/>
      <c r="BF37" s="281" t="str" cm="1">
        <f t="array" ref="BF37">_xlfn.XLOOKUP(
   $B$4&amp;" "&amp;$B37,
   Actuals!$D:$D,
   _xlfn.XLOOKUP(
      BF$7,
      Actuals!$H$3:$BM$3,
      Actuals!$H:$BM
   )
)</f>
        <v>-</v>
      </c>
      <c r="BG37" s="281">
        <f>VLOOKUP($B$4&amp;" "&amp;$B37,Budget!$AG$4:$AL$132,BF$5+1,FALSE)</f>
        <v>0.89233333333333331</v>
      </c>
      <c r="BH37" s="281" t="str">
        <f t="shared" si="22"/>
        <v>-</v>
      </c>
      <c r="BI37" s="281"/>
      <c r="BJ37" s="281" t="str" cm="1">
        <f t="array" ref="BJ37">_xlfn.XLOOKUP(
   $B$4&amp;" "&amp;$B37,
   Actuals!$D:$D,
   _xlfn.XLOOKUP(
      BJ$7,
      Actuals!$H$3:$BM$3,
      Actuals!$H:$BM
   )
)</f>
        <v>-</v>
      </c>
      <c r="BK37" s="281">
        <f>VLOOKUP($B$4&amp;" "&amp;$B37,Budget!$AG$4:$AL$132,BJ$5+1,FALSE)</f>
        <v>0.91150222222222221</v>
      </c>
      <c r="BL37" s="281" t="str">
        <f t="shared" si="23"/>
        <v>-</v>
      </c>
      <c r="BM37" s="281"/>
      <c r="BN37" s="281" t="str" cm="1">
        <f t="array" ref="BN37">_xlfn.XLOOKUP(
   $B$4&amp;" "&amp;$B37,
   Actuals!$D:$D,
   _xlfn.XLOOKUP(
      BN$7,
      Actuals!$H$3:$BM$3,
      Actuals!$H:$BM
   )
)</f>
        <v>-</v>
      </c>
      <c r="BO37" s="281">
        <f>VLOOKUP($B$4&amp;" "&amp;$B37,Budget!$AG$4:$AL$132,BN$5+1,FALSE)</f>
        <v>0.70687758620689656</v>
      </c>
      <c r="BP37" s="281"/>
      <c r="BQ37" s="281"/>
      <c r="BR37" s="281">
        <f ca="1">VLOOKUP($B$4&amp;" "&amp;$B37,Actuals!$BG$4:$BL$131,6,FALSE)</f>
        <v>2.0575086114811794</v>
      </c>
      <c r="BS37" s="281" t="e">
        <f ca="1">VLOOKUP($B$4&amp;" "&amp;$B37,Budget!$AG$4:$AL$132,6,FALSE)</f>
        <v>#DIV/0!</v>
      </c>
      <c r="BT37" s="281" t="e">
        <f t="shared" ca="1" si="20"/>
        <v>#DIV/0!</v>
      </c>
      <c r="BU37" s="281"/>
      <c r="BV37" s="281" t="str" cm="1">
        <f t="array" ref="BV37">_xlfn.XLOOKUP(
   $B$4&amp;" "&amp;$B37,
   Actuals!$D:$D,
   _xlfn.XLOOKUP(
      BV$6,
      Actuals!$H$3:$BM$3,
      Actuals!$H:$BM
   )
)</f>
        <v/>
      </c>
      <c r="BW37" s="151"/>
    </row>
    <row r="38" spans="2:75" s="26" customFormat="1">
      <c r="B38" s="26" t="str">
        <f>'Customer Success'!$B$45</f>
        <v>C.S. exp. per $1 ARR</v>
      </c>
      <c r="C38" s="139" t="str">
        <f>'Customer Success'!C45</f>
        <v>In-period</v>
      </c>
      <c r="D38" s="171" t="str">
        <f>VLOOKUP($B$4&amp;" "&amp;$B38,Actuals!$D$4:$AG$131,3,FALSE)</f>
        <v>$</v>
      </c>
      <c r="E38" s="281">
        <f>VLOOKUP($B$4&amp;" "&amp;$B38,Actuals!$D$4:$AG$131,MONTH(E$6)+4,FALSE)</f>
        <v>0.70142748247717845</v>
      </c>
      <c r="F38" s="281">
        <f>VLOOKUP($B$4&amp;" "&amp;$B38,Actuals!$D$4:$AG$131,MONTH(F$6)+4,FALSE)</f>
        <v>0.38906501588230036</v>
      </c>
      <c r="G38" s="281">
        <f>VLOOKUP($B$4&amp;" "&amp;$B38,Actuals!$D$4:$AG$131,MONTH(G$6)+4,FALSE)</f>
        <v>0.32216910077858635</v>
      </c>
      <c r="H38" s="281">
        <f>VLOOKUP($B$4&amp;" "&amp;$B38,Actuals!$D$4:$AG$131,MONTH(H$6)+4,FALSE)</f>
        <v>0.1909631196353033</v>
      </c>
      <c r="I38" s="281">
        <f>VLOOKUP($B$4&amp;" "&amp;$B38,Actuals!$D$4:$AG$131,MONTH(I$6)+4,FALSE)</f>
        <v>1.141821523640512</v>
      </c>
      <c r="J38" s="281">
        <f>VLOOKUP($B$4&amp;" "&amp;$B38,Actuals!$D$4:$AG$131,MONTH(J$6)+4,FALSE)</f>
        <v>1.1786339267985968</v>
      </c>
      <c r="K38" s="281">
        <f>VLOOKUP($B$4&amp;" "&amp;$B38,Actuals!$D$4:$AG$131,MONTH(K$6)+4,FALSE)</f>
        <v>4.6241968000000009</v>
      </c>
      <c r="L38" s="281">
        <f>VLOOKUP($B$4&amp;" "&amp;$B38,Actuals!$D$4:$AG$131,MONTH(L$6)+4,FALSE)</f>
        <v>7.0971019296791757</v>
      </c>
      <c r="M38" s="281">
        <f>VLOOKUP($B$4&amp;" "&amp;$B38,Actuals!$D$4:$AG$131,MONTH(M$6)+4,FALSE)</f>
        <v>0.63240619044869206</v>
      </c>
      <c r="N38" s="281">
        <f>VLOOKUP($B$4&amp;" "&amp;$B38,Actuals!$D$4:$AG$131,MONTH(N$6)+4,FALSE)</f>
        <v>0.4985853467458975</v>
      </c>
      <c r="O38" s="281" t="e">
        <f>VLOOKUP($B$4&amp;" "&amp;$B38,Actuals!$D$4:$AG$131,MONTH(O$6)+4,FALSE)</f>
        <v>#DIV/0!</v>
      </c>
      <c r="P38" s="281" t="e">
        <f>VLOOKUP($B$4&amp;" "&amp;$B38,Actuals!$D$4:$AG$131,MONTH(P$6)+4,FALSE)</f>
        <v>#DIV/0!</v>
      </c>
      <c r="Q38" s="281" t="e">
        <f>VLOOKUP($B$4&amp;" "&amp;$B38,Actuals!$D$4:$AR$131,MONTH(Q$6)+16,FALSE)</f>
        <v>#DIV/0!</v>
      </c>
      <c r="R38" s="281" t="e">
        <f>VLOOKUP($B$4&amp;" "&amp;$B38,Actuals!$D$4:$AR$131,MONTH(R$6)+16,FALSE)</f>
        <v>#DIV/0!</v>
      </c>
      <c r="S38" s="281" t="e">
        <f>VLOOKUP($B$4&amp;" "&amp;$B38,Actuals!$D$4:$AR$131,MONTH(S$6)+16,FALSE)</f>
        <v>#DIV/0!</v>
      </c>
      <c r="T38" s="281" t="e">
        <f>VLOOKUP($B$4&amp;" "&amp;$B38,Actuals!$D$4:$AR$131,MONTH(T$6)+16,FALSE)</f>
        <v>#DIV/0!</v>
      </c>
      <c r="U38" s="281" t="e">
        <f>VLOOKUP($B$4&amp;" "&amp;$B38,Actuals!$D$4:$AR$131,MONTH(U$6)+16,FALSE)</f>
        <v>#DIV/0!</v>
      </c>
      <c r="V38" s="281" t="e">
        <f>VLOOKUP($B$4&amp;" "&amp;$B38,Actuals!$D$4:$AR$131,MONTH(V$6)+16,FALSE)</f>
        <v>#DIV/0!</v>
      </c>
      <c r="W38" s="281"/>
      <c r="X38" s="281"/>
      <c r="Y38" s="281"/>
      <c r="Z38" s="281"/>
      <c r="AA38" s="281"/>
      <c r="AB38" s="281"/>
      <c r="AC38" s="281" cm="1">
        <f t="array" ref="AC38">_xlfn.XLOOKUP(
   $B$4&amp;" "&amp;$B38,
   Actuals!$D:$D,
   _xlfn.XLOOKUP(
      AC$6,
      Actuals!$H$3:$BD$3,
      Actuals!$H:$BD
   )
)</f>
        <v>4.1611993040096209</v>
      </c>
      <c r="AD38" s="281" cm="1">
        <f t="array" ref="AD38">_xlfn.XLOOKUP(
   $B$4&amp;" "&amp;$B38,
   Actuals!$D:$D,
   _xlfn.XLOOKUP(
      AD$6,
      Actuals!$H$3:$BD$3,
      Actuals!$H:$BD
   )
)</f>
        <v>5.1667212425290971</v>
      </c>
      <c r="AE38" s="281" cm="1">
        <f t="array" ref="AE38">_xlfn.XLOOKUP(
   $B$4&amp;" "&amp;$B38,
   Actuals!$D:$D,
   _xlfn.XLOOKUP(
      AE$6,
      Actuals!$H$3:$BD$3,
      Actuals!$H:$BD
   )
)</f>
        <v>2.3919320796827335</v>
      </c>
      <c r="AF38" s="281" cm="1">
        <f t="array" ref="AF38">_xlfn.XLOOKUP(
   $B$4&amp;" "&amp;$B38,
   Actuals!$D:$D,
   _xlfn.XLOOKUP(
      AF$6,
      Actuals!$H$3:$BD$3,
      Actuals!$H:$BD
   )
)</f>
        <v>5.5850498224276661</v>
      </c>
      <c r="AG38" s="281" cm="1">
        <f t="array" ref="AG38">_xlfn.XLOOKUP(
   $B$4&amp;" "&amp;$B38,
   Actuals!$D:$D,
   _xlfn.XLOOKUP(
      AG$6,
      Actuals!$H$3:$BD$3,
      Actuals!$H:$BD
   )
)</f>
        <v>3.4657780294003091</v>
      </c>
      <c r="AH38" s="281" cm="1">
        <f t="array" ref="AH38">_xlfn.XLOOKUP(
   $B$4&amp;" "&amp;$B38,
   Actuals!$D:$D,
   _xlfn.XLOOKUP(
      AH$6,
      Actuals!$H$3:$BD$3,
      Actuals!$H:$BD
   )
)</f>
        <v>3.9676698016563874</v>
      </c>
      <c r="AI38" s="281" cm="1">
        <f t="array" ref="AI38">_xlfn.XLOOKUP(
   $B$4&amp;" "&amp;$B38,
   Actuals!$D:$D,
   _xlfn.XLOOKUP(
      AI$6,
      Actuals!$H$3:$BD$3,
      Actuals!$H:$BD
   )
)</f>
        <v>3.817440404080215</v>
      </c>
      <c r="AJ38" s="281" cm="1">
        <f t="array" ref="AJ38">_xlfn.XLOOKUP(
   $B$4&amp;" "&amp;$B38,
   Actuals!$D:$D,
   _xlfn.XLOOKUP(
      AJ$6,
      Actuals!$H$3:$BD$3,
      Actuals!$H:$BD
   )
)</f>
        <v>8.3515435558374431</v>
      </c>
      <c r="AK38" s="281" cm="1">
        <f t="array" ref="AK38">_xlfn.XLOOKUP(
   $B$4&amp;" "&amp;$B38,
   Actuals!$D:$D,
   _xlfn.XLOOKUP(
      AK$6,
      Actuals!$H$3:$BD$3,
      Actuals!$H:$BD
   )
)</f>
        <v>3.1446125859003731</v>
      </c>
      <c r="AL38" s="281" cm="1">
        <f t="array" ref="AL38">_xlfn.XLOOKUP(
   $B$4&amp;" "&amp;$B38,
   Actuals!$D:$D,
   _xlfn.XLOOKUP(
      AL$6,
      Actuals!$H$3:$BD$3,
      Actuals!$H:$BD
   )
)</f>
        <v>8.8215101606251913</v>
      </c>
      <c r="AM38" s="281" cm="1">
        <f t="array" ref="AM38">_xlfn.XLOOKUP(
   $B$4&amp;" "&amp;$B38,
   Actuals!$D:$D,
   _xlfn.XLOOKUP(
      AM$6,
      Actuals!$H$3:$BD$3,
      Actuals!$H:$BD
   )
)</f>
        <v>15.296141070939234</v>
      </c>
      <c r="AN38" s="281" cm="1">
        <f t="array" ref="AN38">_xlfn.XLOOKUP(
   $B$4&amp;" "&amp;$B38,
   Actuals!$D:$D,
   _xlfn.XLOOKUP(
      AN$6,
      Actuals!$H$3:$BD$3,
      Actuals!$H:$BD
   )
)</f>
        <v>13.805680988014112</v>
      </c>
      <c r="AO38" s="281" cm="1">
        <f t="array" ref="AO38">_xlfn.XLOOKUP(
   $B$4&amp;" "&amp;$B38,
   Actuals!$D:$D,
   _xlfn.XLOOKUP(
      AO$6,
      Actuals!$H$3:$BD$3,
      Actuals!$H:$BD
   )
)</f>
        <v>0</v>
      </c>
      <c r="AP38" s="281" cm="1">
        <f t="array" ref="AP38">_xlfn.XLOOKUP(
   $B$4&amp;" "&amp;$B38,
   Actuals!$D:$D,
   _xlfn.XLOOKUP(
      AP$6,
      Actuals!$H$3:$BD$3,
      Actuals!$H:$BD
   )
)</f>
        <v>0</v>
      </c>
      <c r="AQ38" s="281" cm="1">
        <f t="array" ref="AQ38">_xlfn.XLOOKUP(
   $B$4&amp;" "&amp;$B38,
   Actuals!$D:$D,
   _xlfn.XLOOKUP(
      AQ$6,
      Actuals!$H$3:$BD$3,
      Actuals!$H:$BD
   )
)</f>
        <v>0</v>
      </c>
      <c r="AR38" s="281" cm="1">
        <f t="array" ref="AR38">_xlfn.XLOOKUP(
   $B$4&amp;" "&amp;$B38,
   Actuals!$D:$D,
   _xlfn.XLOOKUP(
      AR$6,
      Actuals!$H$3:$BD$3,
      Actuals!$H:$BD
   )
)</f>
        <v>0</v>
      </c>
      <c r="AS38" s="281" cm="1">
        <f t="array" ref="AS38">_xlfn.XLOOKUP(
   $B$4&amp;" "&amp;$B38,
   Actuals!$D:$D,
   _xlfn.XLOOKUP(
      AS$6,
      Actuals!$H$3:$BD$3,
      Actuals!$H:$BD
   )
)</f>
        <v>0</v>
      </c>
      <c r="AT38" s="281" cm="1">
        <f t="array" ref="AT38">_xlfn.XLOOKUP(
   $B$4&amp;" "&amp;$B38,
   Actuals!$D:$D,
   _xlfn.XLOOKUP(
      AT$6,
      Actuals!$H$3:$BD$3,
      Actuals!$H:$BD
   )
)</f>
        <v>0</v>
      </c>
      <c r="AU38" s="281" cm="1">
        <f t="array" ref="AU38">_xlfn.XLOOKUP(
   $B$4&amp;" "&amp;$B38,
   Actuals!$D:$D,
   _xlfn.XLOOKUP(
      AU$6,
      Actuals!$H$3:$BD$3,
      Actuals!$H:$BD
   )
)</f>
        <v>0</v>
      </c>
      <c r="AV38" s="281" cm="1">
        <f t="array" ref="AV38">_xlfn.XLOOKUP(
   $B$4&amp;" "&amp;$B38,
   Actuals!$D:$D,
   _xlfn.XLOOKUP(
      AV$6,
      Actuals!$H$3:$BD$3,
      Actuals!$H:$BD
   )
)</f>
        <v>0</v>
      </c>
      <c r="AW38" s="281" cm="1">
        <f t="array" ref="AW38">_xlfn.XLOOKUP(
   $B$4&amp;" "&amp;$B38,
   Actuals!$D:$D,
   _xlfn.XLOOKUP(
      AW$6,
      Actuals!$H$3:$BD$3,
      Actuals!$H:$BD
   )
)</f>
        <v>0</v>
      </c>
      <c r="AX38" s="281" cm="1">
        <f t="array" ref="AX38">_xlfn.XLOOKUP(
   $B$4&amp;" "&amp;$B38,
   Actuals!$D:$D,
   _xlfn.XLOOKUP(
      AX$6,
      Actuals!$H$3:$BD$3,
      Actuals!$H:$BD
   )
)</f>
        <v>0</v>
      </c>
      <c r="AY38" s="281" cm="1">
        <f t="array" ref="AY38">_xlfn.XLOOKUP(
   $B$4&amp;" "&amp;$B38,
   Actuals!$D:$D,
   _xlfn.XLOOKUP(
      AY$6,
      Actuals!$H$3:$BD$3,
      Actuals!$H:$BD
   )
)</f>
        <v>0</v>
      </c>
      <c r="AZ38" s="281" cm="1">
        <f t="array" ref="AZ38">_xlfn.XLOOKUP(
   $B$4&amp;" "&amp;$B38,
   Actuals!$D:$D,
   _xlfn.XLOOKUP(
      AZ$6,
      Actuals!$H$3:$BD$3,
      Actuals!$H:$BD
   )
)</f>
        <v>0</v>
      </c>
      <c r="BA38" s="281"/>
      <c r="BB38" s="281" t="str" cm="1">
        <f t="array" ref="BB38">_xlfn.XLOOKUP(
   $B$4&amp;" "&amp;$B38,
   Actuals!$D:$D,
   _xlfn.XLOOKUP(
      BB$7,
      Actuals!$H$3:$BM$3,
      Actuals!$H:$BM
   )
)</f>
        <v>-</v>
      </c>
      <c r="BC38" s="281">
        <f>VLOOKUP($B$4&amp;" "&amp;$B38,Budget!$AG$4:$AL$132,$BB$5+1,FALSE)</f>
        <v>1.6987949790794978</v>
      </c>
      <c r="BD38" s="280" t="str">
        <f t="shared" si="21"/>
        <v>-</v>
      </c>
      <c r="BE38" s="281"/>
      <c r="BF38" s="281" t="str" cm="1">
        <f t="array" ref="BF38">_xlfn.XLOOKUP(
   $B$4&amp;" "&amp;$B38,
   Actuals!$D:$D,
   _xlfn.XLOOKUP(
      BF$7,
      Actuals!$H$3:$BM$3,
      Actuals!$H:$BM
   )
)</f>
        <v>-</v>
      </c>
      <c r="BG38" s="281">
        <f>VLOOKUP($B$4&amp;" "&amp;$B38,Budget!$AG$4:$AL$132,BF$5+1,FALSE)</f>
        <v>1.1851744186046511</v>
      </c>
      <c r="BH38" s="280" t="str">
        <f t="shared" si="22"/>
        <v>-</v>
      </c>
      <c r="BI38" s="281"/>
      <c r="BJ38" s="281" t="str" cm="1">
        <f t="array" ref="BJ38">_xlfn.XLOOKUP(
   $B$4&amp;" "&amp;$B38,
   Actuals!$D:$D,
   _xlfn.XLOOKUP(
      BJ$7,
      Actuals!$H$3:$BM$3,
      Actuals!$H:$BM
   )
)</f>
        <v>-</v>
      </c>
      <c r="BK38" s="281">
        <f>VLOOKUP($B$4&amp;" "&amp;$B38,Budget!$AG$4:$AL$132,BJ$5+1,FALSE)</f>
        <v>1.2084593023255814</v>
      </c>
      <c r="BL38" s="280" t="str">
        <f t="shared" si="23"/>
        <v>-</v>
      </c>
      <c r="BM38" s="281"/>
      <c r="BN38" s="281" t="str" cm="1">
        <f t="array" ref="BN38">_xlfn.XLOOKUP(
   $B$4&amp;" "&amp;$B38,
   Actuals!$D:$D,
   _xlfn.XLOOKUP(
      BN$7,
      Actuals!$H$3:$BM$3,
      Actuals!$H:$BM
   )
)</f>
        <v>-</v>
      </c>
      <c r="BO38" s="281">
        <f>VLOOKUP($B$4&amp;" "&amp;$B38,Budget!$AG$4:$AL$132,BN$5+1,FALSE)</f>
        <v>0.93744988864142542</v>
      </c>
      <c r="BP38" s="281"/>
      <c r="BQ38" s="281"/>
      <c r="BR38" s="281">
        <f ca="1">VLOOKUP($B$4&amp;" "&amp;$B38,Actuals!$BG$4:$BL$131,6,FALSE)</f>
        <v>5.7206132082136385</v>
      </c>
      <c r="BS38" s="281" t="e">
        <f ca="1">VLOOKUP($B$4&amp;" "&amp;$B38,Budget!$AG$4:$AL$132,6,FALSE)</f>
        <v>#DIV/0!</v>
      </c>
      <c r="BT38" s="280" t="e">
        <f t="shared" ca="1" si="20"/>
        <v>#DIV/0!</v>
      </c>
      <c r="BU38" s="281"/>
      <c r="BV38" s="281" t="str" cm="1">
        <f t="array" ref="BV38">_xlfn.XLOOKUP(
   $B$4&amp;" "&amp;$B38,
   Actuals!$D:$D,
   _xlfn.XLOOKUP(
      BV$6,
      Actuals!$H$3:$BM$3,
      Actuals!$H:$BM
   )
)</f>
        <v/>
      </c>
      <c r="BW38" s="151"/>
    </row>
    <row r="39" spans="2:75" s="26" customFormat="1">
      <c r="B39" s="26" t="str">
        <f>Onboarding!B19</f>
        <v>Onboarding. Rev - Onboarding Costs</v>
      </c>
      <c r="C39" s="139" t="s">
        <v>49</v>
      </c>
      <c r="D39" s="171" t="str">
        <f>VLOOKUP($B$4&amp;" "&amp;$B39,Actuals!$D$4:$AG$131,3,FALSE)</f>
        <v>$</v>
      </c>
      <c r="E39" s="210">
        <f>VLOOKUP($B$4&amp;" "&amp;$B39,Actuals!$D$4:$AG$131,MONTH(E$6)+4,FALSE)</f>
        <v>0</v>
      </c>
      <c r="F39" s="210">
        <f>VLOOKUP($B$4&amp;" "&amp;$B39,Actuals!$D$4:$AG$131,MONTH(F$6)+4,FALSE)</f>
        <v>0</v>
      </c>
      <c r="G39" s="210">
        <f>VLOOKUP($B$4&amp;" "&amp;$B39,Actuals!$D$4:$AG$131,MONTH(G$6)+4,FALSE)</f>
        <v>0</v>
      </c>
      <c r="H39" s="210">
        <f>VLOOKUP($B$4&amp;" "&amp;$B39,Actuals!$D$4:$AG$131,MONTH(H$6)+4,FALSE)</f>
        <v>0</v>
      </c>
      <c r="I39" s="210">
        <f>VLOOKUP($B$4&amp;" "&amp;$B39,Actuals!$D$4:$AG$131,MONTH(I$6)+4,FALSE)</f>
        <v>0</v>
      </c>
      <c r="J39" s="210">
        <f>VLOOKUP($B$4&amp;" "&amp;$B39,Actuals!$D$4:$AG$131,MONTH(J$6)+4,FALSE)</f>
        <v>0</v>
      </c>
      <c r="K39" s="210">
        <f>VLOOKUP($B$4&amp;" "&amp;$B39,Actuals!$D$4:$AG$131,MONTH(K$6)+4,FALSE)</f>
        <v>0</v>
      </c>
      <c r="L39" s="210">
        <f>VLOOKUP($B$4&amp;" "&amp;$B39,Actuals!$D$4:$AG$131,MONTH(L$6)+4,FALSE)</f>
        <v>0</v>
      </c>
      <c r="M39" s="210">
        <f>VLOOKUP($B$4&amp;" "&amp;$B39,Actuals!$D$4:$AG$131,MONTH(M$6)+4,FALSE)</f>
        <v>0</v>
      </c>
      <c r="N39" s="210">
        <f>VLOOKUP($B$4&amp;" "&amp;$B39,Actuals!$D$4:$AG$131,MONTH(N$6)+4,FALSE)</f>
        <v>0</v>
      </c>
      <c r="O39" s="210">
        <f>VLOOKUP($B$4&amp;" "&amp;$B39,Actuals!$D$4:$AG$131,MONTH(O$6)+4,FALSE)</f>
        <v>0</v>
      </c>
      <c r="P39" s="210">
        <f>VLOOKUP($B$4&amp;" "&amp;$B39,Actuals!$D$4:$AG$131,MONTH(P$6)+4,FALSE)</f>
        <v>0</v>
      </c>
      <c r="Q39" s="210">
        <f>VLOOKUP($B$4&amp;" "&amp;$B39,Actuals!$D$4:$AR$131,MONTH(Q$6)+16,FALSE)</f>
        <v>0</v>
      </c>
      <c r="R39" s="210">
        <f>VLOOKUP($B$4&amp;" "&amp;$B39,Actuals!$D$4:$AR$131,MONTH(R$6)+16,FALSE)</f>
        <v>0</v>
      </c>
      <c r="S39" s="210">
        <f>VLOOKUP($B$4&amp;" "&amp;$B39,Actuals!$D$4:$AR$131,MONTH(S$6)+16,FALSE)</f>
        <v>0</v>
      </c>
      <c r="T39" s="210">
        <f>VLOOKUP($B$4&amp;" "&amp;$B39,Actuals!$D$4:$AR$131,MONTH(T$6)+16,FALSE)</f>
        <v>0</v>
      </c>
      <c r="U39" s="210">
        <f>VLOOKUP($B$4&amp;" "&amp;$B39,Actuals!$D$4:$AR$131,MONTH(U$6)+16,FALSE)</f>
        <v>0</v>
      </c>
      <c r="V39" s="210">
        <f>VLOOKUP($B$4&amp;" "&amp;$B39,Actuals!$D$4:$AR$131,MONTH(V$6)+16,FALSE)</f>
        <v>0</v>
      </c>
      <c r="W39" s="210"/>
      <c r="X39" s="210"/>
      <c r="Y39" s="210"/>
      <c r="Z39" s="210"/>
      <c r="AA39" s="210"/>
      <c r="AB39" s="210"/>
      <c r="AC39" s="210" cm="1">
        <f t="array" ref="AC39">_xlfn.XLOOKUP(
   $B$4&amp;" "&amp;$B39,
   Actuals!$D:$D,
   _xlfn.XLOOKUP(
      AC$6,
      Actuals!$H$3:$BD$3,
      Actuals!$H:$BD
   )
)</f>
        <v>0</v>
      </c>
      <c r="AD39" s="210" cm="1">
        <f t="array" ref="AD39">_xlfn.XLOOKUP(
   $B$4&amp;" "&amp;$B39,
   Actuals!$D:$D,
   _xlfn.XLOOKUP(
      AD$6,
      Actuals!$H$3:$BD$3,
      Actuals!$H:$BD
   )
)</f>
        <v>0</v>
      </c>
      <c r="AE39" s="210" cm="1">
        <f t="array" ref="AE39">_xlfn.XLOOKUP(
   $B$4&amp;" "&amp;$B39,
   Actuals!$D:$D,
   _xlfn.XLOOKUP(
      AE$6,
      Actuals!$H$3:$BD$3,
      Actuals!$H:$BD
   )
)</f>
        <v>0</v>
      </c>
      <c r="AF39" s="210" cm="1">
        <f t="array" ref="AF39">_xlfn.XLOOKUP(
   $B$4&amp;" "&amp;$B39,
   Actuals!$D:$D,
   _xlfn.XLOOKUP(
      AF$6,
      Actuals!$H$3:$BD$3,
      Actuals!$H:$BD
   )
)</f>
        <v>0</v>
      </c>
      <c r="AG39" s="210" cm="1">
        <f t="array" ref="AG39">_xlfn.XLOOKUP(
   $B$4&amp;" "&amp;$B39,
   Actuals!$D:$D,
   _xlfn.XLOOKUP(
      AG$6,
      Actuals!$H$3:$BD$3,
      Actuals!$H:$BD
   )
)</f>
        <v>0</v>
      </c>
      <c r="AH39" s="210" cm="1">
        <f t="array" ref="AH39">_xlfn.XLOOKUP(
   $B$4&amp;" "&amp;$B39,
   Actuals!$D:$D,
   _xlfn.XLOOKUP(
      AH$6,
      Actuals!$H$3:$BD$3,
      Actuals!$H:$BD
   )
)</f>
        <v>0</v>
      </c>
      <c r="AI39" s="210" cm="1">
        <f t="array" ref="AI39">_xlfn.XLOOKUP(
   $B$4&amp;" "&amp;$B39,
   Actuals!$D:$D,
   _xlfn.XLOOKUP(
      AI$6,
      Actuals!$H$3:$BD$3,
      Actuals!$H:$BD
   )
)</f>
        <v>0</v>
      </c>
      <c r="AJ39" s="210" cm="1">
        <f t="array" ref="AJ39">_xlfn.XLOOKUP(
   $B$4&amp;" "&amp;$B39,
   Actuals!$D:$D,
   _xlfn.XLOOKUP(
      AJ$6,
      Actuals!$H$3:$BD$3,
      Actuals!$H:$BD
   )
)</f>
        <v>0</v>
      </c>
      <c r="AK39" s="210" cm="1">
        <f t="array" ref="AK39">_xlfn.XLOOKUP(
   $B$4&amp;" "&amp;$B39,
   Actuals!$D:$D,
   _xlfn.XLOOKUP(
      AK$6,
      Actuals!$H$3:$BD$3,
      Actuals!$H:$BD
   )
)</f>
        <v>0</v>
      </c>
      <c r="AL39" s="210" cm="1">
        <f t="array" ref="AL39">_xlfn.XLOOKUP(
   $B$4&amp;" "&amp;$B39,
   Actuals!$D:$D,
   _xlfn.XLOOKUP(
      AL$6,
      Actuals!$H$3:$BD$3,
      Actuals!$H:$BD
   )
)</f>
        <v>0</v>
      </c>
      <c r="AM39" s="210" cm="1">
        <f t="array" ref="AM39">_xlfn.XLOOKUP(
   $B$4&amp;" "&amp;$B39,
   Actuals!$D:$D,
   _xlfn.XLOOKUP(
      AM$6,
      Actuals!$H$3:$BD$3,
      Actuals!$H:$BD
   )
)</f>
        <v>0</v>
      </c>
      <c r="AN39" s="210" cm="1">
        <f t="array" ref="AN39">_xlfn.XLOOKUP(
   $B$4&amp;" "&amp;$B39,
   Actuals!$D:$D,
   _xlfn.XLOOKUP(
      AN$6,
      Actuals!$H$3:$BD$3,
      Actuals!$H:$BD
   )
)</f>
        <v>0</v>
      </c>
      <c r="AO39" s="210" cm="1">
        <f t="array" ref="AO39">_xlfn.XLOOKUP(
   $B$4&amp;" "&amp;$B39,
   Actuals!$D:$D,
   _xlfn.XLOOKUP(
      AO$6,
      Actuals!$H$3:$BD$3,
      Actuals!$H:$BD
   )
)</f>
        <v>0</v>
      </c>
      <c r="AP39" s="210" cm="1">
        <f t="array" ref="AP39">_xlfn.XLOOKUP(
   $B$4&amp;" "&amp;$B39,
   Actuals!$D:$D,
   _xlfn.XLOOKUP(
      AP$6,
      Actuals!$H$3:$BD$3,
      Actuals!$H:$BD
   )
)</f>
        <v>0</v>
      </c>
      <c r="AQ39" s="210" cm="1">
        <f t="array" ref="AQ39">_xlfn.XLOOKUP(
   $B$4&amp;" "&amp;$B39,
   Actuals!$D:$D,
   _xlfn.XLOOKUP(
      AQ$6,
      Actuals!$H$3:$BD$3,
      Actuals!$H:$BD
   )
)</f>
        <v>0</v>
      </c>
      <c r="AR39" s="210" cm="1">
        <f t="array" ref="AR39">_xlfn.XLOOKUP(
   $B$4&amp;" "&amp;$B39,
   Actuals!$D:$D,
   _xlfn.XLOOKUP(
      AR$6,
      Actuals!$H$3:$BD$3,
      Actuals!$H:$BD
   )
)</f>
        <v>0</v>
      </c>
      <c r="AS39" s="210" cm="1">
        <f t="array" ref="AS39">_xlfn.XLOOKUP(
   $B$4&amp;" "&amp;$B39,
   Actuals!$D:$D,
   _xlfn.XLOOKUP(
      AS$6,
      Actuals!$H$3:$BD$3,
      Actuals!$H:$BD
   )
)</f>
        <v>0</v>
      </c>
      <c r="AT39" s="210" cm="1">
        <f t="array" ref="AT39">_xlfn.XLOOKUP(
   $B$4&amp;" "&amp;$B39,
   Actuals!$D:$D,
   _xlfn.XLOOKUP(
      AT$6,
      Actuals!$H$3:$BD$3,
      Actuals!$H:$BD
   )
)</f>
        <v>0</v>
      </c>
      <c r="AU39" s="210" cm="1">
        <f t="array" ref="AU39">_xlfn.XLOOKUP(
   $B$4&amp;" "&amp;$B39,
   Actuals!$D:$D,
   _xlfn.XLOOKUP(
      AU$6,
      Actuals!$H$3:$BD$3,
      Actuals!$H:$BD
   )
)</f>
        <v>0</v>
      </c>
      <c r="AV39" s="210" cm="1">
        <f t="array" ref="AV39">_xlfn.XLOOKUP(
   $B$4&amp;" "&amp;$B39,
   Actuals!$D:$D,
   _xlfn.XLOOKUP(
      AV$6,
      Actuals!$H$3:$BD$3,
      Actuals!$H:$BD
   )
)</f>
        <v>0</v>
      </c>
      <c r="AW39" s="210" cm="1">
        <f t="array" ref="AW39">_xlfn.XLOOKUP(
   $B$4&amp;" "&amp;$B39,
   Actuals!$D:$D,
   _xlfn.XLOOKUP(
      AW$6,
      Actuals!$H$3:$BD$3,
      Actuals!$H:$BD
   )
)</f>
        <v>0</v>
      </c>
      <c r="AX39" s="210" cm="1">
        <f t="array" ref="AX39">_xlfn.XLOOKUP(
   $B$4&amp;" "&amp;$B39,
   Actuals!$D:$D,
   _xlfn.XLOOKUP(
      AX$6,
      Actuals!$H$3:$BD$3,
      Actuals!$H:$BD
   )
)</f>
        <v>0</v>
      </c>
      <c r="AY39" s="210" cm="1">
        <f t="array" ref="AY39">_xlfn.XLOOKUP(
   $B$4&amp;" "&amp;$B39,
   Actuals!$D:$D,
   _xlfn.XLOOKUP(
      AY$6,
      Actuals!$H$3:$BD$3,
      Actuals!$H:$BD
   )
)</f>
        <v>0</v>
      </c>
      <c r="AZ39" s="210" cm="1">
        <f t="array" ref="AZ39">_xlfn.XLOOKUP(
   $B$4&amp;" "&amp;$B39,
   Actuals!$D:$D,
   _xlfn.XLOOKUP(
      AZ$6,
      Actuals!$H$3:$BD$3,
      Actuals!$H:$BD
   )
)</f>
        <v>0</v>
      </c>
      <c r="BA39" s="210"/>
      <c r="BB39" s="210" cm="1">
        <f t="array" ref="BB39">_xlfn.XLOOKUP(
   $B$4&amp;" "&amp;$B39,
   Actuals!$D:$D,
   _xlfn.XLOOKUP(
      BB$7,
      Actuals!$H$3:$BM$3,
      Actuals!$H:$BM
   )
)</f>
        <v>0</v>
      </c>
      <c r="BC39" s="210">
        <f>VLOOKUP($B$4&amp;" "&amp;$B39,Budget!$AG$4:$AL$132,$BB$5+1,FALSE)</f>
        <v>0</v>
      </c>
      <c r="BD39" s="219">
        <f t="shared" si="21"/>
        <v>0</v>
      </c>
      <c r="BE39" s="210"/>
      <c r="BF39" s="210" cm="1">
        <f t="array" ref="BF39">_xlfn.XLOOKUP(
   $B$4&amp;" "&amp;$B39,
   Actuals!$D:$D,
   _xlfn.XLOOKUP(
      BF$7,
      Actuals!$H$3:$BM$3,
      Actuals!$H:$BM
   )
)</f>
        <v>0</v>
      </c>
      <c r="BG39" s="210">
        <f>VLOOKUP($B$4&amp;" "&amp;$B39,Budget!$AG$4:$AL$132,BF$5+1,FALSE)</f>
        <v>0</v>
      </c>
      <c r="BH39" s="219">
        <f t="shared" si="22"/>
        <v>0</v>
      </c>
      <c r="BI39" s="210"/>
      <c r="BJ39" s="210" cm="1">
        <f t="array" ref="BJ39">_xlfn.XLOOKUP(
   $B$4&amp;" "&amp;$B39,
   Actuals!$D:$D,
   _xlfn.XLOOKUP(
      BJ$7,
      Actuals!$H$3:$BM$3,
      Actuals!$H:$BM
   )
)</f>
        <v>0</v>
      </c>
      <c r="BK39" s="210">
        <f>VLOOKUP($B$4&amp;" "&amp;$B39,Budget!$AG$4:$AL$132,BJ$5+1,FALSE)</f>
        <v>0</v>
      </c>
      <c r="BL39" s="219">
        <f t="shared" si="23"/>
        <v>0</v>
      </c>
      <c r="BM39" s="210"/>
      <c r="BN39" s="210" cm="1">
        <f t="array" ref="BN39">_xlfn.XLOOKUP(
   $B$4&amp;" "&amp;$B39,
   Actuals!$D:$D,
   _xlfn.XLOOKUP(
      BN$7,
      Actuals!$H$3:$BM$3,
      Actuals!$H:$BM
   )
)</f>
        <v>0</v>
      </c>
      <c r="BO39" s="210">
        <f>VLOOKUP($B$4&amp;" "&amp;$B39,Budget!$AG$4:$AL$132,BN$5+1,FALSE)</f>
        <v>0</v>
      </c>
      <c r="BP39" s="210"/>
      <c r="BQ39" s="210"/>
      <c r="BR39" s="210">
        <f ca="1">VLOOKUP($B$4&amp;" "&amp;$B39,Actuals!$BG$4:$BL$131,6,FALSE)</f>
        <v>0</v>
      </c>
      <c r="BS39" s="210">
        <f ca="1">VLOOKUP($B$4&amp;" "&amp;$B39,Budget!$AG$4:$AL$132,6,FALSE)</f>
        <v>0</v>
      </c>
      <c r="BT39" s="210">
        <f t="shared" ca="1" si="20"/>
        <v>0</v>
      </c>
      <c r="BU39" s="210"/>
      <c r="BV39" s="210" cm="1">
        <f t="array" ref="BV39">_xlfn.XLOOKUP(
   $B$4&amp;" "&amp;$B39,
   Actuals!$D:$D,
   _xlfn.XLOOKUP(
      BV$6,
      Actuals!$H$3:$BM$3,
      Actuals!$H:$BM
   )
)</f>
        <v>0</v>
      </c>
      <c r="BW39" s="151"/>
    </row>
    <row r="40" spans="2:75" s="26" customFormat="1">
      <c r="C40" s="139"/>
      <c r="D40" s="171"/>
      <c r="O40" s="285"/>
      <c r="P40" s="285"/>
      <c r="Q40" s="285"/>
      <c r="R40" s="285"/>
      <c r="S40" s="285"/>
      <c r="T40" s="285"/>
      <c r="U40" s="285"/>
      <c r="V40" s="285"/>
      <c r="W40" s="285"/>
      <c r="X40" s="285"/>
      <c r="Y40" s="285"/>
      <c r="Z40" s="285"/>
      <c r="AA40" s="285"/>
      <c r="AB40" s="285"/>
      <c r="AC40" s="285"/>
      <c r="AD40" s="285"/>
      <c r="AE40" s="285"/>
      <c r="AF40" s="285"/>
      <c r="AG40" s="285"/>
      <c r="AH40" s="285"/>
      <c r="AI40" s="285"/>
      <c r="AJ40" s="285"/>
      <c r="AK40" s="285"/>
      <c r="AL40" s="285"/>
      <c r="AM40" s="285"/>
      <c r="AN40" s="285"/>
      <c r="AO40" s="285"/>
      <c r="AP40" s="285"/>
      <c r="AQ40" s="285"/>
      <c r="AR40" s="285"/>
      <c r="AS40" s="285"/>
      <c r="AT40" s="285"/>
      <c r="AU40" s="285"/>
      <c r="AV40" s="285"/>
      <c r="AW40" s="285"/>
      <c r="AX40" s="285"/>
      <c r="AY40" s="285"/>
      <c r="AZ40" s="285"/>
      <c r="BA40" s="285"/>
      <c r="BB40" s="285"/>
      <c r="BC40" s="285"/>
      <c r="BD40" s="285"/>
      <c r="BE40" s="285"/>
      <c r="BF40" s="285"/>
      <c r="BG40" s="285"/>
      <c r="BH40" s="285"/>
      <c r="BI40" s="285"/>
      <c r="BJ40" s="285"/>
      <c r="BK40" s="285"/>
      <c r="BL40" s="285"/>
      <c r="BM40" s="285"/>
      <c r="BN40" s="285"/>
      <c r="BO40" s="285"/>
      <c r="BP40" s="285"/>
      <c r="BQ40" s="285"/>
      <c r="BR40" s="285"/>
      <c r="BS40" s="285"/>
      <c r="BT40" s="285"/>
      <c r="BU40" s="285"/>
      <c r="BV40" s="285"/>
    </row>
    <row r="41" spans="2:75" s="26" customFormat="1" ht="13">
      <c r="B41" s="126" t="s">
        <v>228</v>
      </c>
      <c r="C41" s="138"/>
      <c r="D41" s="174"/>
      <c r="E41" s="127"/>
      <c r="F41" s="127"/>
      <c r="G41" s="127"/>
      <c r="H41" s="127"/>
      <c r="I41" s="127"/>
      <c r="J41" s="127"/>
      <c r="K41" s="127"/>
      <c r="L41" s="127"/>
      <c r="M41" s="127"/>
      <c r="N41" s="127"/>
      <c r="O41" s="321"/>
      <c r="P41" s="321"/>
      <c r="Q41" s="321"/>
      <c r="R41" s="321"/>
      <c r="S41" s="321"/>
      <c r="T41" s="321"/>
      <c r="U41" s="321"/>
      <c r="V41" s="321"/>
      <c r="W41" s="321"/>
      <c r="X41" s="321"/>
      <c r="Y41" s="321"/>
      <c r="Z41" s="321"/>
      <c r="AA41" s="321"/>
      <c r="AB41" s="321"/>
      <c r="AC41" s="321"/>
      <c r="AD41" s="321"/>
      <c r="AE41" s="321"/>
      <c r="AF41" s="321"/>
      <c r="AG41" s="321"/>
      <c r="AH41" s="321"/>
      <c r="AI41" s="321"/>
      <c r="AJ41" s="321"/>
      <c r="AK41" s="321"/>
      <c r="AL41" s="321"/>
      <c r="AM41" s="321"/>
      <c r="AN41" s="321"/>
      <c r="AO41" s="321"/>
      <c r="AP41" s="321"/>
      <c r="AQ41" s="321"/>
      <c r="AR41" s="321"/>
      <c r="AS41" s="321"/>
      <c r="AT41" s="321"/>
      <c r="AU41" s="321"/>
      <c r="AV41" s="321"/>
      <c r="AW41" s="321"/>
      <c r="AX41" s="321"/>
      <c r="AY41" s="321"/>
      <c r="AZ41" s="321"/>
      <c r="BA41" s="321"/>
      <c r="BB41" s="321"/>
      <c r="BC41" s="321"/>
      <c r="BD41" s="321"/>
      <c r="BE41" s="321"/>
      <c r="BF41" s="321"/>
      <c r="BG41" s="321"/>
      <c r="BH41" s="321"/>
      <c r="BI41" s="321"/>
      <c r="BJ41" s="321"/>
      <c r="BK41" s="321"/>
      <c r="BL41" s="321"/>
      <c r="BM41" s="321"/>
      <c r="BN41" s="321"/>
      <c r="BO41" s="321"/>
      <c r="BP41" s="321"/>
      <c r="BQ41" s="321"/>
      <c r="BR41" s="321"/>
      <c r="BS41" s="321"/>
      <c r="BT41" s="321"/>
      <c r="BU41" s="321"/>
      <c r="BV41" s="321"/>
    </row>
    <row r="42" spans="2:75" s="26" customFormat="1">
      <c r="B42" s="26" t="s">
        <v>229</v>
      </c>
      <c r="C42" s="139" t="s">
        <v>47</v>
      </c>
      <c r="D42" s="171" t="str">
        <f>VLOOKUP($B$4&amp;" "&amp;$B42,Actuals!$D$4:$AG$131,3,FALSE)</f>
        <v>%</v>
      </c>
      <c r="E42" s="180">
        <f>VLOOKUP($B$4&amp;" "&amp;$B42,Actuals!$D$4:$AG$131,MONTH(E$6)+4,FALSE)</f>
        <v>8.4936632649641589E-2</v>
      </c>
      <c r="F42" s="180">
        <f>VLOOKUP($B$4&amp;" "&amp;$B42,Actuals!$D$4:$AG$131,MONTH(F$6)+4,FALSE)</f>
        <v>0</v>
      </c>
      <c r="G42" s="180">
        <f>VLOOKUP($B$4&amp;" "&amp;$B42,Actuals!$D$4:$AG$131,MONTH(G$6)+4,FALSE)</f>
        <v>0.11613784464338749</v>
      </c>
      <c r="H42" s="180">
        <f>VLOOKUP($B$4&amp;" "&amp;$B42,Actuals!$D$4:$AG$131,MONTH(H$6)+4,FALSE)</f>
        <v>1.0833754164495101E-2</v>
      </c>
      <c r="I42" s="180">
        <f>VLOOKUP($B$4&amp;" "&amp;$B42,Actuals!$D$4:$AG$131,MONTH(I$6)+4,FALSE)</f>
        <v>0</v>
      </c>
      <c r="J42" s="180">
        <f>VLOOKUP($B$4&amp;" "&amp;$B42,Actuals!$D$4:$AG$131,MONTH(J$6)+4,FALSE)</f>
        <v>0.37277648029527899</v>
      </c>
      <c r="K42" s="180">
        <f>VLOOKUP($B$4&amp;" "&amp;$B42,Actuals!$D$4:$AG$131,MONTH(K$6)+4,FALSE)</f>
        <v>0</v>
      </c>
      <c r="L42" s="180">
        <f>VLOOKUP($B$4&amp;" "&amp;$B42,Actuals!$D$4:$AG$131,MONTH(L$6)+4,FALSE)</f>
        <v>0.62912043783389626</v>
      </c>
      <c r="M42" s="180">
        <f>VLOOKUP($B$4&amp;" "&amp;$B42,Actuals!$D$4:$AG$131,MONTH(M$6)+4,FALSE)</f>
        <v>1.7334006663192163E-2</v>
      </c>
      <c r="N42" s="180">
        <f>VLOOKUP($B$4&amp;" "&amp;$B42,Actuals!$D$4:$AG$131,MONTH(N$6)+4,FALSE)</f>
        <v>0</v>
      </c>
      <c r="O42" s="213">
        <f>VLOOKUP($B$4&amp;" "&amp;$B42,Actuals!$D$4:$AG$131,MONTH(O$6)+4,FALSE)</f>
        <v>0</v>
      </c>
      <c r="P42" s="213">
        <f>VLOOKUP($B$4&amp;" "&amp;$B42,Actuals!$D$4:$AG$131,MONTH(P$6)+4,FALSE)</f>
        <v>0</v>
      </c>
      <c r="Q42" s="213">
        <f>VLOOKUP($B$4&amp;" "&amp;$B42,Actuals!$D$4:$AR$131,MONTH(Q$6)+16,FALSE)</f>
        <v>0</v>
      </c>
      <c r="R42" s="213">
        <f>VLOOKUP($B$4&amp;" "&amp;$B42,Actuals!$D$4:$AR$131,MONTH(R$6)+16,FALSE)</f>
        <v>0</v>
      </c>
      <c r="S42" s="213">
        <f>VLOOKUP($B$4&amp;" "&amp;$B42,Actuals!$D$4:$AR$131,MONTH(S$6)+16,FALSE)</f>
        <v>0</v>
      </c>
      <c r="T42" s="213">
        <f>VLOOKUP($B$4&amp;" "&amp;$B42,Actuals!$D$4:$AR$131,MONTH(T$6)+16,FALSE)</f>
        <v>0</v>
      </c>
      <c r="U42" s="213">
        <f>VLOOKUP($B$4&amp;" "&amp;$B42,Actuals!$D$4:$AR$131,MONTH(U$6)+16,FALSE)</f>
        <v>0</v>
      </c>
      <c r="V42" s="213">
        <f>VLOOKUP($B$4&amp;" "&amp;$B42,Actuals!$D$4:$AR$131,MONTH(V$6)+16,FALSE)</f>
        <v>0</v>
      </c>
      <c r="W42" s="213"/>
      <c r="X42" s="213"/>
      <c r="Y42" s="213"/>
      <c r="Z42" s="213"/>
      <c r="AA42" s="213"/>
      <c r="AB42" s="213"/>
      <c r="AC42" s="213" cm="1">
        <f t="array" ref="AC42">_xlfn.XLOOKUP(
   $B$4&amp;" "&amp;$B42,
   Actuals!$D:$D,
   _xlfn.XLOOKUP(
      AC$6,
      Actuals!$H$3:$BD$3,
      Actuals!$H:$BD
   )
)</f>
        <v>0</v>
      </c>
      <c r="AD42" s="213" cm="1">
        <f t="array" ref="AD42">_xlfn.XLOOKUP(
   $B$4&amp;" "&amp;$B42,
   Actuals!$D:$D,
   _xlfn.XLOOKUP(
      AD$6,
      Actuals!$H$3:$BD$3,
      Actuals!$H:$BD
   )
)</f>
        <v>0</v>
      </c>
      <c r="AE42" s="213" cm="1">
        <f t="array" ref="AE42">_xlfn.XLOOKUP(
   $B$4&amp;" "&amp;$B42,
   Actuals!$D:$D,
   _xlfn.XLOOKUP(
      AE$6,
      Actuals!$H$3:$BD$3,
      Actuals!$H:$BD
   )
)</f>
        <v>0</v>
      </c>
      <c r="AF42" s="213" cm="1">
        <f t="array" ref="AF42">_xlfn.XLOOKUP(
   $B$4&amp;" "&amp;$B42,
   Actuals!$D:$D,
   _xlfn.XLOOKUP(
      AF$6,
      Actuals!$H$3:$BD$3,
      Actuals!$H:$BD
   )
)</f>
        <v>0</v>
      </c>
      <c r="AG42" s="213" cm="1">
        <f t="array" ref="AG42">_xlfn.XLOOKUP(
   $B$4&amp;" "&amp;$B42,
   Actuals!$D:$D,
   _xlfn.XLOOKUP(
      AG$6,
      Actuals!$H$3:$BD$3,
      Actuals!$H:$BD
   )
)</f>
        <v>0</v>
      </c>
      <c r="AH42" s="213" cm="1">
        <f t="array" ref="AH42">_xlfn.XLOOKUP(
   $B$4&amp;" "&amp;$B42,
   Actuals!$D:$D,
   _xlfn.XLOOKUP(
      AH$6,
      Actuals!$H$3:$BD$3,
      Actuals!$H:$BD
   )
)</f>
        <v>0.1353928992157214</v>
      </c>
      <c r="AI42" s="213" cm="1">
        <f t="array" ref="AI42">_xlfn.XLOOKUP(
   $B$4&amp;" "&amp;$B42,
   Actuals!$D:$D,
   _xlfn.XLOOKUP(
      AI$6,
      Actuals!$H$3:$BD$3,
      Actuals!$H:$BD
   )
)</f>
        <v>2.9274140370966786E-2</v>
      </c>
      <c r="AJ42" s="213" cm="1">
        <f t="array" ref="AJ42">_xlfn.XLOOKUP(
   $B$4&amp;" "&amp;$B42,
   Actuals!$D:$D,
   _xlfn.XLOOKUP(
      AJ$6,
      Actuals!$H$3:$BD$3,
      Actuals!$H:$BD
   )
)</f>
        <v>0.11709656148386714</v>
      </c>
      <c r="AK42" s="213" cm="1">
        <f t="array" ref="AK42">_xlfn.XLOOKUP(
   $B$4&amp;" "&amp;$B42,
   Actuals!$D:$D,
   _xlfn.XLOOKUP(
      AK$6,
      Actuals!$H$3:$BD$3,
      Actuals!$H:$BD
   )
)</f>
        <v>2.1955605278225088E-2</v>
      </c>
      <c r="AL42" s="213" cm="1">
        <f t="array" ref="AL42">_xlfn.XLOOKUP(
   $B$4&amp;" "&amp;$B42,
   Actuals!$D:$D,
   _xlfn.XLOOKUP(
      AL$6,
      Actuals!$H$3:$BD$3,
      Actuals!$H:$BD
   )
)</f>
        <v>7.3185350927416964E-3</v>
      </c>
      <c r="AM42" s="213" cm="1">
        <f t="array" ref="AM42">_xlfn.XLOOKUP(
   $B$4&amp;" "&amp;$B42,
   Actuals!$D:$D,
   _xlfn.XLOOKUP(
      AM$6,
      Actuals!$H$3:$BD$3,
      Actuals!$H:$BD
   )
)</f>
        <v>1.0977802639112544E-2</v>
      </c>
      <c r="AN42" s="213" cm="1">
        <f t="array" ref="AN42">_xlfn.XLOOKUP(
   $B$4&amp;" "&amp;$B42,
   Actuals!$D:$D,
   _xlfn.XLOOKUP(
      AN$6,
      Actuals!$H$3:$BD$3,
      Actuals!$H:$BD
   )
)</f>
        <v>0.24517092560684683</v>
      </c>
      <c r="AO42" s="213" cm="1">
        <f t="array" ref="AO42">_xlfn.XLOOKUP(
   $B$4&amp;" "&amp;$B42,
   Actuals!$D:$D,
   _xlfn.XLOOKUP(
      AO$6,
      Actuals!$H$3:$BD$3,
      Actuals!$H:$BD
   )
)</f>
        <v>0</v>
      </c>
      <c r="AP42" s="213" cm="1">
        <f t="array" ref="AP42">_xlfn.XLOOKUP(
   $B$4&amp;" "&amp;$B42,
   Actuals!$D:$D,
   _xlfn.XLOOKUP(
      AP$6,
      Actuals!$H$3:$BD$3,
      Actuals!$H:$BD
   )
)</f>
        <v>0</v>
      </c>
      <c r="AQ42" s="213" cm="1">
        <f t="array" ref="AQ42">_xlfn.XLOOKUP(
   $B$4&amp;" "&amp;$B42,
   Actuals!$D:$D,
   _xlfn.XLOOKUP(
      AQ$6,
      Actuals!$H$3:$BD$3,
      Actuals!$H:$BD
   )
)</f>
        <v>0</v>
      </c>
      <c r="AR42" s="213" cm="1">
        <f t="array" ref="AR42">_xlfn.XLOOKUP(
   $B$4&amp;" "&amp;$B42,
   Actuals!$D:$D,
   _xlfn.XLOOKUP(
      AR$6,
      Actuals!$H$3:$BD$3,
      Actuals!$H:$BD
   )
)</f>
        <v>0</v>
      </c>
      <c r="AS42" s="213" cm="1">
        <f t="array" ref="AS42">_xlfn.XLOOKUP(
   $B$4&amp;" "&amp;$B42,
   Actuals!$D:$D,
   _xlfn.XLOOKUP(
      AS$6,
      Actuals!$H$3:$BD$3,
      Actuals!$H:$BD
   )
)</f>
        <v>0</v>
      </c>
      <c r="AT42" s="213" cm="1">
        <f t="array" ref="AT42">_xlfn.XLOOKUP(
   $B$4&amp;" "&amp;$B42,
   Actuals!$D:$D,
   _xlfn.XLOOKUP(
      AT$6,
      Actuals!$H$3:$BD$3,
      Actuals!$H:$BD
   )
)</f>
        <v>0</v>
      </c>
      <c r="AU42" s="213" cm="1">
        <f t="array" ref="AU42">_xlfn.XLOOKUP(
   $B$4&amp;" "&amp;$B42,
   Actuals!$D:$D,
   _xlfn.XLOOKUP(
      AU$6,
      Actuals!$H$3:$BD$3,
      Actuals!$H:$BD
   )
)</f>
        <v>0</v>
      </c>
      <c r="AV42" s="213" cm="1">
        <f t="array" ref="AV42">_xlfn.XLOOKUP(
   $B$4&amp;" "&amp;$B42,
   Actuals!$D:$D,
   _xlfn.XLOOKUP(
      AV$6,
      Actuals!$H$3:$BD$3,
      Actuals!$H:$BD
   )
)</f>
        <v>0</v>
      </c>
      <c r="AW42" s="213" cm="1">
        <f t="array" ref="AW42">_xlfn.XLOOKUP(
   $B$4&amp;" "&amp;$B42,
   Actuals!$D:$D,
   _xlfn.XLOOKUP(
      AW$6,
      Actuals!$H$3:$BD$3,
      Actuals!$H:$BD
   )
)</f>
        <v>0</v>
      </c>
      <c r="AX42" s="213" cm="1">
        <f t="array" ref="AX42">_xlfn.XLOOKUP(
   $B$4&amp;" "&amp;$B42,
   Actuals!$D:$D,
   _xlfn.XLOOKUP(
      AX$6,
      Actuals!$H$3:$BD$3,
      Actuals!$H:$BD
   )
)</f>
        <v>0</v>
      </c>
      <c r="AY42" s="213" cm="1">
        <f t="array" ref="AY42">_xlfn.XLOOKUP(
   $B$4&amp;" "&amp;$B42,
   Actuals!$D:$D,
   _xlfn.XLOOKUP(
      AY$6,
      Actuals!$H$3:$BD$3,
      Actuals!$H:$BD
   )
)</f>
        <v>0</v>
      </c>
      <c r="AZ42" s="213" cm="1">
        <f t="array" ref="AZ42">_xlfn.XLOOKUP(
   $B$4&amp;" "&amp;$B42,
   Actuals!$D:$D,
   _xlfn.XLOOKUP(
      AZ$6,
      Actuals!$H$3:$BD$3,
      Actuals!$H:$BD
   )
)</f>
        <v>0</v>
      </c>
      <c r="BA42" s="213"/>
      <c r="BB42" s="213" cm="1">
        <f t="array" ref="BB42">_xlfn.XLOOKUP(
   $B$4&amp;" "&amp;$B42,
   Actuals!$D:$D,
   _xlfn.XLOOKUP(
      BB$7,
      Actuals!$H$3:$BM$3,
      Actuals!$H:$BM
   )
)</f>
        <v>0</v>
      </c>
      <c r="BC42" s="213" t="e">
        <f>VLOOKUP($B$4&amp;" "&amp;$B42,Budget!$AG$4:$AL$157,$BB$5+1,FALSE)</f>
        <v>#DIV/0!</v>
      </c>
      <c r="BD42" s="213" t="e">
        <f>BB42-BC42</f>
        <v>#DIV/0!</v>
      </c>
      <c r="BE42" s="213"/>
      <c r="BF42" s="213" cm="1">
        <f t="array" ref="BF42">_xlfn.XLOOKUP(
   $B$4&amp;" "&amp;$B42,
   Actuals!$D:$D,
   _xlfn.XLOOKUP(
      BF$7,
      Actuals!$H$3:$BM$3,
      Actuals!$H:$BM
   )
)</f>
        <v>0</v>
      </c>
      <c r="BG42" s="213" t="e">
        <f>VLOOKUP($B$4&amp;" "&amp;$B42,Budget!$AG$4:$AL$157,BF$5+1,FALSE)</f>
        <v>#DIV/0!</v>
      </c>
      <c r="BH42" s="213" t="e">
        <f>BF42-BG42</f>
        <v>#DIV/0!</v>
      </c>
      <c r="BI42" s="213"/>
      <c r="BJ42" s="213" cm="1">
        <f t="array" ref="BJ42">_xlfn.XLOOKUP(
   $B$4&amp;" "&amp;$B42,
   Actuals!$D:$D,
   _xlfn.XLOOKUP(
      BJ$7,
      Actuals!$H$3:$BM$3,
      Actuals!$H:$BM
   )
)</f>
        <v>0</v>
      </c>
      <c r="BK42" s="213" t="e">
        <f>VLOOKUP($B$4&amp;" "&amp;$B42,Budget!$AG$4:$AL$157,BJ$5+1,FALSE)</f>
        <v>#DIV/0!</v>
      </c>
      <c r="BL42" s="213" t="e">
        <f>BJ42-BK42</f>
        <v>#DIV/0!</v>
      </c>
      <c r="BM42" s="213"/>
      <c r="BN42" s="213" cm="1">
        <f t="array" ref="BN42">_xlfn.XLOOKUP(
   $B$4&amp;" "&amp;$B42,
   Actuals!$D:$D,
   _xlfn.XLOOKUP(
      BN$7,
      Actuals!$H$3:$BM$3,
      Actuals!$H:$BM
   )
)</f>
        <v>0</v>
      </c>
      <c r="BO42" s="213" t="e">
        <f>VLOOKUP($B$4&amp;" "&amp;$B42,Budget!$AG$4:$AL$157,BN$5+1,FALSE)</f>
        <v>#DIV/0!</v>
      </c>
      <c r="BP42" s="213"/>
      <c r="BQ42" s="213"/>
      <c r="BR42" s="213">
        <f ca="1">VLOOKUP($B$4&amp;" "&amp;$B42,Actuals!$BG$4:$BL$157,6,FALSE)</f>
        <v>0</v>
      </c>
      <c r="BS42" s="213">
        <f ca="1">VLOOKUP($B$4&amp;" "&amp;$B42,Budget!$AG$4:$AL$157,6,FALSE)</f>
        <v>0</v>
      </c>
      <c r="BT42" s="213">
        <f ca="1">BR42-BS42</f>
        <v>0</v>
      </c>
      <c r="BU42" s="213"/>
      <c r="BV42" s="213" cm="1">
        <f t="array" ref="BV42">_xlfn.XLOOKUP(
   $B$4&amp;" "&amp;$B42,
   Actuals!$D:$D,
   _xlfn.XLOOKUP(
      BV$6,
      Actuals!$H$3:$BM$3,
      Actuals!$H:$BM
   )
)</f>
        <v>4.726553914062346E-2</v>
      </c>
    </row>
    <row r="43" spans="2:75" s="26" customFormat="1">
      <c r="B43" s="26" t="s">
        <v>230</v>
      </c>
      <c r="C43" s="139" t="s">
        <v>47</v>
      </c>
      <c r="D43" s="171" t="str">
        <f>VLOOKUP($B$4&amp;" "&amp;$B43,Actuals!$D$4:$AG$131,3,FALSE)</f>
        <v>%</v>
      </c>
      <c r="E43" s="180">
        <f>VLOOKUP($B$4&amp;" "&amp;$B43,Actuals!$D$4:$AG$131,MONTH(E$6)+4,FALSE)</f>
        <v>1.0156647418215268</v>
      </c>
      <c r="F43" s="180">
        <f>VLOOKUP($B$4&amp;" "&amp;$B43,Actuals!$D$4:$AG$131,MONTH(F$6)+4,FALSE)</f>
        <v>1.2133694882192312</v>
      </c>
      <c r="G43" s="180">
        <f>VLOOKUP($B$4&amp;" "&amp;$B43,Actuals!$D$4:$AG$131,MONTH(G$6)+4,FALSE)</f>
        <v>1.2455656721954445</v>
      </c>
      <c r="H43" s="180">
        <f>VLOOKUP($B$4&amp;" "&amp;$B43,Actuals!$D$4:$AG$131,MONTH(H$6)+4,FALSE)</f>
        <v>1.3527297015892974</v>
      </c>
      <c r="I43" s="180">
        <f>VLOOKUP($B$4&amp;" "&amp;$B43,Actuals!$D$4:$AG$131,MONTH(I$6)+4,FALSE)</f>
        <v>1.0683739892829616</v>
      </c>
      <c r="J43" s="180">
        <f>VLOOKUP($B$4&amp;" "&amp;$B43,Actuals!$D$4:$AG$131,MONTH(J$6)+4,FALSE)</f>
        <v>0.95704286468727717</v>
      </c>
      <c r="K43" s="180">
        <f>VLOOKUP($B$4&amp;" "&amp;$B43,Actuals!$D$4:$AG$131,MONTH(K$6)+4,FALSE)</f>
        <v>0.85742779519524448</v>
      </c>
      <c r="L43" s="180">
        <f>VLOOKUP($B$4&amp;" "&amp;$B43,Actuals!$D$4:$AG$131,MONTH(L$6)+4,FALSE)</f>
        <v>1.0066978601746575</v>
      </c>
      <c r="M43" s="180">
        <f>VLOOKUP($B$4&amp;" "&amp;$B43,Actuals!$D$4:$AG$131,MONTH(M$6)+4,FALSE)</f>
        <v>0.9144012082958245</v>
      </c>
      <c r="N43" s="180">
        <f>VLOOKUP($B$4&amp;" "&amp;$B43,Actuals!$D$4:$AG$131,MONTH(N$6)+4,FALSE)</f>
        <v>1.2079855457496438</v>
      </c>
      <c r="O43" s="213">
        <f>VLOOKUP($B$4&amp;" "&amp;$B43,Actuals!$D$4:$AG$131,MONTH(O$6)+4,FALSE)</f>
        <v>1</v>
      </c>
      <c r="P43" s="213">
        <f>VLOOKUP($B$4&amp;" "&amp;$B43,Actuals!$D$4:$AG$131,MONTH(P$6)+4,FALSE)</f>
        <v>1</v>
      </c>
      <c r="Q43" s="213">
        <f>VLOOKUP($B$4&amp;" "&amp;$B43,Actuals!$D$4:$AR$131,MONTH(Q$6)+16,FALSE)</f>
        <v>1</v>
      </c>
      <c r="R43" s="213">
        <f>VLOOKUP($B$4&amp;" "&amp;$B43,Actuals!$D$4:$AR$131,MONTH(R$6)+16,FALSE)</f>
        <v>1</v>
      </c>
      <c r="S43" s="213">
        <f>VLOOKUP($B$4&amp;" "&amp;$B43,Actuals!$D$4:$AR$131,MONTH(S$6)+16,FALSE)</f>
        <v>1</v>
      </c>
      <c r="T43" s="213">
        <f>VLOOKUP($B$4&amp;" "&amp;$B43,Actuals!$D$4:$AR$131,MONTH(T$6)+16,FALSE)</f>
        <v>1</v>
      </c>
      <c r="U43" s="213">
        <f>VLOOKUP($B$4&amp;" "&amp;$B43,Actuals!$D$4:$AR$131,MONTH(U$6)+16,FALSE)</f>
        <v>1</v>
      </c>
      <c r="V43" s="213">
        <f>VLOOKUP($B$4&amp;" "&amp;$B43,Actuals!$D$4:$AR$131,MONTH(V$6)+16,FALSE)</f>
        <v>1</v>
      </c>
      <c r="W43" s="213"/>
      <c r="X43" s="213"/>
      <c r="Y43" s="213"/>
      <c r="Z43" s="213"/>
      <c r="AA43" s="213"/>
      <c r="AB43" s="213"/>
      <c r="AC43" s="213" cm="1">
        <f t="array" ref="AC43">_xlfn.XLOOKUP(
   $B$4&amp;" "&amp;$B43,
   Actuals!$D:$D,
   _xlfn.XLOOKUP(
      AC$6,
      Actuals!$H$3:$BD$3,
      Actuals!$H:$BD
   )
)</f>
        <v>0.1498277338814753</v>
      </c>
      <c r="AD43" s="213" cm="1">
        <f t="array" ref="AD43">_xlfn.XLOOKUP(
   $B$4&amp;" "&amp;$B43,
   Actuals!$D:$D,
   _xlfn.XLOOKUP(
      AD$6,
      Actuals!$H$3:$BD$3,
      Actuals!$H:$BD
   )
)</f>
        <v>0.77856161999189588</v>
      </c>
      <c r="AE43" s="213" cm="1">
        <f t="array" ref="AE43">_xlfn.XLOOKUP(
   $B$4&amp;" "&amp;$B43,
   Actuals!$D:$D,
   _xlfn.XLOOKUP(
      AE$6,
      Actuals!$H$3:$BD$3,
      Actuals!$H:$BD
   )
)</f>
        <v>0.99560163359461318</v>
      </c>
      <c r="AF43" s="213" cm="1">
        <f t="array" ref="AF43">_xlfn.XLOOKUP(
   $B$4&amp;" "&amp;$B43,
   Actuals!$D:$D,
   _xlfn.XLOOKUP(
      AF$6,
      Actuals!$H$3:$BD$3,
      Actuals!$H:$BD
   )
)</f>
        <v>1.0439112105564501</v>
      </c>
      <c r="AG43" s="213" cm="1">
        <f t="array" ref="AG43">_xlfn.XLOOKUP(
   $B$4&amp;" "&amp;$B43,
   Actuals!$D:$D,
   _xlfn.XLOOKUP(
      AG$6,
      Actuals!$H$3:$BD$3,
      Actuals!$H:$BD
   )
)</f>
        <v>1.0714698863016783</v>
      </c>
      <c r="AH43" s="213" cm="1">
        <f t="array" ref="AH43">_xlfn.XLOOKUP(
   $B$4&amp;" "&amp;$B43,
   Actuals!$D:$D,
   _xlfn.XLOOKUP(
      AH$6,
      Actuals!$H$3:$BD$3,
      Actuals!$H:$BD
   )
)</f>
        <v>1.0630535709450253</v>
      </c>
      <c r="AI43" s="213" cm="1">
        <f t="array" ref="AI43">_xlfn.XLOOKUP(
   $B$4&amp;" "&amp;$B43,
   Actuals!$D:$D,
   _xlfn.XLOOKUP(
      AI$6,
      Actuals!$H$3:$BD$3,
      Actuals!$H:$BD
   )
)</f>
        <v>1.0661902950857745</v>
      </c>
      <c r="AJ43" s="213" cm="1">
        <f t="array" ref="AJ43">_xlfn.XLOOKUP(
   $B$4&amp;" "&amp;$B43,
   Actuals!$D:$D,
   _xlfn.XLOOKUP(
      AJ$6,
      Actuals!$H$3:$BD$3,
      Actuals!$H:$BD
   )
)</f>
        <v>1.0305577382408828</v>
      </c>
      <c r="AK43" s="213" cm="1">
        <f t="array" ref="AK43">_xlfn.XLOOKUP(
   $B$4&amp;" "&amp;$B43,
   Actuals!$D:$D,
   _xlfn.XLOOKUP(
      AK$6,
      Actuals!$H$3:$BD$3,
      Actuals!$H:$BD
   )
)</f>
        <v>0.849334049899236</v>
      </c>
      <c r="AL43" s="213" cm="1">
        <f t="array" ref="AL43">_xlfn.XLOOKUP(
   $B$4&amp;" "&amp;$B43,
   Actuals!$D:$D,
   _xlfn.XLOOKUP(
      AL$6,
      Actuals!$H$3:$BD$3,
      Actuals!$H:$BD
   )
)</f>
        <v>0.99621192623599686</v>
      </c>
      <c r="AM43" s="213" cm="1">
        <f t="array" ref="AM43">_xlfn.XLOOKUP(
   $B$4&amp;" "&amp;$B43,
   Actuals!$D:$D,
   _xlfn.XLOOKUP(
      AM$6,
      Actuals!$H$3:$BD$3,
      Actuals!$H:$BD
   )
)</f>
        <v>0.93217767158854414</v>
      </c>
      <c r="AN43" s="213" cm="1">
        <f t="array" ref="AN43">_xlfn.XLOOKUP(
   $B$4&amp;" "&amp;$B43,
   Actuals!$D:$D,
   _xlfn.XLOOKUP(
      AN$6,
      Actuals!$H$3:$BD$3,
      Actuals!$H:$BD
   )
)</f>
        <v>1.0192360376377623</v>
      </c>
      <c r="AO43" s="213" cm="1">
        <f t="array" ref="AO43">_xlfn.XLOOKUP(
   $B$4&amp;" "&amp;$B43,
   Actuals!$D:$D,
   _xlfn.XLOOKUP(
      AO$6,
      Actuals!$H$3:$BD$3,
      Actuals!$H:$BD
   )
)</f>
        <v>1</v>
      </c>
      <c r="AP43" s="213" cm="1">
        <f t="array" ref="AP43">_xlfn.XLOOKUP(
   $B$4&amp;" "&amp;$B43,
   Actuals!$D:$D,
   _xlfn.XLOOKUP(
      AP$6,
      Actuals!$H$3:$BD$3,
      Actuals!$H:$BD
   )
)</f>
        <v>1</v>
      </c>
      <c r="AQ43" s="213" cm="1">
        <f t="array" ref="AQ43">_xlfn.XLOOKUP(
   $B$4&amp;" "&amp;$B43,
   Actuals!$D:$D,
   _xlfn.XLOOKUP(
      AQ$6,
      Actuals!$H$3:$BD$3,
      Actuals!$H:$BD
   )
)</f>
        <v>1</v>
      </c>
      <c r="AR43" s="213" cm="1">
        <f t="array" ref="AR43">_xlfn.XLOOKUP(
   $B$4&amp;" "&amp;$B43,
   Actuals!$D:$D,
   _xlfn.XLOOKUP(
      AR$6,
      Actuals!$H$3:$BD$3,
      Actuals!$H:$BD
   )
)</f>
        <v>1</v>
      </c>
      <c r="AS43" s="213" cm="1">
        <f t="array" ref="AS43">_xlfn.XLOOKUP(
   $B$4&amp;" "&amp;$B43,
   Actuals!$D:$D,
   _xlfn.XLOOKUP(
      AS$6,
      Actuals!$H$3:$BD$3,
      Actuals!$H:$BD
   )
)</f>
        <v>1</v>
      </c>
      <c r="AT43" s="213" cm="1">
        <f t="array" ref="AT43">_xlfn.XLOOKUP(
   $B$4&amp;" "&amp;$B43,
   Actuals!$D:$D,
   _xlfn.XLOOKUP(
      AT$6,
      Actuals!$H$3:$BD$3,
      Actuals!$H:$BD
   )
)</f>
        <v>1</v>
      </c>
      <c r="AU43" s="213" cm="1">
        <f t="array" ref="AU43">_xlfn.XLOOKUP(
   $B$4&amp;" "&amp;$B43,
   Actuals!$D:$D,
   _xlfn.XLOOKUP(
      AU$6,
      Actuals!$H$3:$BD$3,
      Actuals!$H:$BD
   )
)</f>
        <v>1</v>
      </c>
      <c r="AV43" s="213" cm="1">
        <f t="array" ref="AV43">_xlfn.XLOOKUP(
   $B$4&amp;" "&amp;$B43,
   Actuals!$D:$D,
   _xlfn.XLOOKUP(
      AV$6,
      Actuals!$H$3:$BD$3,
      Actuals!$H:$BD
   )
)</f>
        <v>1</v>
      </c>
      <c r="AW43" s="213" cm="1">
        <f t="array" ref="AW43">_xlfn.XLOOKUP(
   $B$4&amp;" "&amp;$B43,
   Actuals!$D:$D,
   _xlfn.XLOOKUP(
      AW$6,
      Actuals!$H$3:$BD$3,
      Actuals!$H:$BD
   )
)</f>
        <v>1</v>
      </c>
      <c r="AX43" s="213" cm="1">
        <f t="array" ref="AX43">_xlfn.XLOOKUP(
   $B$4&amp;" "&amp;$B43,
   Actuals!$D:$D,
   _xlfn.XLOOKUP(
      AX$6,
      Actuals!$H$3:$BD$3,
      Actuals!$H:$BD
   )
)</f>
        <v>1</v>
      </c>
      <c r="AY43" s="213" cm="1">
        <f t="array" ref="AY43">_xlfn.XLOOKUP(
   $B$4&amp;" "&amp;$B43,
   Actuals!$D:$D,
   _xlfn.XLOOKUP(
      AY$6,
      Actuals!$H$3:$BD$3,
      Actuals!$H:$BD
   )
)</f>
        <v>1</v>
      </c>
      <c r="AZ43" s="213" cm="1">
        <f t="array" ref="AZ43">_xlfn.XLOOKUP(
   $B$4&amp;" "&amp;$B43,
   Actuals!$D:$D,
   _xlfn.XLOOKUP(
      AZ$6,
      Actuals!$H$3:$BD$3,
      Actuals!$H:$BD
   )
)</f>
        <v>1</v>
      </c>
      <c r="BA43" s="213"/>
      <c r="BB43" s="213" cm="1">
        <f t="array" ref="BB43">_xlfn.XLOOKUP(
   $B$4&amp;" "&amp;$B43,
   Actuals!$D:$D,
   _xlfn.XLOOKUP(
      BB$7,
      Actuals!$H$3:$BM$3,
      Actuals!$H:$BM
   )
)</f>
        <v>1</v>
      </c>
      <c r="BC43" s="213" t="e">
        <f>VLOOKUP($B$4&amp;" "&amp;$B43,Budget!$AG$4:$AL$157,$BB$5+1,FALSE)</f>
        <v>#DIV/0!</v>
      </c>
      <c r="BD43" s="213" t="e">
        <f>BB43-BC43</f>
        <v>#DIV/0!</v>
      </c>
      <c r="BE43" s="213"/>
      <c r="BF43" s="213" cm="1">
        <f t="array" ref="BF43">_xlfn.XLOOKUP(
   $B$4&amp;" "&amp;$B43,
   Actuals!$D:$D,
   _xlfn.XLOOKUP(
      BF$7,
      Actuals!$H$3:$BM$3,
      Actuals!$H:$BM
   )
)</f>
        <v>1</v>
      </c>
      <c r="BG43" s="213" t="e">
        <f>VLOOKUP($B$4&amp;" "&amp;$B43,Budget!$AG$4:$AL$157,BF$5+1,FALSE)</f>
        <v>#DIV/0!</v>
      </c>
      <c r="BH43" s="213" t="e">
        <f>BF43-BG43</f>
        <v>#DIV/0!</v>
      </c>
      <c r="BI43" s="213"/>
      <c r="BJ43" s="213" cm="1">
        <f t="array" ref="BJ43">_xlfn.XLOOKUP(
   $B$4&amp;" "&amp;$B43,
   Actuals!$D:$D,
   _xlfn.XLOOKUP(
      BJ$7,
      Actuals!$H$3:$BM$3,
      Actuals!$H:$BM
   )
)</f>
        <v>1</v>
      </c>
      <c r="BK43" s="213" t="e">
        <f>VLOOKUP($B$4&amp;" "&amp;$B43,Budget!$AG$4:$AL$157,BJ$5+1,FALSE)</f>
        <v>#DIV/0!</v>
      </c>
      <c r="BL43" s="213" t="e">
        <f>BJ43-BK43</f>
        <v>#DIV/0!</v>
      </c>
      <c r="BM43" s="213"/>
      <c r="BN43" s="213" cm="1">
        <f t="array" ref="BN43">_xlfn.XLOOKUP(
   $B$4&amp;" "&amp;$B43,
   Actuals!$D:$D,
   _xlfn.XLOOKUP(
      BN$7,
      Actuals!$H$3:$BM$3,
      Actuals!$H:$BM
   )
)</f>
        <v>1</v>
      </c>
      <c r="BO43" s="213" t="e">
        <f>VLOOKUP($B$4&amp;" "&amp;$B43,Budget!$AG$4:$AL$157,BN$5+1,FALSE)</f>
        <v>#DIV/0!</v>
      </c>
      <c r="BP43" s="213"/>
      <c r="BQ43" s="213"/>
      <c r="BR43" s="213">
        <f ca="1">VLOOKUP($B$4&amp;" "&amp;$B43,Actuals!$BG$4:$BL$157,6,FALSE)</f>
        <v>1</v>
      </c>
      <c r="BS43" s="213">
        <f ca="1">VLOOKUP($B$4&amp;" "&amp;$B43,Budget!$AG$4:$AL$157,6,FALSE)</f>
        <v>1.0702940416634446</v>
      </c>
      <c r="BT43" s="213">
        <f ca="1">BR43-BS43</f>
        <v>-7.0294041663444551E-2</v>
      </c>
      <c r="BU43" s="213"/>
      <c r="BV43" s="213" cm="1">
        <f t="array" ref="BV43">_xlfn.XLOOKUP(
   $B$4&amp;" "&amp;$B43,
   Actuals!$D:$D,
   _xlfn.XLOOKUP(
      BV$6,
      Actuals!$H$3:$BM$3,
      Actuals!$H:$BM
   )
)</f>
        <v>0.98719213667315486</v>
      </c>
    </row>
    <row r="44" spans="2:75" s="26" customFormat="1">
      <c r="B44" s="26" t="s">
        <v>231</v>
      </c>
      <c r="C44" s="139" t="s">
        <v>47</v>
      </c>
      <c r="D44" s="171" t="str">
        <f>VLOOKUP($B$4&amp;" "&amp;$B44,Actuals!$D$4:$AG$131,3,FALSE)</f>
        <v>%</v>
      </c>
      <c r="E44" s="180">
        <f>VLOOKUP($B$4&amp;" "&amp;$B44,Actuals!$D$4:$AG$131,MONTH(E$6)+4,FALSE)</f>
        <v>0.6166082317748024</v>
      </c>
      <c r="F44" s="180">
        <f>VLOOKUP($B$4&amp;" "&amp;$B44,Actuals!$D$4:$AG$131,MONTH(F$6)+4,FALSE)</f>
        <v>0.53587599524119245</v>
      </c>
      <c r="G44" s="213">
        <f>VLOOKUP($B$4&amp;" "&amp;$B44,Actuals!$D$4:$AG$131,MONTH(G$6)+4,FALSE)</f>
        <v>0.56070634377432205</v>
      </c>
      <c r="H44" s="180">
        <f>VLOOKUP($B$4&amp;" "&amp;$B44,Actuals!$D$4:$AG$131,MONTH(H$6)+4,FALSE)</f>
        <v>0.51704906895247271</v>
      </c>
      <c r="I44" s="180">
        <f>VLOOKUP($B$4&amp;" "&amp;$B44,Actuals!$D$4:$AG$131,MONTH(I$6)+4,FALSE)</f>
        <v>0.64271720546414257</v>
      </c>
      <c r="J44" s="213">
        <f>VLOOKUP($B$4&amp;" "&amp;$B44,Actuals!$D$4:$AG$131,MONTH(J$6)+4,FALSE)</f>
        <v>0.58096268756407232</v>
      </c>
      <c r="K44" s="180">
        <f>VLOOKUP($B$4&amp;" "&amp;$B44,Actuals!$D$4:$AG$131,MONTH(K$6)+4,FALSE)</f>
        <v>0.59923576083841246</v>
      </c>
      <c r="L44" s="180">
        <f>VLOOKUP($B$4&amp;" "&amp;$B44,Actuals!$D$4:$AG$131,MONTH(L$6)+4,FALSE)</f>
        <v>0.56402087392705935</v>
      </c>
      <c r="M44" s="213">
        <f>VLOOKUP($B$4&amp;" "&amp;$B44,Actuals!$D$4:$AG$131,MONTH(M$6)+4,FALSE)</f>
        <v>0.57837308025987277</v>
      </c>
      <c r="N44" s="213">
        <f>VLOOKUP($B$4&amp;" "&amp;$B44,Actuals!$D$4:$AG$131,MONTH(N$6)+4,FALSE)</f>
        <v>0.54959131884551504</v>
      </c>
      <c r="O44" s="213">
        <f>VLOOKUP($B$4&amp;" "&amp;$B44,Actuals!$D$4:$AG$131,MONTH(O$6)+4,FALSE)</f>
        <v>0</v>
      </c>
      <c r="P44" s="213">
        <f>VLOOKUP($B$4&amp;" "&amp;$B44,Actuals!$D$4:$AG$131,MONTH(P$6)+4,FALSE)</f>
        <v>0</v>
      </c>
      <c r="Q44" s="213">
        <f>VLOOKUP($B$4&amp;" "&amp;$B44,Actuals!$D$4:$AR$131,MONTH(Q$6)+16,FALSE)</f>
        <v>0</v>
      </c>
      <c r="R44" s="213">
        <f>VLOOKUP($B$4&amp;" "&amp;$B44,Actuals!$D$4:$AR$131,MONTH(R$6)+16,FALSE)</f>
        <v>0</v>
      </c>
      <c r="S44" s="213">
        <f>VLOOKUP($B$4&amp;" "&amp;$B44,Actuals!$D$4:$AR$131,MONTH(S$6)+16,FALSE)</f>
        <v>0</v>
      </c>
      <c r="T44" s="213">
        <f>VLOOKUP($B$4&amp;" "&amp;$B44,Actuals!$D$4:$AR$131,MONTH(T$6)+16,FALSE)</f>
        <v>0</v>
      </c>
      <c r="U44" s="213">
        <f>VLOOKUP($B$4&amp;" "&amp;$B44,Actuals!$D$4:$AR$131,MONTH(U$6)+16,FALSE)</f>
        <v>0</v>
      </c>
      <c r="V44" s="213">
        <f>VLOOKUP($B$4&amp;" "&amp;$B44,Actuals!$D$4:$AR$131,MONTH(V$6)+16,FALSE)</f>
        <v>0</v>
      </c>
      <c r="W44" s="213"/>
      <c r="X44" s="213"/>
      <c r="Y44" s="213"/>
      <c r="Z44" s="213"/>
      <c r="AA44" s="213"/>
      <c r="AB44" s="213"/>
      <c r="AC44" s="213" cm="1">
        <f t="array" ref="AC44">_xlfn.XLOOKUP(
   $B$4&amp;" "&amp;$B44,
   Actuals!$D:$D,
   _xlfn.XLOOKUP(
      AC$6,
      Actuals!$H$3:$BD$3,
      Actuals!$H:$BD
   )
)</f>
        <v>0.53011114385859659</v>
      </c>
      <c r="AD44" s="213" cm="1">
        <f t="array" ref="AD44">_xlfn.XLOOKUP(
   $B$4&amp;" "&amp;$B44,
   Actuals!$D:$D,
   _xlfn.XLOOKUP(
      AD$6,
      Actuals!$H$3:$BD$3,
      Actuals!$H:$BD
   )
)</f>
        <v>0.53011114385859659</v>
      </c>
      <c r="AE44" s="213" cm="1">
        <f t="array" ref="AE44">_xlfn.XLOOKUP(
   $B$4&amp;" "&amp;$B44,
   Actuals!$D:$D,
   _xlfn.XLOOKUP(
      AE$6,
      Actuals!$H$3:$BD$3,
      Actuals!$H:$BD
   )
)</f>
        <v>0.53011114385859659</v>
      </c>
      <c r="AF44" s="213" cm="1">
        <f t="array" ref="AF44">_xlfn.XLOOKUP(
   $B$4&amp;" "&amp;$B44,
   Actuals!$D:$D,
   _xlfn.XLOOKUP(
      AF$6,
      Actuals!$H$3:$BD$3,
      Actuals!$H:$BD
   )
)</f>
        <v>0.53011114385859659</v>
      </c>
      <c r="AG44" s="213" cm="1">
        <f t="array" ref="AG44">_xlfn.XLOOKUP(
   $B$4&amp;" "&amp;$B44,
   Actuals!$D:$D,
   _xlfn.XLOOKUP(
      AG$6,
      Actuals!$H$3:$BD$3,
      Actuals!$H:$BD
   )
)</f>
        <v>0.53011114385859659</v>
      </c>
      <c r="AH44" s="213" cm="1">
        <f t="array" ref="AH44">_xlfn.XLOOKUP(
   $B$4&amp;" "&amp;$B44,
   Actuals!$D:$D,
   _xlfn.XLOOKUP(
      AH$6,
      Actuals!$H$3:$BD$3,
      Actuals!$H:$BD
   )
)</f>
        <v>0.53011114385859648</v>
      </c>
      <c r="AI44" s="213" cm="1">
        <f t="array" ref="AI44">_xlfn.XLOOKUP(
   $B$4&amp;" "&amp;$B44,
   Actuals!$D:$D,
   _xlfn.XLOOKUP(
      AI$6,
      Actuals!$H$3:$BD$3,
      Actuals!$H:$BD
   )
)</f>
        <v>0.53011114385859648</v>
      </c>
      <c r="AJ44" s="213" cm="1">
        <f t="array" ref="AJ44">_xlfn.XLOOKUP(
   $B$4&amp;" "&amp;$B44,
   Actuals!$D:$D,
   _xlfn.XLOOKUP(
      AJ$6,
      Actuals!$H$3:$BD$3,
      Actuals!$H:$BD
   )
)</f>
        <v>0.53011114385859648</v>
      </c>
      <c r="AK44" s="213" cm="1">
        <f t="array" ref="AK44">_xlfn.XLOOKUP(
   $B$4&amp;" "&amp;$B44,
   Actuals!$D:$D,
   _xlfn.XLOOKUP(
      AK$6,
      Actuals!$H$3:$BD$3,
      Actuals!$H:$BD
   )
)</f>
        <v>0.53011114385859637</v>
      </c>
      <c r="AL44" s="213" cm="1">
        <f t="array" ref="AL44">_xlfn.XLOOKUP(
   $B$4&amp;" "&amp;$B44,
   Actuals!$D:$D,
   _xlfn.XLOOKUP(
      AL$6,
      Actuals!$H$3:$BD$3,
      Actuals!$H:$BD
   )
)</f>
        <v>0.53011114385859648</v>
      </c>
      <c r="AM44" s="213" cm="1">
        <f t="array" ref="AM44">_xlfn.XLOOKUP(
   $B$4&amp;" "&amp;$B44,
   Actuals!$D:$D,
   _xlfn.XLOOKUP(
      AM$6,
      Actuals!$H$3:$BD$3,
      Actuals!$H:$BD
   )
)</f>
        <v>0.53011114385859648</v>
      </c>
      <c r="AN44" s="213" cm="1">
        <f t="array" ref="AN44">_xlfn.XLOOKUP(
   $B$4&amp;" "&amp;$B44,
   Actuals!$D:$D,
   _xlfn.XLOOKUP(
      AN$6,
      Actuals!$H$3:$BD$3,
      Actuals!$H:$BD
   )
)</f>
        <v>0.53011114385859659</v>
      </c>
      <c r="AO44" s="213" cm="1">
        <f t="array" ref="AO44">_xlfn.XLOOKUP(
   $B$4&amp;" "&amp;$B44,
   Actuals!$D:$D,
   _xlfn.XLOOKUP(
      AO$6,
      Actuals!$H$3:$BD$3,
      Actuals!$H:$BD
   )
)</f>
        <v>0.53011114385859659</v>
      </c>
      <c r="AP44" s="213" cm="1">
        <f t="array" ref="AP44">_xlfn.XLOOKUP(
   $B$4&amp;" "&amp;$B44,
   Actuals!$D:$D,
   _xlfn.XLOOKUP(
      AP$6,
      Actuals!$H$3:$BD$3,
      Actuals!$H:$BD
   )
)</f>
        <v>0.53011114385859659</v>
      </c>
      <c r="AQ44" s="213" cm="1">
        <f t="array" ref="AQ44">_xlfn.XLOOKUP(
   $B$4&amp;" "&amp;$B44,
   Actuals!$D:$D,
   _xlfn.XLOOKUP(
      AQ$6,
      Actuals!$H$3:$BD$3,
      Actuals!$H:$BD
   )
)</f>
        <v>0.53011114385859659</v>
      </c>
      <c r="AR44" s="213" cm="1">
        <f t="array" ref="AR44">_xlfn.XLOOKUP(
   $B$4&amp;" "&amp;$B44,
   Actuals!$D:$D,
   _xlfn.XLOOKUP(
      AR$6,
      Actuals!$H$3:$BD$3,
      Actuals!$H:$BD
   )
)</f>
        <v>0</v>
      </c>
      <c r="AS44" s="213" cm="1">
        <f t="array" ref="AS44">_xlfn.XLOOKUP(
   $B$4&amp;" "&amp;$B44,
   Actuals!$D:$D,
   _xlfn.XLOOKUP(
      AS$6,
      Actuals!$H$3:$BD$3,
      Actuals!$H:$BD
   )
)</f>
        <v>0</v>
      </c>
      <c r="AT44" s="213" cm="1">
        <f t="array" ref="AT44">_xlfn.XLOOKUP(
   $B$4&amp;" "&amp;$B44,
   Actuals!$D:$D,
   _xlfn.XLOOKUP(
      AT$6,
      Actuals!$H$3:$BD$3,
      Actuals!$H:$BD
   )
)</f>
        <v>0</v>
      </c>
      <c r="AU44" s="213" cm="1">
        <f t="array" ref="AU44">_xlfn.XLOOKUP(
   $B$4&amp;" "&amp;$B44,
   Actuals!$D:$D,
   _xlfn.XLOOKUP(
      AU$6,
      Actuals!$H$3:$BD$3,
      Actuals!$H:$BD
   )
)</f>
        <v>0</v>
      </c>
      <c r="AV44" s="213" cm="1">
        <f t="array" ref="AV44">_xlfn.XLOOKUP(
   $B$4&amp;" "&amp;$B44,
   Actuals!$D:$D,
   _xlfn.XLOOKUP(
      AV$6,
      Actuals!$H$3:$BD$3,
      Actuals!$H:$BD
   )
)</f>
        <v>0</v>
      </c>
      <c r="AW44" s="213" cm="1">
        <f t="array" ref="AW44">_xlfn.XLOOKUP(
   $B$4&amp;" "&amp;$B44,
   Actuals!$D:$D,
   _xlfn.XLOOKUP(
      AW$6,
      Actuals!$H$3:$BD$3,
      Actuals!$H:$BD
   )
)</f>
        <v>0</v>
      </c>
      <c r="AX44" s="213" cm="1">
        <f t="array" ref="AX44">_xlfn.XLOOKUP(
   $B$4&amp;" "&amp;$B44,
   Actuals!$D:$D,
   _xlfn.XLOOKUP(
      AX$6,
      Actuals!$H$3:$BD$3,
      Actuals!$H:$BD
   )
)</f>
        <v>0</v>
      </c>
      <c r="AY44" s="213" cm="1">
        <f t="array" ref="AY44">_xlfn.XLOOKUP(
   $B$4&amp;" "&amp;$B44,
   Actuals!$D:$D,
   _xlfn.XLOOKUP(
      AY$6,
      Actuals!$H$3:$BD$3,
      Actuals!$H:$BD
   )
)</f>
        <v>0</v>
      </c>
      <c r="AZ44" s="213" cm="1">
        <f t="array" ref="AZ44">_xlfn.XLOOKUP(
   $B$4&amp;" "&amp;$B44,
   Actuals!$D:$D,
   _xlfn.XLOOKUP(
      AZ$6,
      Actuals!$H$3:$BD$3,
      Actuals!$H:$BD
   )
)</f>
        <v>0</v>
      </c>
      <c r="BA44" s="213"/>
      <c r="BB44" s="213" cm="1">
        <f t="array" ref="BB44">_xlfn.XLOOKUP(
   $B$4&amp;" "&amp;$B44,
   Actuals!$D:$D,
   _xlfn.XLOOKUP(
      BB$7,
      Actuals!$H$3:$BM$3,
      Actuals!$H:$BM
   )
)</f>
        <v>0.53011114385859659</v>
      </c>
      <c r="BC44" s="213" t="e">
        <f>VLOOKUP($B$4&amp;" "&amp;$B44,Budget!$AG$4:$AL$157,$BB$5+1,FALSE)</f>
        <v>#DIV/0!</v>
      </c>
      <c r="BD44" s="213" t="e">
        <f>BB44-BC44</f>
        <v>#DIV/0!</v>
      </c>
      <c r="BE44" s="213"/>
      <c r="BF44" s="213" cm="1">
        <f t="array" ref="BF44">_xlfn.XLOOKUP(
   $B$4&amp;" "&amp;$B44,
   Actuals!$D:$D,
   _xlfn.XLOOKUP(
      BF$7,
      Actuals!$H$3:$BM$3,
      Actuals!$H:$BM
   )
)</f>
        <v>0</v>
      </c>
      <c r="BG44" s="213" t="e">
        <f>VLOOKUP($B$4&amp;" "&amp;$B44,Budget!$AG$4:$AL$157,BF$5+1,FALSE)</f>
        <v>#DIV/0!</v>
      </c>
      <c r="BH44" s="213" t="e">
        <f>BF44-BG44</f>
        <v>#DIV/0!</v>
      </c>
      <c r="BI44" s="213"/>
      <c r="BJ44" s="213" cm="1">
        <f t="array" ref="BJ44">_xlfn.XLOOKUP(
   $B$4&amp;" "&amp;$B44,
   Actuals!$D:$D,
   _xlfn.XLOOKUP(
      BJ$7,
      Actuals!$H$3:$BM$3,
      Actuals!$H:$BM
   )
)</f>
        <v>0</v>
      </c>
      <c r="BK44" s="213" t="e">
        <f>VLOOKUP($B$4&amp;" "&amp;$B44,Budget!$AG$4:$AL$157,BJ$5+1,FALSE)</f>
        <v>#DIV/0!</v>
      </c>
      <c r="BL44" s="213" t="e">
        <f>BJ44-BK44</f>
        <v>#DIV/0!</v>
      </c>
      <c r="BM44" s="213"/>
      <c r="BN44" s="213" cm="1">
        <f t="array" ref="BN44">_xlfn.XLOOKUP(
   $B$4&amp;" "&amp;$B44,
   Actuals!$D:$D,
   _xlfn.XLOOKUP(
      BN$7,
      Actuals!$H$3:$BM$3,
      Actuals!$H:$BM
   )
)</f>
        <v>0</v>
      </c>
      <c r="BO44" s="213" t="e">
        <f>VLOOKUP($B$4&amp;" "&amp;$B44,Budget!$AG$4:$AL$157,BN$5+1,FALSE)</f>
        <v>#DIV/0!</v>
      </c>
      <c r="BP44" s="213"/>
      <c r="BQ44" s="213"/>
      <c r="BR44" s="213">
        <f ca="1">VLOOKUP($B$4&amp;" "&amp;$B44,Actuals!$BG$4:$BL$157,6,FALSE)</f>
        <v>0.13252778596464915</v>
      </c>
      <c r="BS44" s="213">
        <f ca="1">VLOOKUP($B$4&amp;" "&amp;$B44,Budget!$AG$4:$AL$157,6,FALSE)</f>
        <v>0</v>
      </c>
      <c r="BT44" s="213">
        <f ca="1">BR44-BS44</f>
        <v>0.13252778596464915</v>
      </c>
      <c r="BU44" s="213"/>
      <c r="BV44" s="213" cm="1">
        <f t="array" ref="BV44">_xlfn.XLOOKUP(
   $B$4&amp;" "&amp;$B44,
   Actuals!$D:$D,
   _xlfn.XLOOKUP(
      BV$6,
      Actuals!$H$3:$BM$3,
      Actuals!$H:$BM
   )
)</f>
        <v>0.53011114385859659</v>
      </c>
    </row>
    <row r="45" spans="2:75" s="26" customFormat="1">
      <c r="B45" s="26" t="s">
        <v>232</v>
      </c>
      <c r="C45" s="139" t="s">
        <v>47</v>
      </c>
      <c r="D45" s="171" t="str">
        <f>VLOOKUP($B$4&amp;" "&amp;$B45,Actuals!$D$4:$AG$131,3,FALSE)</f>
        <v>%</v>
      </c>
      <c r="E45" s="180">
        <f>VLOOKUP($B$4&amp;" "&amp;$B45,Actuals!$D$4:$AG$131,MONTH(E$6)+4,FALSE)</f>
        <v>-0.43996351844296389</v>
      </c>
      <c r="F45" s="180">
        <f>VLOOKUP($B$4&amp;" "&amp;$B45,Actuals!$D$4:$AG$131,MONTH(F$6)+4,FALSE)</f>
        <v>-0.37793744718974287</v>
      </c>
      <c r="G45" s="213">
        <f>VLOOKUP($B$4&amp;" "&amp;$B45,Actuals!$D$4:$AG$131,MONTH(G$6)+4,FALSE)</f>
        <v>-0.28311475014370791</v>
      </c>
      <c r="H45" s="180">
        <f>VLOOKUP($B$4&amp;" "&amp;$B45,Actuals!$D$4:$AG$131,MONTH(H$6)+4,FALSE)</f>
        <v>-0.45593322127380742</v>
      </c>
      <c r="I45" s="180">
        <f>VLOOKUP($B$4&amp;" "&amp;$B45,Actuals!$D$4:$AG$131,MONTH(I$6)+4,FALSE)</f>
        <v>-0.14072206362233763</v>
      </c>
      <c r="J45" s="213">
        <f>VLOOKUP($B$4&amp;" "&amp;$B45,Actuals!$D$4:$AG$131,MONTH(J$6)+4,FALSE)</f>
        <v>-0.38768309870782108</v>
      </c>
      <c r="K45" s="180">
        <f>VLOOKUP($B$4&amp;" "&amp;$B45,Actuals!$D$4:$AG$131,MONTH(K$6)+4,FALSE)</f>
        <v>-0.4443946619902554</v>
      </c>
      <c r="L45" s="180">
        <f>VLOOKUP($B$4&amp;" "&amp;$B45,Actuals!$D$4:$AG$131,MONTH(L$6)+4,FALSE)</f>
        <v>-0.54080780404555762</v>
      </c>
      <c r="M45" s="213">
        <f>VLOOKUP($B$4&amp;" "&amp;$B45,Actuals!$D$4:$AG$131,MONTH(M$6)+4,FALSE)</f>
        <v>-0.33253824910428675</v>
      </c>
      <c r="N45" s="213">
        <f>VLOOKUP($B$4&amp;" "&amp;$B45,Actuals!$D$4:$AG$131,MONTH(N$6)+4,FALSE)</f>
        <v>-0.52237686649744941</v>
      </c>
      <c r="O45" s="213">
        <f>VLOOKUP($B$4&amp;" "&amp;$B45,Actuals!$D$4:$AG$131,MONTH(O$6)+4,FALSE)</f>
        <v>0</v>
      </c>
      <c r="P45" s="213">
        <f>VLOOKUP($B$4&amp;" "&amp;$B45,Actuals!$D$4:$AG$131,MONTH(P$6)+4,FALSE)</f>
        <v>0</v>
      </c>
      <c r="Q45" s="213">
        <f>VLOOKUP($B$4&amp;" "&amp;$B45,Actuals!$D$4:$AR$131,MONTH(Q$6)+16,FALSE)</f>
        <v>0</v>
      </c>
      <c r="R45" s="213">
        <f>VLOOKUP($B$4&amp;" "&amp;$B45,Actuals!$D$4:$AR$131,MONTH(R$6)+16,FALSE)</f>
        <v>0</v>
      </c>
      <c r="S45" s="213">
        <f>VLOOKUP($B$4&amp;" "&amp;$B45,Actuals!$D$4:$AR$131,MONTH(S$6)+16,FALSE)</f>
        <v>0</v>
      </c>
      <c r="T45" s="213">
        <f>VLOOKUP($B$4&amp;" "&amp;$B45,Actuals!$D$4:$AR$131,MONTH(T$6)+16,FALSE)</f>
        <v>0</v>
      </c>
      <c r="U45" s="213">
        <f>VLOOKUP($B$4&amp;" "&amp;$B45,Actuals!$D$4:$AR$131,MONTH(U$6)+16,FALSE)</f>
        <v>0</v>
      </c>
      <c r="V45" s="213">
        <f>VLOOKUP($B$4&amp;" "&amp;$B45,Actuals!$D$4:$AR$131,MONTH(V$6)+16,FALSE)</f>
        <v>0</v>
      </c>
      <c r="W45" s="213"/>
      <c r="X45" s="213"/>
      <c r="Y45" s="213"/>
      <c r="Z45" s="213"/>
      <c r="AA45" s="213"/>
      <c r="AB45" s="213"/>
      <c r="AC45" s="213" cm="1">
        <f t="array" ref="AC45">_xlfn.XLOOKUP(
   $B$4&amp;" "&amp;$B45,
   Actuals!$D:$D,
   _xlfn.XLOOKUP(
      AC$6,
      Actuals!$H$3:$BD$3,
      Actuals!$H:$BD
   )
)</f>
        <v>-0.6950838528977914</v>
      </c>
      <c r="AD45" s="213" cm="1">
        <f t="array" ref="AD45">_xlfn.XLOOKUP(
   $B$4&amp;" "&amp;$B45,
   Actuals!$D:$D,
   _xlfn.XLOOKUP(
      AD$6,
      Actuals!$H$3:$BD$3,
      Actuals!$H:$BD
   )
)</f>
        <v>-0.69508385289779151</v>
      </c>
      <c r="AE45" s="213" cm="1">
        <f t="array" ref="AE45">_xlfn.XLOOKUP(
   $B$4&amp;" "&amp;$B45,
   Actuals!$D:$D,
   _xlfn.XLOOKUP(
      AE$6,
      Actuals!$H$3:$BD$3,
      Actuals!$H:$BD
   )
)</f>
        <v>-0.69508385289779151</v>
      </c>
      <c r="AF45" s="213" cm="1">
        <f t="array" ref="AF45">_xlfn.XLOOKUP(
   $B$4&amp;" "&amp;$B45,
   Actuals!$D:$D,
   _xlfn.XLOOKUP(
      AF$6,
      Actuals!$H$3:$BD$3,
      Actuals!$H:$BD
   )
)</f>
        <v>-0.69508385289779151</v>
      </c>
      <c r="AG45" s="213" cm="1">
        <f t="array" ref="AG45">_xlfn.XLOOKUP(
   $B$4&amp;" "&amp;$B45,
   Actuals!$D:$D,
   _xlfn.XLOOKUP(
      AG$6,
      Actuals!$H$3:$BD$3,
      Actuals!$H:$BD
   )
)</f>
        <v>-0.69508385289779151</v>
      </c>
      <c r="AH45" s="213" cm="1">
        <f t="array" ref="AH45">_xlfn.XLOOKUP(
   $B$4&amp;" "&amp;$B45,
   Actuals!$D:$D,
   _xlfn.XLOOKUP(
      AH$6,
      Actuals!$H$3:$BD$3,
      Actuals!$H:$BD
   )
)</f>
        <v>-0.69508385289779162</v>
      </c>
      <c r="AI45" s="213" cm="1">
        <f t="array" ref="AI45">_xlfn.XLOOKUP(
   $B$4&amp;" "&amp;$B45,
   Actuals!$D:$D,
   _xlfn.XLOOKUP(
      AI$6,
      Actuals!$H$3:$BD$3,
      Actuals!$H:$BD
   )
)</f>
        <v>-0.69508385289779162</v>
      </c>
      <c r="AJ45" s="213" cm="1">
        <f t="array" ref="AJ45">_xlfn.XLOOKUP(
   $B$4&amp;" "&amp;$B45,
   Actuals!$D:$D,
   _xlfn.XLOOKUP(
      AJ$6,
      Actuals!$H$3:$BD$3,
      Actuals!$H:$BD
   )
)</f>
        <v>-0.69508385289779162</v>
      </c>
      <c r="AK45" s="213" cm="1">
        <f t="array" ref="AK45">_xlfn.XLOOKUP(
   $B$4&amp;" "&amp;$B45,
   Actuals!$D:$D,
   _xlfn.XLOOKUP(
      AK$6,
      Actuals!$H$3:$BD$3,
      Actuals!$H:$BD
   )
)</f>
        <v>-0.69508385289779184</v>
      </c>
      <c r="AL45" s="213" cm="1">
        <f t="array" ref="AL45">_xlfn.XLOOKUP(
   $B$4&amp;" "&amp;$B45,
   Actuals!$D:$D,
   _xlfn.XLOOKUP(
      AL$6,
      Actuals!$H$3:$BD$3,
      Actuals!$H:$BD
   )
)</f>
        <v>-0.69508385289779162</v>
      </c>
      <c r="AM45" s="213" cm="1">
        <f t="array" ref="AM45">_xlfn.XLOOKUP(
   $B$4&amp;" "&amp;$B45,
   Actuals!$D:$D,
   _xlfn.XLOOKUP(
      AM$6,
      Actuals!$H$3:$BD$3,
      Actuals!$H:$BD
   )
)</f>
        <v>-0.69508385289779162</v>
      </c>
      <c r="AN45" s="213" cm="1">
        <f t="array" ref="AN45">_xlfn.XLOOKUP(
   $B$4&amp;" "&amp;$B45,
   Actuals!$D:$D,
   _xlfn.XLOOKUP(
      AN$6,
      Actuals!$H$3:$BD$3,
      Actuals!$H:$BD
   )
)</f>
        <v>-0.69508385289779151</v>
      </c>
      <c r="AO45" s="213" cm="1">
        <f t="array" ref="AO45">_xlfn.XLOOKUP(
   $B$4&amp;" "&amp;$B45,
   Actuals!$D:$D,
   _xlfn.XLOOKUP(
      AO$6,
      Actuals!$H$3:$BD$3,
      Actuals!$H:$BD
   )
)</f>
        <v>-0.69508385289779162</v>
      </c>
      <c r="AP45" s="213" cm="1">
        <f t="array" ref="AP45">_xlfn.XLOOKUP(
   $B$4&amp;" "&amp;$B45,
   Actuals!$D:$D,
   _xlfn.XLOOKUP(
      AP$6,
      Actuals!$H$3:$BD$3,
      Actuals!$H:$BD
   )
)</f>
        <v>-0.69508385289779151</v>
      </c>
      <c r="AQ45" s="213" cm="1">
        <f t="array" ref="AQ45">_xlfn.XLOOKUP(
   $B$4&amp;" "&amp;$B45,
   Actuals!$D:$D,
   _xlfn.XLOOKUP(
      AQ$6,
      Actuals!$H$3:$BD$3,
      Actuals!$H:$BD
   )
)</f>
        <v>-0.69508385289779151</v>
      </c>
      <c r="AR45" s="213" cm="1">
        <f t="array" ref="AR45">_xlfn.XLOOKUP(
   $B$4&amp;" "&amp;$B45,
   Actuals!$D:$D,
   _xlfn.XLOOKUP(
      AR$6,
      Actuals!$H$3:$BD$3,
      Actuals!$H:$BD
   )
)</f>
        <v>0</v>
      </c>
      <c r="AS45" s="213" cm="1">
        <f t="array" ref="AS45">_xlfn.XLOOKUP(
   $B$4&amp;" "&amp;$B45,
   Actuals!$D:$D,
   _xlfn.XLOOKUP(
      AS$6,
      Actuals!$H$3:$BD$3,
      Actuals!$H:$BD
   )
)</f>
        <v>0</v>
      </c>
      <c r="AT45" s="213" cm="1">
        <f t="array" ref="AT45">_xlfn.XLOOKUP(
   $B$4&amp;" "&amp;$B45,
   Actuals!$D:$D,
   _xlfn.XLOOKUP(
      AT$6,
      Actuals!$H$3:$BD$3,
      Actuals!$H:$BD
   )
)</f>
        <v>0</v>
      </c>
      <c r="AU45" s="213" cm="1">
        <f t="array" ref="AU45">_xlfn.XLOOKUP(
   $B$4&amp;" "&amp;$B45,
   Actuals!$D:$D,
   _xlfn.XLOOKUP(
      AU$6,
      Actuals!$H$3:$BD$3,
      Actuals!$H:$BD
   )
)</f>
        <v>0</v>
      </c>
      <c r="AV45" s="213" cm="1">
        <f t="array" ref="AV45">_xlfn.XLOOKUP(
   $B$4&amp;" "&amp;$B45,
   Actuals!$D:$D,
   _xlfn.XLOOKUP(
      AV$6,
      Actuals!$H$3:$BD$3,
      Actuals!$H:$BD
   )
)</f>
        <v>0</v>
      </c>
      <c r="AW45" s="213" cm="1">
        <f t="array" ref="AW45">_xlfn.XLOOKUP(
   $B$4&amp;" "&amp;$B45,
   Actuals!$D:$D,
   _xlfn.XLOOKUP(
      AW$6,
      Actuals!$H$3:$BD$3,
      Actuals!$H:$BD
   )
)</f>
        <v>0</v>
      </c>
      <c r="AX45" s="213" cm="1">
        <f t="array" ref="AX45">_xlfn.XLOOKUP(
   $B$4&amp;" "&amp;$B45,
   Actuals!$D:$D,
   _xlfn.XLOOKUP(
      AX$6,
      Actuals!$H$3:$BD$3,
      Actuals!$H:$BD
   )
)</f>
        <v>0</v>
      </c>
      <c r="AY45" s="213" cm="1">
        <f t="array" ref="AY45">_xlfn.XLOOKUP(
   $B$4&amp;" "&amp;$B45,
   Actuals!$D:$D,
   _xlfn.XLOOKUP(
      AY$6,
      Actuals!$H$3:$BD$3,
      Actuals!$H:$BD
   )
)</f>
        <v>0</v>
      </c>
      <c r="AZ45" s="213" cm="1">
        <f t="array" ref="AZ45">_xlfn.XLOOKUP(
   $B$4&amp;" "&amp;$B45,
   Actuals!$D:$D,
   _xlfn.XLOOKUP(
      AZ$6,
      Actuals!$H$3:$BD$3,
      Actuals!$H:$BD
   )
)</f>
        <v>0</v>
      </c>
      <c r="BA45" s="213"/>
      <c r="BB45" s="213" cm="1">
        <f t="array" ref="BB45">_xlfn.XLOOKUP(
   $B$4&amp;" "&amp;$B45,
   Actuals!$D:$D,
   _xlfn.XLOOKUP(
      BB$7,
      Actuals!$H$3:$BM$3,
      Actuals!$H:$BM
   )
)</f>
        <v>-0.69508385289779151</v>
      </c>
      <c r="BC45" s="213" t="e">
        <f>VLOOKUP($B$4&amp;" "&amp;$B45,Budget!$AG$4:$AL$157,$BB$5+1,FALSE)</f>
        <v>#DIV/0!</v>
      </c>
      <c r="BD45" s="213" t="e">
        <f>BB45-BC45</f>
        <v>#DIV/0!</v>
      </c>
      <c r="BE45" s="213"/>
      <c r="BF45" s="213" cm="1">
        <f t="array" ref="BF45">_xlfn.XLOOKUP(
   $B$4&amp;" "&amp;$B45,
   Actuals!$D:$D,
   _xlfn.XLOOKUP(
      BF$7,
      Actuals!$H$3:$BM$3,
      Actuals!$H:$BM
   )
)</f>
        <v>0</v>
      </c>
      <c r="BG45" s="213" t="e">
        <f>VLOOKUP($B$4&amp;" "&amp;$B45,Budget!$AG$4:$AL$157,BF$5+1,FALSE)</f>
        <v>#DIV/0!</v>
      </c>
      <c r="BH45" s="213" t="e">
        <f>BF45-BG45</f>
        <v>#DIV/0!</v>
      </c>
      <c r="BI45" s="213"/>
      <c r="BJ45" s="213" cm="1">
        <f t="array" ref="BJ45">_xlfn.XLOOKUP(
   $B$4&amp;" "&amp;$B45,
   Actuals!$D:$D,
   _xlfn.XLOOKUP(
      BJ$7,
      Actuals!$H$3:$BM$3,
      Actuals!$H:$BM
   )
)</f>
        <v>0</v>
      </c>
      <c r="BK45" s="213" t="e">
        <f>VLOOKUP($B$4&amp;" "&amp;$B45,Budget!$AG$4:$AL$157,BJ$5+1,FALSE)</f>
        <v>#DIV/0!</v>
      </c>
      <c r="BL45" s="213" t="e">
        <f>BJ45-BK45</f>
        <v>#DIV/0!</v>
      </c>
      <c r="BM45" s="213"/>
      <c r="BN45" s="213" cm="1">
        <f t="array" ref="BN45">_xlfn.XLOOKUP(
   $B$4&amp;" "&amp;$B45,
   Actuals!$D:$D,
   _xlfn.XLOOKUP(
      BN$7,
      Actuals!$H$3:$BM$3,
      Actuals!$H:$BM
   )
)</f>
        <v>0</v>
      </c>
      <c r="BO45" s="213" t="e">
        <f>VLOOKUP($B$4&amp;" "&amp;$B45,Budget!$AG$4:$AL$157,BN$5+1,FALSE)</f>
        <v>#DIV/0!</v>
      </c>
      <c r="BP45" s="213"/>
      <c r="BQ45" s="213"/>
      <c r="BR45" s="213">
        <f ca="1">VLOOKUP($B$4&amp;" "&amp;$B45,Actuals!$BG$4:$BL$157,6,FALSE)</f>
        <v>-0.17377096322444788</v>
      </c>
      <c r="BS45" s="213">
        <f ca="1">VLOOKUP($B$4&amp;" "&amp;$B45,Budget!$AG$4:$AL$157,6,FALSE)</f>
        <v>0</v>
      </c>
      <c r="BT45" s="213">
        <f ca="1">BR45-BS45</f>
        <v>-0.17377096322444788</v>
      </c>
      <c r="BU45" s="213"/>
      <c r="BV45" s="213" cm="1">
        <f t="array" ref="BV45">_xlfn.XLOOKUP(
   $B$4&amp;" "&amp;$B45,
   Actuals!$D:$D,
   _xlfn.XLOOKUP(
      BV$6,
      Actuals!$H$3:$BM$3,
      Actuals!$H:$BM
   )
)</f>
        <v>-0.69508385289779173</v>
      </c>
    </row>
    <row r="46" spans="2:75" s="26" customFormat="1" ht="13">
      <c r="B46" s="134" t="s">
        <v>233</v>
      </c>
      <c r="C46" s="140"/>
      <c r="D46" s="179"/>
      <c r="E46" s="181">
        <f>VLOOKUP($B$4&amp;" "&amp;$B46,Actuals!$D$4:$AG$131,MONTH(E$6)+4,FALSE)</f>
        <v>1.277246087803007</v>
      </c>
      <c r="F46" s="181">
        <f>VLOOKUP($B$4&amp;" "&amp;$B46,Actuals!$D$4:$AG$131,MONTH(F$6)+4,FALSE)</f>
        <v>1.3713080362706807</v>
      </c>
      <c r="G46" s="265">
        <f>VLOOKUP($B$4&amp;" "&amp;$B46,Actuals!$D$4:$AG$131,MONTH(G$6)+4,FALSE)</f>
        <v>1.639295110469446</v>
      </c>
      <c r="H46" s="181">
        <f>VLOOKUP($B$4&amp;" "&amp;$B46,Actuals!$D$4:$AG$131,MONTH(H$6)+4,FALSE)</f>
        <v>1.4246793034324579</v>
      </c>
      <c r="I46" s="181">
        <f>VLOOKUP($B$4&amp;" "&amp;$B46,Actuals!$D$4:$AG$131,MONTH(I$6)+4,FALSE)</f>
        <v>1.5703691311247665</v>
      </c>
      <c r="J46" s="265">
        <f>VLOOKUP($B$4&amp;" "&amp;$B46,Actuals!$D$4:$AG$131,MONTH(J$6)+4,FALSE)</f>
        <v>1.5230989338388075</v>
      </c>
      <c r="K46" s="181">
        <f>VLOOKUP($B$4&amp;" "&amp;$B46,Actuals!$D$4:$AG$131,MONTH(K$6)+4,FALSE)</f>
        <v>1.0122688940434015</v>
      </c>
      <c r="L46" s="181">
        <f>VLOOKUP($B$4&amp;" "&amp;$B46,Actuals!$D$4:$AG$131,MONTH(L$6)+4,FALSE)</f>
        <v>1.6590313678900555</v>
      </c>
      <c r="M46" s="265">
        <f>VLOOKUP($B$4&amp;" "&amp;$B46,Actuals!$D$4:$AG$131,MONTH(M$6)+4,FALSE)</f>
        <v>1.1775700461146028</v>
      </c>
      <c r="N46" s="265">
        <f>VLOOKUP($B$4&amp;" "&amp;$B46,Actuals!$D$4:$AG$131,MONTH(N$6)+4,FALSE)</f>
        <v>1.2351999980977095</v>
      </c>
      <c r="O46" s="265">
        <f>VLOOKUP($B$4&amp;" "&amp;$B46,Actuals!$D$4:$AG$131,MONTH(O$6)+4,FALSE)</f>
        <v>1</v>
      </c>
      <c r="P46" s="265">
        <f>VLOOKUP($B$4&amp;" "&amp;$B46,Actuals!$D$4:$AG$131,MONTH(P$6)+4,FALSE)</f>
        <v>1</v>
      </c>
      <c r="Q46" s="265">
        <f>VLOOKUP($B$4&amp;" "&amp;$B46,Actuals!$D$4:$AR$131,MONTH(Q$6)+16,FALSE)</f>
        <v>1</v>
      </c>
      <c r="R46" s="265">
        <f>VLOOKUP($B$4&amp;" "&amp;$B46,Actuals!$D$4:$AR$131,MONTH(R$6)+16,FALSE)</f>
        <v>1</v>
      </c>
      <c r="S46" s="265">
        <f>VLOOKUP($B$4&amp;" "&amp;$B46,Actuals!$D$4:$AR$131,MONTH(S$6)+16,FALSE)</f>
        <v>1</v>
      </c>
      <c r="T46" s="265">
        <f>VLOOKUP($B$4&amp;" "&amp;$B46,Actuals!$D$4:$AR$131,MONTH(T$6)+16,FALSE)</f>
        <v>1</v>
      </c>
      <c r="U46" s="265">
        <f>VLOOKUP($B$4&amp;" "&amp;$B46,Actuals!$D$4:$AR$131,MONTH(U$6)+16,FALSE)</f>
        <v>1</v>
      </c>
      <c r="V46" s="265">
        <f>VLOOKUP($B$4&amp;" "&amp;$B46,Actuals!$D$4:$AR$131,MONTH(V$6)+16,FALSE)</f>
        <v>1</v>
      </c>
      <c r="W46" s="265"/>
      <c r="X46" s="265"/>
      <c r="Y46" s="265"/>
      <c r="Z46" s="265"/>
      <c r="AA46" s="265"/>
      <c r="AB46" s="265"/>
      <c r="AC46" s="265" cm="1">
        <f t="array" ref="AC46">_xlfn.XLOOKUP(
   $B$4&amp;" "&amp;$B46,
   Actuals!$D:$D,
   _xlfn.XLOOKUP(
      AC$6,
      Actuals!$H$3:$BD$3,
      Actuals!$H:$BD
   )
)</f>
        <v>-1.5144975157719509E-2</v>
      </c>
      <c r="AD46" s="265" cm="1">
        <f t="array" ref="AD46">_xlfn.XLOOKUP(
   $B$4&amp;" "&amp;$B46,
   Actuals!$D:$D,
   _xlfn.XLOOKUP(
      AD$6,
      Actuals!$H$3:$BD$3,
      Actuals!$H:$BD
   )
)</f>
        <v>0.61358891095270096</v>
      </c>
      <c r="AE46" s="265" cm="1">
        <f t="array" ref="AE46">_xlfn.XLOOKUP(
   $B$4&amp;" "&amp;$B46,
   Actuals!$D:$D,
   _xlfn.XLOOKUP(
      AE$6,
      Actuals!$H$3:$BD$3,
      Actuals!$H:$BD
   )
)</f>
        <v>0.83062892455541826</v>
      </c>
      <c r="AF46" s="265" cm="1">
        <f t="array" ref="AF46">_xlfn.XLOOKUP(
   $B$4&amp;" "&amp;$B46,
   Actuals!$D:$D,
   _xlfn.XLOOKUP(
      AF$6,
      Actuals!$H$3:$BD$3,
      Actuals!$H:$BD
   )
)</f>
        <v>0.87893850151725517</v>
      </c>
      <c r="AG46" s="265" cm="1">
        <f t="array" ref="AG46">_xlfn.XLOOKUP(
   $B$4&amp;" "&amp;$B46,
   Actuals!$D:$D,
   _xlfn.XLOOKUP(
      AG$6,
      Actuals!$H$3:$BD$3,
      Actuals!$H:$BD
   )
)</f>
        <v>0.90649717726248336</v>
      </c>
      <c r="AH46" s="265" cm="1">
        <f t="array" ref="AH46">_xlfn.XLOOKUP(
   $B$4&amp;" "&amp;$B46,
   Actuals!$D:$D,
   _xlfn.XLOOKUP(
      AH$6,
      Actuals!$H$3:$BD$3,
      Actuals!$H:$BD
   )
)</f>
        <v>1.0334737611215516</v>
      </c>
      <c r="AI46" s="265" cm="1">
        <f t="array" ref="AI46">_xlfn.XLOOKUP(
   $B$4&amp;" "&amp;$B46,
   Actuals!$D:$D,
   _xlfn.XLOOKUP(
      AI$6,
      Actuals!$H$3:$BD$3,
      Actuals!$H:$BD
   )
)</f>
        <v>0.93049172641754629</v>
      </c>
      <c r="AJ46" s="265" cm="1">
        <f t="array" ref="AJ46">_xlfn.XLOOKUP(
   $B$4&amp;" "&amp;$B46,
   Actuals!$D:$D,
   _xlfn.XLOOKUP(
      AJ$6,
      Actuals!$H$3:$BD$3,
      Actuals!$H:$BD
   )
)</f>
        <v>0.98268159068555483</v>
      </c>
      <c r="AK46" s="265" cm="1">
        <f t="array" ref="AK46">_xlfn.XLOOKUP(
   $B$4&amp;" "&amp;$B46,
   Actuals!$D:$D,
   _xlfn.XLOOKUP(
      AK$6,
      Actuals!$H$3:$BD$3,
      Actuals!$H:$BD
   )
)</f>
        <v>0.70631694613826568</v>
      </c>
      <c r="AL46" s="265" cm="1">
        <f t="array" ref="AL46">_xlfn.XLOOKUP(
   $B$4&amp;" "&amp;$B46,
   Actuals!$D:$D,
   _xlfn.XLOOKUP(
      AL$6,
      Actuals!$H$3:$BD$3,
      Actuals!$H:$BD
   )
)</f>
        <v>0.83855775228954355</v>
      </c>
      <c r="AM46" s="265" cm="1">
        <f t="array" ref="AM46">_xlfn.XLOOKUP(
   $B$4&amp;" "&amp;$B46,
   Actuals!$D:$D,
   _xlfn.XLOOKUP(
      AM$6,
      Actuals!$H$3:$BD$3,
      Actuals!$H:$BD
   )
)</f>
        <v>0.77818276518846141</v>
      </c>
      <c r="AN46" s="265" cm="1">
        <f t="array" ref="AN46">_xlfn.XLOOKUP(
   $B$4&amp;" "&amp;$B46,
   Actuals!$D:$D,
   _xlfn.XLOOKUP(
      AN$6,
      Actuals!$H$3:$BD$3,
      Actuals!$H:$BD
   )
)</f>
        <v>1.0994342542054141</v>
      </c>
      <c r="AO46" s="265" cm="1">
        <f t="array" ref="AO46">_xlfn.XLOOKUP(
   $B$4&amp;" "&amp;$B46,
   Actuals!$D:$D,
   _xlfn.XLOOKUP(
      AO$6,
      Actuals!$H$3:$BD$3,
      Actuals!$H:$BD
   )
)</f>
        <v>0.83502729096080497</v>
      </c>
      <c r="AP46" s="265" cm="1">
        <f t="array" ref="AP46">_xlfn.XLOOKUP(
   $B$4&amp;" "&amp;$B46,
   Actuals!$D:$D,
   _xlfn.XLOOKUP(
      AP$6,
      Actuals!$H$3:$BD$3,
      Actuals!$H:$BD
   )
)</f>
        <v>0.83502729096080508</v>
      </c>
      <c r="AQ46" s="265" cm="1">
        <f t="array" ref="AQ46">_xlfn.XLOOKUP(
   $B$4&amp;" "&amp;$B46,
   Actuals!$D:$D,
   _xlfn.XLOOKUP(
      AQ$6,
      Actuals!$H$3:$BD$3,
      Actuals!$H:$BD
   )
)</f>
        <v>0.83502729096080508</v>
      </c>
      <c r="AR46" s="265" cm="1">
        <f t="array" ref="AR46">_xlfn.XLOOKUP(
   $B$4&amp;" "&amp;$B46,
   Actuals!$D:$D,
   _xlfn.XLOOKUP(
      AR$6,
      Actuals!$H$3:$BD$3,
      Actuals!$H:$BD
   )
)</f>
        <v>1</v>
      </c>
      <c r="AS46" s="265" cm="1">
        <f t="array" ref="AS46">_xlfn.XLOOKUP(
   $B$4&amp;" "&amp;$B46,
   Actuals!$D:$D,
   _xlfn.XLOOKUP(
      AS$6,
      Actuals!$H$3:$BD$3,
      Actuals!$H:$BD
   )
)</f>
        <v>1</v>
      </c>
      <c r="AT46" s="265" cm="1">
        <f t="array" ref="AT46">_xlfn.XLOOKUP(
   $B$4&amp;" "&amp;$B46,
   Actuals!$D:$D,
   _xlfn.XLOOKUP(
      AT$6,
      Actuals!$H$3:$BD$3,
      Actuals!$H:$BD
   )
)</f>
        <v>1</v>
      </c>
      <c r="AU46" s="265" cm="1">
        <f t="array" ref="AU46">_xlfn.XLOOKUP(
   $B$4&amp;" "&amp;$B46,
   Actuals!$D:$D,
   _xlfn.XLOOKUP(
      AU$6,
      Actuals!$H$3:$BD$3,
      Actuals!$H:$BD
   )
)</f>
        <v>1</v>
      </c>
      <c r="AV46" s="265" cm="1">
        <f t="array" ref="AV46">_xlfn.XLOOKUP(
   $B$4&amp;" "&amp;$B46,
   Actuals!$D:$D,
   _xlfn.XLOOKUP(
      AV$6,
      Actuals!$H$3:$BD$3,
      Actuals!$H:$BD
   )
)</f>
        <v>1</v>
      </c>
      <c r="AW46" s="265" cm="1">
        <f t="array" ref="AW46">_xlfn.XLOOKUP(
   $B$4&amp;" "&amp;$B46,
   Actuals!$D:$D,
   _xlfn.XLOOKUP(
      AW$6,
      Actuals!$H$3:$BD$3,
      Actuals!$H:$BD
   )
)</f>
        <v>1</v>
      </c>
      <c r="AX46" s="265" cm="1">
        <f t="array" ref="AX46">_xlfn.XLOOKUP(
   $B$4&amp;" "&amp;$B46,
   Actuals!$D:$D,
   _xlfn.XLOOKUP(
      AX$6,
      Actuals!$H$3:$BD$3,
      Actuals!$H:$BD
   )
)</f>
        <v>1</v>
      </c>
      <c r="AY46" s="265" cm="1">
        <f t="array" ref="AY46">_xlfn.XLOOKUP(
   $B$4&amp;" "&amp;$B46,
   Actuals!$D:$D,
   _xlfn.XLOOKUP(
      AY$6,
      Actuals!$H$3:$BD$3,
      Actuals!$H:$BD
   )
)</f>
        <v>1</v>
      </c>
      <c r="AZ46" s="265" cm="1">
        <f t="array" ref="AZ46">_xlfn.XLOOKUP(
   $B$4&amp;" "&amp;$B46,
   Actuals!$D:$D,
   _xlfn.XLOOKUP(
      AZ$6,
      Actuals!$H$3:$BD$3,
      Actuals!$H:$BD
   )
)</f>
        <v>1</v>
      </c>
      <c r="BA46" s="265"/>
      <c r="BB46" s="265">
        <f>VLOOKUP($B$4&amp;" "&amp;$B46,Actuals!$BG$4:$BL$157,$BB$5+1,FALSE)</f>
        <v>0.83502729096080508</v>
      </c>
      <c r="BC46" s="265" t="e">
        <f>VLOOKUP($B$4&amp;" "&amp;$B46,Budget!$AG$4:$AL$157,$BB$5+1,FALSE)</f>
        <v>#DIV/0!</v>
      </c>
      <c r="BD46" s="265" t="e">
        <f>BB46-BC46</f>
        <v>#DIV/0!</v>
      </c>
      <c r="BE46" s="265"/>
      <c r="BF46" s="265" cm="1">
        <f t="array" ref="BF46">_xlfn.XLOOKUP(
   $B$4&amp;" "&amp;$B46,
   Actuals!$D:$D,
   _xlfn.XLOOKUP(
      BF$7,
      Actuals!$H$3:$BM$3,
      Actuals!$H:$BM
   )
)</f>
        <v>1</v>
      </c>
      <c r="BG46" s="265" t="e">
        <f>VLOOKUP($B$4&amp;" "&amp;$B46,Budget!$AG$4:$AL$157,BF$5+1,FALSE)</f>
        <v>#DIV/0!</v>
      </c>
      <c r="BH46" s="265" t="e">
        <f>BF46-BG46</f>
        <v>#DIV/0!</v>
      </c>
      <c r="BI46" s="265"/>
      <c r="BJ46" s="265" cm="1">
        <f t="array" ref="BJ46">_xlfn.XLOOKUP(
   $B$4&amp;" "&amp;$B46,
   Actuals!$D:$D,
   _xlfn.XLOOKUP(
      BJ$7,
      Actuals!$H$3:$BM$3,
      Actuals!$H:$BM
   )
)</f>
        <v>1</v>
      </c>
      <c r="BK46" s="265" t="e">
        <f>VLOOKUP($B$4&amp;" "&amp;$B46,Budget!$AG$4:$AL$157,BJ$5+1,FALSE)</f>
        <v>#DIV/0!</v>
      </c>
      <c r="BL46" s="265" t="e">
        <f>BJ46-BK46</f>
        <v>#DIV/0!</v>
      </c>
      <c r="BM46" s="265"/>
      <c r="BN46" s="265" cm="1">
        <f t="array" ref="BN46">_xlfn.XLOOKUP(
   $B$4&amp;" "&amp;$B46,
   Actuals!$D:$D,
   _xlfn.XLOOKUP(
      BN$7,
      Actuals!$H$3:$BM$3,
      Actuals!$H:$BM
   )
)</f>
        <v>1</v>
      </c>
      <c r="BO46" s="265" t="e">
        <f>VLOOKUP($B$4&amp;" "&amp;$B46,Budget!$AG$4:$AL$157,BN$5+1,FALSE)</f>
        <v>#DIV/0!</v>
      </c>
      <c r="BP46" s="265"/>
      <c r="BQ46" s="265"/>
      <c r="BR46" s="265">
        <f ca="1">VLOOKUP($B$4&amp;" "&amp;$B46,Actuals!$BG$4:$BL$157,6,FALSE)</f>
        <v>0.88793816510859214</v>
      </c>
      <c r="BS46" s="265">
        <f ca="1">VLOOKUP($B$4&amp;" "&amp;$B46,Budget!$AG$4:$AL$157,6,FALSE)</f>
        <v>1.0702940416634446</v>
      </c>
      <c r="BT46" s="265">
        <f ca="1">BR46-BS46</f>
        <v>-0.18235587655485241</v>
      </c>
      <c r="BU46" s="265"/>
      <c r="BV46" s="265" t="str" cm="1">
        <f t="array" ref="BV46">_xlfn.XLOOKUP(
   $B$4&amp;" "&amp;$B46,
   Actuals!$D:$D,
   _xlfn.XLOOKUP(
      BV$6,
      Actuals!$H$3:$BM$3,
      Actuals!$H:$BM
   )
)</f>
        <v/>
      </c>
    </row>
    <row r="47" spans="2:75">
      <c r="E47" s="26"/>
      <c r="F47" s="26"/>
      <c r="G47" s="26"/>
      <c r="H47" s="26"/>
      <c r="I47" s="26"/>
      <c r="J47" s="26"/>
      <c r="K47" s="26"/>
      <c r="L47" s="26"/>
      <c r="M47" s="26"/>
      <c r="N47" s="26"/>
      <c r="O47" s="285"/>
      <c r="P47" s="285"/>
      <c r="Q47" s="285"/>
      <c r="R47" s="285"/>
      <c r="S47" s="285"/>
      <c r="T47" s="285"/>
      <c r="U47" s="285"/>
      <c r="V47" s="285"/>
      <c r="W47" s="285"/>
      <c r="X47" s="285"/>
      <c r="Y47" s="285"/>
      <c r="Z47" s="285"/>
      <c r="AA47" s="285"/>
      <c r="AB47" s="285"/>
      <c r="AC47" s="285"/>
      <c r="AD47" s="285"/>
      <c r="AE47" s="285"/>
      <c r="AF47" s="285"/>
      <c r="AG47" s="285"/>
      <c r="AH47" s="285"/>
      <c r="AI47" s="285"/>
      <c r="AJ47" s="285"/>
      <c r="AK47" s="285"/>
      <c r="AL47" s="285"/>
      <c r="AM47" s="285"/>
      <c r="AN47" s="285"/>
      <c r="AO47" s="285"/>
      <c r="AP47" s="285"/>
      <c r="AQ47" s="285"/>
      <c r="AR47" s="285"/>
      <c r="AS47" s="285"/>
      <c r="AT47" s="285"/>
      <c r="AU47" s="285"/>
      <c r="AV47" s="285"/>
      <c r="AW47" s="285"/>
      <c r="AX47" s="285"/>
      <c r="AY47" s="285"/>
      <c r="AZ47" s="285"/>
      <c r="BA47" s="285"/>
      <c r="BB47" s="285"/>
      <c r="BC47" s="285"/>
      <c r="BD47" s="285"/>
      <c r="BE47" s="285"/>
      <c r="BF47" s="285"/>
      <c r="BG47" s="285"/>
      <c r="BH47" s="285"/>
      <c r="BI47" s="285"/>
      <c r="BJ47" s="285"/>
      <c r="BK47" s="285"/>
      <c r="BL47" s="285"/>
      <c r="BM47" s="285"/>
      <c r="BN47" s="285"/>
      <c r="BO47" s="285"/>
      <c r="BP47" s="285"/>
      <c r="BQ47" s="285"/>
      <c r="BR47" s="285"/>
      <c r="BS47" s="285"/>
      <c r="BT47" s="285"/>
      <c r="BU47" s="285"/>
      <c r="BV47" s="285"/>
      <c r="BW47" s="26"/>
    </row>
    <row r="48" spans="2:75" s="26" customFormat="1" ht="13">
      <c r="B48" s="126" t="s">
        <v>234</v>
      </c>
      <c r="C48" s="138"/>
      <c r="D48" s="174"/>
      <c r="E48" s="127"/>
      <c r="F48" s="127"/>
      <c r="G48" s="127"/>
      <c r="H48" s="127"/>
      <c r="I48" s="127"/>
      <c r="J48" s="127"/>
      <c r="K48" s="127"/>
      <c r="L48" s="127"/>
      <c r="M48" s="127"/>
      <c r="N48" s="127"/>
      <c r="O48" s="321"/>
      <c r="P48" s="321"/>
      <c r="Q48" s="321"/>
      <c r="R48" s="321"/>
      <c r="S48" s="321"/>
      <c r="T48" s="321"/>
      <c r="U48" s="321"/>
      <c r="V48" s="321"/>
      <c r="W48" s="321"/>
      <c r="X48" s="321"/>
      <c r="Y48" s="321"/>
      <c r="Z48" s="321"/>
      <c r="AA48" s="321"/>
      <c r="AB48" s="321"/>
      <c r="AC48" s="321"/>
      <c r="AD48" s="321"/>
      <c r="AE48" s="321"/>
      <c r="AF48" s="321"/>
      <c r="AG48" s="321"/>
      <c r="AH48" s="321"/>
      <c r="AI48" s="321"/>
      <c r="AJ48" s="321"/>
      <c r="AK48" s="321"/>
      <c r="AL48" s="321"/>
      <c r="AM48" s="321"/>
      <c r="AN48" s="321"/>
      <c r="AO48" s="321"/>
      <c r="AP48" s="321"/>
      <c r="AQ48" s="321"/>
      <c r="AR48" s="321"/>
      <c r="AS48" s="321"/>
      <c r="AT48" s="321"/>
      <c r="AU48" s="321"/>
      <c r="AV48" s="321"/>
      <c r="AW48" s="321"/>
      <c r="AX48" s="321"/>
      <c r="AY48" s="321"/>
      <c r="AZ48" s="321"/>
      <c r="BA48" s="321"/>
      <c r="BB48" s="321"/>
      <c r="BC48" s="321"/>
      <c r="BD48" s="321"/>
      <c r="BE48" s="321"/>
      <c r="BF48" s="321"/>
      <c r="BG48" s="321"/>
      <c r="BH48" s="321"/>
      <c r="BI48" s="321"/>
      <c r="BJ48" s="321"/>
      <c r="BK48" s="321"/>
      <c r="BL48" s="321"/>
      <c r="BM48" s="321"/>
      <c r="BN48" s="321"/>
      <c r="BO48" s="321"/>
      <c r="BP48" s="321"/>
      <c r="BQ48" s="321"/>
      <c r="BR48" s="321"/>
      <c r="BS48" s="321"/>
      <c r="BT48" s="321"/>
      <c r="BU48" s="321"/>
      <c r="BV48" s="321"/>
    </row>
    <row r="49" spans="2:74" s="26" customFormat="1">
      <c r="B49" s="26" t="s">
        <v>235</v>
      </c>
      <c r="C49" s="139" t="s">
        <v>47</v>
      </c>
      <c r="D49" s="171" t="e">
        <f>VLOOKUP($B$4&amp;" "&amp;$B49,Actuals!$D$4:$AG$131,3,FALSE)</f>
        <v>#N/A</v>
      </c>
      <c r="E49" s="180">
        <f>VLOOKUP($B$4&amp;" "&amp;$B49,Actuals!$D$4:$AG$157,MONTH(E$6)+4,FALSE)</f>
        <v>7.078052720803466E-3</v>
      </c>
      <c r="F49" s="180">
        <f>VLOOKUP($B$4&amp;" "&amp;$B49,Actuals!$D$4:$AG$157,MONTH(F$6)+4,FALSE)</f>
        <v>7.078052720803466E-3</v>
      </c>
      <c r="G49" s="180">
        <f>VLOOKUP($B$4&amp;" "&amp;$B49,Actuals!$D$4:$AG$157,MONTH(G$6)+4,FALSE)</f>
        <v>1.6756206441085757E-2</v>
      </c>
      <c r="H49" s="180">
        <f>VLOOKUP($B$4&amp;" "&amp;$B49,Actuals!$D$4:$AG$157,MONTH(H$6)+4,FALSE)</f>
        <v>1.7659019288127013E-2</v>
      </c>
      <c r="I49" s="180">
        <f>VLOOKUP($B$4&amp;" "&amp;$B49,Actuals!$D$4:$AG$157,MONTH(I$6)+4,FALSE)</f>
        <v>1.7659019288127013E-2</v>
      </c>
      <c r="J49" s="180">
        <f>VLOOKUP($B$4&amp;" "&amp;$B49,Actuals!$D$4:$AG$157,MONTH(J$6)+4,FALSE)</f>
        <v>4.8723725979400265E-2</v>
      </c>
      <c r="K49" s="180">
        <f>VLOOKUP($B$4&amp;" "&amp;$B49,Actuals!$D$4:$AG$157,MONTH(K$6)+4,FALSE)</f>
        <v>4.8723725979400265E-2</v>
      </c>
      <c r="L49" s="180">
        <f>VLOOKUP($B$4&amp;" "&amp;$B49,Actuals!$D$4:$AG$157,MONTH(L$6)+4,FALSE)</f>
        <v>0.10115042913222495</v>
      </c>
      <c r="M49" s="180">
        <f>VLOOKUP($B$4&amp;" "&amp;$B49,Actuals!$D$4:$AG$157,MONTH(M$6)+4,FALSE)</f>
        <v>0.10259492968749097</v>
      </c>
      <c r="N49" s="180">
        <f>VLOOKUP($B$4&amp;" "&amp;$B49,Actuals!$D$4:$AG$157,MONTH(N$6)+4,FALSE)</f>
        <v>0.10259492968749097</v>
      </c>
      <c r="O49" s="213">
        <f>VLOOKUP($B$4&amp;" "&amp;$B49,Actuals!$D$4:$AG$157,MONTH(O$6)+4,FALSE)</f>
        <v>0.10259492968749097</v>
      </c>
      <c r="P49" s="213">
        <f>VLOOKUP($B$4&amp;" "&amp;$B49,Actuals!$D$4:$AG$157,MONTH(P$6)+4,FALSE)</f>
        <v>0.10259492968749097</v>
      </c>
      <c r="Q49" s="213">
        <f>VLOOKUP($B$4&amp;" "&amp;$B49,Actuals!$D$4:$AR$157,MONTH(Q$6)+16,FALSE)</f>
        <v>0.10259492968749097</v>
      </c>
      <c r="R49" s="213">
        <f>VLOOKUP($B$4&amp;" "&amp;$B49,Actuals!$D$4:$AR$157,MONTH(R$6)+16,FALSE)</f>
        <v>0.10259492968749097</v>
      </c>
      <c r="S49" s="213">
        <f>VLOOKUP($B$4&amp;" "&amp;$B49,Actuals!$D$4:$AR$157,MONTH(S$6)+16,FALSE)</f>
        <v>0.10259492968749097</v>
      </c>
      <c r="T49" s="213">
        <f>VLOOKUP($B$4&amp;" "&amp;$B49,Actuals!$D$4:$AR$157,MONTH(T$6)+16,FALSE)</f>
        <v>0.10259492968749097</v>
      </c>
      <c r="U49" s="213">
        <f>VLOOKUP($B$4&amp;" "&amp;$B49,Actuals!$D$4:$AR$157,MONTH(U$6)+16,FALSE)</f>
        <v>0.10259492968749097</v>
      </c>
      <c r="V49" s="213">
        <f>VLOOKUP($B$4&amp;" "&amp;$B49,Actuals!$D$4:$AR$157,MONTH(V$6)+16,FALSE)</f>
        <v>0.10259492968749097</v>
      </c>
      <c r="W49" s="213"/>
      <c r="X49" s="213"/>
      <c r="Y49" s="213"/>
      <c r="Z49" s="213"/>
      <c r="AA49" s="213"/>
      <c r="AB49" s="213"/>
      <c r="AC49" s="213" cm="1">
        <f t="array" ref="AC49">_xlfn.XLOOKUP(
   $B$4&amp;" "&amp;$B49,
   Actuals!$D:$D,
   _xlfn.XLOOKUP(
      AC$6,
      Actuals!$H$3:$BD$3,
      Actuals!$H:$BD
   )
)</f>
        <v>0</v>
      </c>
      <c r="AD49" s="213" cm="1">
        <f t="array" ref="AD49">_xlfn.XLOOKUP(
   $B$4&amp;" "&amp;$B49,
   Actuals!$D:$D,
   _xlfn.XLOOKUP(
      AD$6,
      Actuals!$H$3:$BD$3,
      Actuals!$H:$BD
   )
)</f>
        <v>0</v>
      </c>
      <c r="AE49" s="213" cm="1">
        <f t="array" ref="AE49">_xlfn.XLOOKUP(
   $B$4&amp;" "&amp;$B49,
   Actuals!$D:$D,
   _xlfn.XLOOKUP(
      AE$6,
      Actuals!$H$3:$BD$3,
      Actuals!$H:$BD
   )
)</f>
        <v>0</v>
      </c>
      <c r="AF49" s="213" cm="1">
        <f t="array" ref="AF49">_xlfn.XLOOKUP(
   $B$4&amp;" "&amp;$B49,
   Actuals!$D:$D,
   _xlfn.XLOOKUP(
      AF$6,
      Actuals!$H$3:$BD$3,
      Actuals!$H:$BD
   )
)</f>
        <v>0</v>
      </c>
      <c r="AG49" s="213" cm="1">
        <f t="array" ref="AG49">_xlfn.XLOOKUP(
   $B$4&amp;" "&amp;$B49,
   Actuals!$D:$D,
   _xlfn.XLOOKUP(
      AG$6,
      Actuals!$H$3:$BD$3,
      Actuals!$H:$BD
   )
)</f>
        <v>0</v>
      </c>
      <c r="AH49" s="213" cm="1">
        <f t="array" ref="AH49">_xlfn.XLOOKUP(
   $B$4&amp;" "&amp;$B49,
   Actuals!$D:$D,
   _xlfn.XLOOKUP(
      AH$6,
      Actuals!$H$3:$BD$3,
      Actuals!$H:$BD
   )
)</f>
        <v>1.1282741601310115E-2</v>
      </c>
      <c r="AI49" s="213" cm="1">
        <f t="array" ref="AI49">_xlfn.XLOOKUP(
   $B$4&amp;" "&amp;$B49,
   Actuals!$D:$D,
   _xlfn.XLOOKUP(
      AI$6,
      Actuals!$H$3:$BD$3,
      Actuals!$H:$BD
   )
)</f>
        <v>1.3722253298890682E-2</v>
      </c>
      <c r="AJ49" s="213" cm="1">
        <f t="array" ref="AJ49">_xlfn.XLOOKUP(
   $B$4&amp;" "&amp;$B49,
   Actuals!$D:$D,
   _xlfn.XLOOKUP(
      AJ$6,
      Actuals!$H$3:$BD$3,
      Actuals!$H:$BD
   )
)</f>
        <v>2.3480300089212942E-2</v>
      </c>
      <c r="AK49" s="213" cm="1">
        <f t="array" ref="AK49">_xlfn.XLOOKUP(
   $B$4&amp;" "&amp;$B49,
   Actuals!$D:$D,
   _xlfn.XLOOKUP(
      AK$6,
      Actuals!$H$3:$BD$3,
      Actuals!$H:$BD
   )
)</f>
        <v>2.5309933862398368E-2</v>
      </c>
      <c r="AL49" s="213" cm="1">
        <f t="array" ref="AL49">_xlfn.XLOOKUP(
   $B$4&amp;" "&amp;$B49,
   Actuals!$D:$D,
   _xlfn.XLOOKUP(
      AL$6,
      Actuals!$H$3:$BD$3,
      Actuals!$H:$BD
   )
)</f>
        <v>2.591981178679351E-2</v>
      </c>
      <c r="AM49" s="213" cm="1">
        <f t="array" ref="AM49">_xlfn.XLOOKUP(
   $B$4&amp;" "&amp;$B49,
   Actuals!$D:$D,
   _xlfn.XLOOKUP(
      AM$6,
      Actuals!$H$3:$BD$3,
      Actuals!$H:$BD
   )
)</f>
        <v>2.6834628673386221E-2</v>
      </c>
      <c r="AN49" s="213" cm="1">
        <f t="array" ref="AN49">_xlfn.XLOOKUP(
   $B$4&amp;" "&amp;$B49,
   Actuals!$D:$D,
   _xlfn.XLOOKUP(
      AN$6,
      Actuals!$H$3:$BD$3,
      Actuals!$H:$BD
   )
)</f>
        <v>4.726553914062346E-2</v>
      </c>
      <c r="AO49" s="213" cm="1">
        <f t="array" ref="AO49">_xlfn.XLOOKUP(
   $B$4&amp;" "&amp;$B49,
   Actuals!$D:$D,
   _xlfn.XLOOKUP(
      AO$6,
      Actuals!$H$3:$BD$3,
      Actuals!$H:$BD
   )
)</f>
        <v>4.726553914062346E-2</v>
      </c>
      <c r="AP49" s="213" cm="1">
        <f t="array" ref="AP49">_xlfn.XLOOKUP(
   $B$4&amp;" "&amp;$B49,
   Actuals!$D:$D,
   _xlfn.XLOOKUP(
      AP$6,
      Actuals!$H$3:$BD$3,
      Actuals!$H:$BD
   )
)</f>
        <v>4.726553914062346E-2</v>
      </c>
      <c r="AQ49" s="213" cm="1">
        <f t="array" ref="AQ49">_xlfn.XLOOKUP(
   $B$4&amp;" "&amp;$B49,
   Actuals!$D:$D,
   _xlfn.XLOOKUP(
      AQ$6,
      Actuals!$H$3:$BD$3,
      Actuals!$H:$BD
   )
)</f>
        <v>4.726553914062346E-2</v>
      </c>
      <c r="AR49" s="213" cm="1">
        <f t="array" ref="AR49">_xlfn.XLOOKUP(
   $B$4&amp;" "&amp;$B49,
   Actuals!$D:$D,
   _xlfn.XLOOKUP(
      AR$6,
      Actuals!$H$3:$BD$3,
      Actuals!$H:$BD
   )
)</f>
        <v>4.726553914062346E-2</v>
      </c>
      <c r="AS49" s="213" cm="1">
        <f t="array" ref="AS49">_xlfn.XLOOKUP(
   $B$4&amp;" "&amp;$B49,
   Actuals!$D:$D,
   _xlfn.XLOOKUP(
      AS$6,
      Actuals!$H$3:$BD$3,
      Actuals!$H:$BD
   )
)</f>
        <v>4.726553914062346E-2</v>
      </c>
      <c r="AT49" s="213" cm="1">
        <f t="array" ref="AT49">_xlfn.XLOOKUP(
   $B$4&amp;" "&amp;$B49,
   Actuals!$D:$D,
   _xlfn.XLOOKUP(
      AT$6,
      Actuals!$H$3:$BD$3,
      Actuals!$H:$BD
   )
)</f>
        <v>4.726553914062346E-2</v>
      </c>
      <c r="AU49" s="213" cm="1">
        <f t="array" ref="AU49">_xlfn.XLOOKUP(
   $B$4&amp;" "&amp;$B49,
   Actuals!$D:$D,
   _xlfn.XLOOKUP(
      AU$6,
      Actuals!$H$3:$BD$3,
      Actuals!$H:$BD
   )
)</f>
        <v>4.726553914062346E-2</v>
      </c>
      <c r="AV49" s="213" cm="1">
        <f t="array" ref="AV49">_xlfn.XLOOKUP(
   $B$4&amp;" "&amp;$B49,
   Actuals!$D:$D,
   _xlfn.XLOOKUP(
      AV$6,
      Actuals!$H$3:$BD$3,
      Actuals!$H:$BD
   )
)</f>
        <v>4.726553914062346E-2</v>
      </c>
      <c r="AW49" s="213" cm="1">
        <f t="array" ref="AW49">_xlfn.XLOOKUP(
   $B$4&amp;" "&amp;$B49,
   Actuals!$D:$D,
   _xlfn.XLOOKUP(
      AW$6,
      Actuals!$H$3:$BD$3,
      Actuals!$H:$BD
   )
)</f>
        <v>4.726553914062346E-2</v>
      </c>
      <c r="AX49" s="213" cm="1">
        <f t="array" ref="AX49">_xlfn.XLOOKUP(
   $B$4&amp;" "&amp;$B49,
   Actuals!$D:$D,
   _xlfn.XLOOKUP(
      AX$6,
      Actuals!$H$3:$BD$3,
      Actuals!$H:$BD
   )
)</f>
        <v>4.726553914062346E-2</v>
      </c>
      <c r="AY49" s="213" cm="1">
        <f t="array" ref="AY49">_xlfn.XLOOKUP(
   $B$4&amp;" "&amp;$B49,
   Actuals!$D:$D,
   _xlfn.XLOOKUP(
      AY$6,
      Actuals!$H$3:$BD$3,
      Actuals!$H:$BD
   )
)</f>
        <v>4.726553914062346E-2</v>
      </c>
      <c r="AZ49" s="213" cm="1">
        <f t="array" ref="AZ49">_xlfn.XLOOKUP(
   $B$4&amp;" "&amp;$B49,
   Actuals!$D:$D,
   _xlfn.XLOOKUP(
      AZ$6,
      Actuals!$H$3:$BD$3,
      Actuals!$H:$BD
   )
)</f>
        <v>4.726553914062346E-2</v>
      </c>
      <c r="BA49" s="213"/>
      <c r="BB49" s="213" cm="1">
        <f t="array" ref="BB49">_xlfn.XLOOKUP(
   $B$4&amp;" "&amp;$B49,
   Actuals!$D:$D,
   _xlfn.XLOOKUP(
      BB$7,
      Actuals!$H$3:$BM$3,
      Actuals!$H:$BM
   )
)</f>
        <v>4.726553914062346E-2</v>
      </c>
      <c r="BC49" s="213">
        <f>VLOOKUP($B$4&amp;" "&amp;$B49,Budget!$AG$4:$AL$157,$BB$5+1,FALSE)</f>
        <v>0</v>
      </c>
      <c r="BD49" s="213">
        <f>BB49-BC49</f>
        <v>4.726553914062346E-2</v>
      </c>
      <c r="BE49" s="213"/>
      <c r="BF49" s="213" cm="1">
        <f t="array" ref="BF49">_xlfn.XLOOKUP(
   $B$4&amp;" "&amp;$B49,
   Actuals!$D:$D,
   _xlfn.XLOOKUP(
      BF$7,
      Actuals!$H$3:$BM$3,
      Actuals!$H:$BM
   )
)</f>
        <v>4.726553914062346E-2</v>
      </c>
      <c r="BG49" s="213">
        <f>VLOOKUP($B$4&amp;" "&amp;$B49,Budget!$AG$4:$AL$157,BF$5+1,FALSE)</f>
        <v>0</v>
      </c>
      <c r="BH49" s="213">
        <f>BF49-BG49</f>
        <v>4.726553914062346E-2</v>
      </c>
      <c r="BI49" s="213"/>
      <c r="BJ49" s="213" cm="1">
        <f t="array" ref="BJ49">_xlfn.XLOOKUP(
   $B$4&amp;" "&amp;$B49,
   Actuals!$D:$D,
   _xlfn.XLOOKUP(
      BJ$7,
      Actuals!$H$3:$BM$3,
      Actuals!$H:$BM
   )
)</f>
        <v>4.726553914062346E-2</v>
      </c>
      <c r="BK49" s="213">
        <f>VLOOKUP($B$4&amp;" "&amp;$B49,Budget!$AG$4:$AL$157,BJ$5+1,FALSE)</f>
        <v>0</v>
      </c>
      <c r="BL49" s="213">
        <f>BJ49-BK49</f>
        <v>4.726553914062346E-2</v>
      </c>
      <c r="BM49" s="213"/>
      <c r="BN49" s="213" cm="1">
        <f t="array" ref="BN49">_xlfn.XLOOKUP(
   $B$4&amp;" "&amp;$B49,
   Actuals!$D:$D,
   _xlfn.XLOOKUP(
      BN$7,
      Actuals!$H$3:$BM$3,
      Actuals!$H:$BM
   )
)</f>
        <v>4.726553914062346E-2</v>
      </c>
      <c r="BO49" s="213">
        <f>VLOOKUP($B$4&amp;" "&amp;$B49,Budget!$AG$4:$AL$157,BN$5+1,FALSE)</f>
        <v>0</v>
      </c>
      <c r="BP49" s="213"/>
      <c r="BQ49" s="213"/>
      <c r="BR49" s="213">
        <f ca="1">VLOOKUP($B$4&amp;" "&amp;$B49,Actuals!$BG$4:$BL$157,6,FALSE)</f>
        <v>4.726553914062346E-2</v>
      </c>
      <c r="BS49" s="213">
        <f ca="1">VLOOKUP($B$4&amp;" "&amp;$B49,Budget!$AG$4:$AL$157,6,FALSE)</f>
        <v>0</v>
      </c>
      <c r="BT49" s="213">
        <f ca="1">BR49-BS49</f>
        <v>4.726553914062346E-2</v>
      </c>
      <c r="BU49" s="213"/>
      <c r="BV49" s="213" cm="1">
        <f t="array" ref="BV49">_xlfn.XLOOKUP(
   $B$4&amp;" "&amp;$B49,
   Actuals!$D:$D,
   _xlfn.XLOOKUP(
      BV$6,
      Actuals!$H$3:$BM$3,
      Actuals!$H:$BM
   )
)</f>
        <v>4.726553914062346E-2</v>
      </c>
    </row>
    <row r="50" spans="2:74" s="26" customFormat="1">
      <c r="B50" s="26" t="s">
        <v>236</v>
      </c>
      <c r="C50" s="139" t="s">
        <v>47</v>
      </c>
      <c r="D50" s="171" t="e">
        <f>VLOOKUP($B$4&amp;" "&amp;$B50,Actuals!$D$4:$AG$131,3,FALSE)</f>
        <v>#N/A</v>
      </c>
      <c r="E50" s="180">
        <f>VLOOKUP($B$4&amp;" "&amp;$B50,Actuals!$D$4:$AG$157,MONTH(E$6)+4,FALSE)</f>
        <v>1.0013053951517938</v>
      </c>
      <c r="F50" s="180">
        <f>VLOOKUP($B$4&amp;" "&amp;$B50,Actuals!$D$4:$AG$157,MONTH(F$6)+4,FALSE)</f>
        <v>1.0190861858367299</v>
      </c>
      <c r="G50" s="180">
        <f>VLOOKUP($B$4&amp;" "&amp;$B50,Actuals!$D$4:$AG$157,MONTH(G$6)+4,FALSE)</f>
        <v>1.0395499918530169</v>
      </c>
      <c r="H50" s="180">
        <f>VLOOKUP($B$4&amp;" "&amp;$B50,Actuals!$D$4:$AG$157,MONTH(H$6)+4,FALSE)</f>
        <v>1.068944133652125</v>
      </c>
      <c r="I50" s="180">
        <f>VLOOKUP($B$4&amp;" "&amp;$B50,Actuals!$D$4:$AG$157,MONTH(I$6)+4,FALSE)</f>
        <v>1.0746419660923718</v>
      </c>
      <c r="J50" s="180">
        <f>VLOOKUP($B$4&amp;" "&amp;$B50,Actuals!$D$4:$AG$157,MONTH(J$6)+4,FALSE)</f>
        <v>1.0710622048163114</v>
      </c>
      <c r="K50" s="180">
        <f>VLOOKUP($B$4&amp;" "&amp;$B50,Actuals!$D$4:$AG$157,MONTH(K$6)+4,FALSE)</f>
        <v>1.0591811877492485</v>
      </c>
      <c r="L50" s="180">
        <f>VLOOKUP($B$4&amp;" "&amp;$B50,Actuals!$D$4:$AG$157,MONTH(L$6)+4,FALSE)</f>
        <v>1.0597393427638033</v>
      </c>
      <c r="M50" s="180">
        <f>VLOOKUP($B$4&amp;" "&amp;$B50,Actuals!$D$4:$AG$157,MONTH(M$6)+4,FALSE)</f>
        <v>1.0526061101217887</v>
      </c>
      <c r="N50" s="180">
        <f>VLOOKUP($B$4&amp;" "&amp;$B50,Actuals!$D$4:$AG$157,MONTH(N$6)+4,FALSE)</f>
        <v>1.0699382389342591</v>
      </c>
      <c r="O50" s="213">
        <f>VLOOKUP($B$4&amp;" "&amp;$B50,Actuals!$D$4:$AG$157,MONTH(O$6)+4,FALSE)</f>
        <v>1.0699382389342591</v>
      </c>
      <c r="P50" s="213">
        <f>VLOOKUP($B$4&amp;" "&amp;$B50,Actuals!$D$4:$AG$157,MONTH(P$6)+4,FALSE)</f>
        <v>1.0699382389342591</v>
      </c>
      <c r="Q50" s="213">
        <f>VLOOKUP($B$4&amp;" "&amp;$B50,Actuals!$D$4:$AR$157,MONTH(Q$6)+16,FALSE)</f>
        <v>1.0699382389342591</v>
      </c>
      <c r="R50" s="213">
        <f>VLOOKUP($B$4&amp;" "&amp;$B50,Actuals!$D$4:$AR$157,MONTH(R$6)+16,FALSE)</f>
        <v>1.0699382389342591</v>
      </c>
      <c r="S50" s="213">
        <f>VLOOKUP($B$4&amp;" "&amp;$B50,Actuals!$D$4:$AR$157,MONTH(S$6)+16,FALSE)</f>
        <v>1.0699382389342591</v>
      </c>
      <c r="T50" s="213">
        <f>VLOOKUP($B$4&amp;" "&amp;$B50,Actuals!$D$4:$AR$157,MONTH(T$6)+16,FALSE)</f>
        <v>1.0699382389342591</v>
      </c>
      <c r="U50" s="213">
        <f>VLOOKUP($B$4&amp;" "&amp;$B50,Actuals!$D$4:$AR$157,MONTH(U$6)+16,FALSE)</f>
        <v>1.0699382389342591</v>
      </c>
      <c r="V50" s="213">
        <f>VLOOKUP($B$4&amp;" "&amp;$B50,Actuals!$D$4:$AR$157,MONTH(V$6)+16,FALSE)</f>
        <v>1.0699382389342591</v>
      </c>
      <c r="W50" s="213"/>
      <c r="X50" s="213"/>
      <c r="Y50" s="213"/>
      <c r="Z50" s="213"/>
      <c r="AA50" s="213"/>
      <c r="AB50" s="213"/>
      <c r="AC50" s="213" cm="1">
        <f t="array" ref="AC50">_xlfn.XLOOKUP(
   $B$4&amp;" "&amp;$B50,
   Actuals!$D:$D,
   _xlfn.XLOOKUP(
      AC$6,
      Actuals!$H$3:$BD$3,
      Actuals!$H:$BD
   )
)</f>
        <v>0.92915231115678965</v>
      </c>
      <c r="AD50" s="213" cm="1">
        <f t="array" ref="AD50">_xlfn.XLOOKUP(
   $B$4&amp;" "&amp;$B50,
   Actuals!$D:$D,
   _xlfn.XLOOKUP(
      AD$6,
      Actuals!$H$3:$BD$3,
      Actuals!$H:$BD
   )
)</f>
        <v>0.91069911282278093</v>
      </c>
      <c r="AE50" s="213" cm="1">
        <f t="array" ref="AE50">_xlfn.XLOOKUP(
   $B$4&amp;" "&amp;$B50,
   Actuals!$D:$D,
   _xlfn.XLOOKUP(
      AE$6,
      Actuals!$H$3:$BD$3,
      Actuals!$H:$BD
   )
)</f>
        <v>0.91033258228899872</v>
      </c>
      <c r="AF50" s="213" cm="1">
        <f t="array" ref="AF50">_xlfn.XLOOKUP(
   $B$4&amp;" "&amp;$B50,
   Actuals!$D:$D,
   _xlfn.XLOOKUP(
      AF$6,
      Actuals!$H$3:$BD$3,
      Actuals!$H:$BD
   )
)</f>
        <v>0.91399184983536952</v>
      </c>
      <c r="AG50" s="213" cm="1">
        <f t="array" ref="AG50">_xlfn.XLOOKUP(
   $B$4&amp;" "&amp;$B50,
   Actuals!$D:$D,
   _xlfn.XLOOKUP(
      AG$6,
      Actuals!$H$3:$BD$3,
      Actuals!$H:$BD
   )
)</f>
        <v>0.91994767369384278</v>
      </c>
      <c r="AH50" s="213" cm="1">
        <f t="array" ref="AH50">_xlfn.XLOOKUP(
   $B$4&amp;" "&amp;$B50,
   Actuals!$D:$D,
   _xlfn.XLOOKUP(
      AH$6,
      Actuals!$H$3:$BD$3,
      Actuals!$H:$BD
   )
)</f>
        <v>0.92520213793926154</v>
      </c>
      <c r="AI50" s="213" cm="1">
        <f t="array" ref="AI50">_xlfn.XLOOKUP(
   $B$4&amp;" "&amp;$B50,
   Actuals!$D:$D,
   _xlfn.XLOOKUP(
      AI$6,
      Actuals!$H$3:$BD$3,
      Actuals!$H:$BD
   )
)</f>
        <v>0.93071799586307602</v>
      </c>
      <c r="AJ50" s="213" cm="1">
        <f t="array" ref="AJ50">_xlfn.XLOOKUP(
   $B$4&amp;" "&amp;$B50,
   Actuals!$D:$D,
   _xlfn.XLOOKUP(
      AJ$6,
      Actuals!$H$3:$BD$3,
      Actuals!$H:$BD
   )
)</f>
        <v>0.93326447404981627</v>
      </c>
      <c r="AK50" s="213" cm="1">
        <f t="array" ref="AK50">_xlfn.XLOOKUP(
   $B$4&amp;" "&amp;$B50,
   Actuals!$D:$D,
   _xlfn.XLOOKUP(
      AK$6,
      Actuals!$H$3:$BD$3,
      Actuals!$H:$BD
   )
)</f>
        <v>0.92070897820808595</v>
      </c>
      <c r="AL50" s="213" cm="1">
        <f t="array" ref="AL50">_xlfn.XLOOKUP(
   $B$4&amp;" "&amp;$B50,
   Actuals!$D:$D,
   _xlfn.XLOOKUP(
      AL$6,
      Actuals!$H$3:$BD$3,
      Actuals!$H:$BD
   )
)</f>
        <v>0.92039330539441899</v>
      </c>
      <c r="AM50" s="213" cm="1">
        <f t="array" ref="AM50">_xlfn.XLOOKUP(
   $B$4&amp;" "&amp;$B50,
   Actuals!$D:$D,
   _xlfn.XLOOKUP(
      AM$6,
      Actuals!$H$3:$BD$3,
      Actuals!$H:$BD
   )
)</f>
        <v>0.91474144469346441</v>
      </c>
      <c r="AN50" s="213" cm="1">
        <f t="array" ref="AN50">_xlfn.XLOOKUP(
   $B$4&amp;" "&amp;$B50,
   Actuals!$D:$D,
   _xlfn.XLOOKUP(
      AN$6,
      Actuals!$H$3:$BD$3,
      Actuals!$H:$BD
   )
)</f>
        <v>0.91634444782994451</v>
      </c>
      <c r="AO50" s="213" cm="1">
        <f t="array" ref="AO50">_xlfn.XLOOKUP(
   $B$4&amp;" "&amp;$B50,
   Actuals!$D:$D,
   _xlfn.XLOOKUP(
      AO$6,
      Actuals!$H$3:$BD$3,
      Actuals!$H:$BD
   )
)</f>
        <v>0.91634444782994451</v>
      </c>
      <c r="AP50" s="213" cm="1">
        <f t="array" ref="AP50">_xlfn.XLOOKUP(
   $B$4&amp;" "&amp;$B50,
   Actuals!$D:$D,
   _xlfn.XLOOKUP(
      AP$6,
      Actuals!$H$3:$BD$3,
      Actuals!$H:$BD
   )
)</f>
        <v>0.91634444782994451</v>
      </c>
      <c r="AQ50" s="213" cm="1">
        <f t="array" ref="AQ50">_xlfn.XLOOKUP(
   $B$4&amp;" "&amp;$B50,
   Actuals!$D:$D,
   _xlfn.XLOOKUP(
      AQ$6,
      Actuals!$H$3:$BD$3,
      Actuals!$H:$BD
   )
)</f>
        <v>0.91634444782994451</v>
      </c>
      <c r="AR50" s="213" cm="1">
        <f t="array" ref="AR50">_xlfn.XLOOKUP(
   $B$4&amp;" "&amp;$B50,
   Actuals!$D:$D,
   _xlfn.XLOOKUP(
      AR$6,
      Actuals!$H$3:$BD$3,
      Actuals!$H:$BD
   )
)</f>
        <v>0.91634444782994451</v>
      </c>
      <c r="AS50" s="213" cm="1">
        <f t="array" ref="AS50">_xlfn.XLOOKUP(
   $B$4&amp;" "&amp;$B50,
   Actuals!$D:$D,
   _xlfn.XLOOKUP(
      AS$6,
      Actuals!$H$3:$BD$3,
      Actuals!$H:$BD
   )
)</f>
        <v>0.91634444782994451</v>
      </c>
      <c r="AT50" s="213" cm="1">
        <f t="array" ref="AT50">_xlfn.XLOOKUP(
   $B$4&amp;" "&amp;$B50,
   Actuals!$D:$D,
   _xlfn.XLOOKUP(
      AT$6,
      Actuals!$H$3:$BD$3,
      Actuals!$H:$BD
   )
)</f>
        <v>0.91634444782994451</v>
      </c>
      <c r="AU50" s="213" cm="1">
        <f t="array" ref="AU50">_xlfn.XLOOKUP(
   $B$4&amp;" "&amp;$B50,
   Actuals!$D:$D,
   _xlfn.XLOOKUP(
      AU$6,
      Actuals!$H$3:$BD$3,
      Actuals!$H:$BD
   )
)</f>
        <v>0.91634444782994451</v>
      </c>
      <c r="AV50" s="213" cm="1">
        <f t="array" ref="AV50">_xlfn.XLOOKUP(
   $B$4&amp;" "&amp;$B50,
   Actuals!$D:$D,
   _xlfn.XLOOKUP(
      AV$6,
      Actuals!$H$3:$BD$3,
      Actuals!$H:$BD
   )
)</f>
        <v>0.91634444782994451</v>
      </c>
      <c r="AW50" s="213" cm="1">
        <f t="array" ref="AW50">_xlfn.XLOOKUP(
   $B$4&amp;" "&amp;$B50,
   Actuals!$D:$D,
   _xlfn.XLOOKUP(
      AW$6,
      Actuals!$H$3:$BD$3,
      Actuals!$H:$BD
   )
)</f>
        <v>0.91634444782994451</v>
      </c>
      <c r="AX50" s="213" cm="1">
        <f t="array" ref="AX50">_xlfn.XLOOKUP(
   $B$4&amp;" "&amp;$B50,
   Actuals!$D:$D,
   _xlfn.XLOOKUP(
      AX$6,
      Actuals!$H$3:$BD$3,
      Actuals!$H:$BD
   )
)</f>
        <v>0.91634444782994451</v>
      </c>
      <c r="AY50" s="213" cm="1">
        <f t="array" ref="AY50">_xlfn.XLOOKUP(
   $B$4&amp;" "&amp;$B50,
   Actuals!$D:$D,
   _xlfn.XLOOKUP(
      AY$6,
      Actuals!$H$3:$BD$3,
      Actuals!$H:$BD
   )
)</f>
        <v>0.91634444782994451</v>
      </c>
      <c r="AZ50" s="213" cm="1">
        <f t="array" ref="AZ50">_xlfn.XLOOKUP(
   $B$4&amp;" "&amp;$B50,
   Actuals!$D:$D,
   _xlfn.XLOOKUP(
      AZ$6,
      Actuals!$H$3:$BD$3,
      Actuals!$H:$BD
   )
)</f>
        <v>0.91634444782994451</v>
      </c>
      <c r="BA50" s="213"/>
      <c r="BB50" s="213" cm="1">
        <f t="array" ref="BB50">_xlfn.XLOOKUP(
   $B$4&amp;" "&amp;$B50,
   Actuals!$D:$D,
   _xlfn.XLOOKUP(
      BB$7,
      Actuals!$H$3:$BM$3,
      Actuals!$H:$BM
   )
)</f>
        <v>0.91634444782994451</v>
      </c>
      <c r="BC50" s="213">
        <f>VLOOKUP($B$4&amp;" "&amp;$B50,Budget!$AG$4:$AL$157,$BB$5+1,FALSE)</f>
        <v>0</v>
      </c>
      <c r="BD50" s="213">
        <f>BB50-BC50</f>
        <v>0.91634444782994451</v>
      </c>
      <c r="BE50" s="213"/>
      <c r="BF50" s="213" cm="1">
        <f t="array" ref="BF50">_xlfn.XLOOKUP(
   $B$4&amp;" "&amp;$B50,
   Actuals!$D:$D,
   _xlfn.XLOOKUP(
      BF$7,
      Actuals!$H$3:$BM$3,
      Actuals!$H:$BM
   )
)</f>
        <v>0.91634444782994451</v>
      </c>
      <c r="BG50" s="213">
        <f>VLOOKUP($B$4&amp;" "&amp;$B50,Budget!$AG$4:$AL$157,BF$5+1,FALSE)</f>
        <v>0</v>
      </c>
      <c r="BH50" s="213">
        <f>BF50-BG50</f>
        <v>0.91634444782994451</v>
      </c>
      <c r="BI50" s="213"/>
      <c r="BJ50" s="213" cm="1">
        <f t="array" ref="BJ50">_xlfn.XLOOKUP(
   $B$4&amp;" "&amp;$B50,
   Actuals!$D:$D,
   _xlfn.XLOOKUP(
      BJ$7,
      Actuals!$H$3:$BM$3,
      Actuals!$H:$BM
   )
)</f>
        <v>0.91634444782994451</v>
      </c>
      <c r="BK50" s="213">
        <f>VLOOKUP($B$4&amp;" "&amp;$B50,Budget!$AG$4:$AL$157,BJ$5+1,FALSE)</f>
        <v>0</v>
      </c>
      <c r="BL50" s="213">
        <f>BJ50-BK50</f>
        <v>0.91634444782994451</v>
      </c>
      <c r="BM50" s="213"/>
      <c r="BN50" s="213" cm="1">
        <f t="array" ref="BN50">_xlfn.XLOOKUP(
   $B$4&amp;" "&amp;$B50,
   Actuals!$D:$D,
   _xlfn.XLOOKUP(
      BN$7,
      Actuals!$H$3:$BM$3,
      Actuals!$H:$BM
   )
)</f>
        <v>0.91634444782994451</v>
      </c>
      <c r="BO50" s="213">
        <f>VLOOKUP($B$4&amp;" "&amp;$B50,Budget!$AG$4:$AL$157,BN$5+1,FALSE)</f>
        <v>0</v>
      </c>
      <c r="BP50" s="213"/>
      <c r="BQ50" s="213"/>
      <c r="BR50" s="213">
        <f ca="1">VLOOKUP($B$4&amp;" "&amp;$B50,Actuals!$BG$4:$BL$157,6,FALSE)</f>
        <v>0.91634444782994451</v>
      </c>
      <c r="BS50" s="213">
        <f ca="1">VLOOKUP($B$4&amp;" "&amp;$B50,Budget!$AG$4:$AL$157,6,FALSE)</f>
        <v>1.0702940416634446</v>
      </c>
      <c r="BT50" s="213">
        <f ca="1">BR50-BS50</f>
        <v>-0.15394959383350004</v>
      </c>
      <c r="BU50" s="213"/>
      <c r="BV50" s="213" cm="1">
        <f t="array" ref="BV50">_xlfn.XLOOKUP(
   $B$4&amp;" "&amp;$B50,
   Actuals!$D:$D,
   _xlfn.XLOOKUP(
      BV$6,
      Actuals!$H$3:$BM$3,
      Actuals!$H:$BM
   )
)</f>
        <v>0.91634444782994451</v>
      </c>
    </row>
    <row r="51" spans="2:74" s="26" customFormat="1">
      <c r="B51" s="26" t="s">
        <v>237</v>
      </c>
      <c r="C51" s="139" t="s">
        <v>47</v>
      </c>
      <c r="D51" s="171" t="e">
        <f>VLOOKUP($B$4&amp;" "&amp;$B51,Actuals!$D$4:$AG$131,3,FALSE)</f>
        <v>#N/A</v>
      </c>
      <c r="E51" s="180">
        <f>VLOOKUP($B$4&amp;" "&amp;$B51,Actuals!$D$4:$AG$157,MONTH(E$6)+4,FALSE)</f>
        <v>0.6166082317748024</v>
      </c>
      <c r="F51" s="180">
        <f>VLOOKUP($B$4&amp;" "&amp;$B51,Actuals!$D$4:$AG$157,MONTH(F$6)+4,FALSE)</f>
        <v>0.57730182800479113</v>
      </c>
      <c r="G51" s="213">
        <f>VLOOKUP($B$4&amp;" "&amp;$B51,Actuals!$D$4:$AG$157,MONTH(G$6)+4,FALSE)</f>
        <v>0.57147979524321735</v>
      </c>
      <c r="H51" s="180">
        <f>VLOOKUP($B$4&amp;" "&amp;$B51,Actuals!$D$4:$AG$157,MONTH(H$6)+4,FALSE)</f>
        <v>0.55802652303520928</v>
      </c>
      <c r="I51" s="180">
        <f>VLOOKUP($B$4&amp;" "&amp;$B51,Actuals!$D$4:$AG$157,MONTH(I$6)+4,FALSE)</f>
        <v>0.5778822611294141</v>
      </c>
      <c r="J51" s="213">
        <f>VLOOKUP($B$4&amp;" "&amp;$B51,Actuals!$D$4:$AG$157,MONTH(J$6)+4,FALSE)</f>
        <v>0.5784393188755832</v>
      </c>
      <c r="K51" s="180">
        <f>VLOOKUP($B$4&amp;" "&amp;$B51,Actuals!$D$4:$AG$157,MONTH(K$6)+4,FALSE)</f>
        <v>0.58149928927192174</v>
      </c>
      <c r="L51" s="180">
        <f>VLOOKUP($B$4&amp;" "&amp;$B51,Actuals!$D$4:$AG$157,MONTH(L$6)+4,FALSE)</f>
        <v>0.57929050763262868</v>
      </c>
      <c r="M51" s="213">
        <f>VLOOKUP($B$4&amp;" "&amp;$B51,Actuals!$D$4:$AG$157,MONTH(M$6)+4,FALSE)</f>
        <v>0.57916898346537082</v>
      </c>
      <c r="N51" s="213">
        <f>VLOOKUP($B$4&amp;" "&amp;$B51,Actuals!$D$4:$AG$157,MONTH(N$6)+4,FALSE)</f>
        <v>0.57608717092063544</v>
      </c>
      <c r="O51" s="213" t="str">
        <f>VLOOKUP($B$4&amp;" "&amp;$B51,Actuals!$D$4:$AG$157,MONTH(O$6)+4,FALSE)</f>
        <v>-</v>
      </c>
      <c r="P51" s="213" t="str">
        <f>VLOOKUP($B$4&amp;" "&amp;$B51,Actuals!$D$4:$AG$157,MONTH(P$6)+4,FALSE)</f>
        <v>-</v>
      </c>
      <c r="Q51" s="213" t="str">
        <f>VLOOKUP($B$4&amp;" "&amp;$B51,Actuals!$D$4:$AR$157,MONTH(Q$6)+16,FALSE)</f>
        <v>-</v>
      </c>
      <c r="R51" s="213" t="str">
        <f>VLOOKUP($B$4&amp;" "&amp;$B51,Actuals!$D$4:$AR$157,MONTH(R$6)+16,FALSE)</f>
        <v>-</v>
      </c>
      <c r="S51" s="213" t="str">
        <f>VLOOKUP($B$4&amp;" "&amp;$B51,Actuals!$D$4:$AR$157,MONTH(S$6)+16,FALSE)</f>
        <v>-</v>
      </c>
      <c r="T51" s="213" t="str">
        <f>VLOOKUP($B$4&amp;" "&amp;$B51,Actuals!$D$4:$AR$157,MONTH(T$6)+16,FALSE)</f>
        <v>-</v>
      </c>
      <c r="U51" s="213" t="str">
        <f>VLOOKUP($B$4&amp;" "&amp;$B51,Actuals!$D$4:$AR$157,MONTH(U$6)+16,FALSE)</f>
        <v>-</v>
      </c>
      <c r="V51" s="213" t="str">
        <f>VLOOKUP($B$4&amp;" "&amp;$B51,Actuals!$D$4:$AR$157,MONTH(V$6)+16,FALSE)</f>
        <v>-</v>
      </c>
      <c r="W51" s="213"/>
      <c r="X51" s="213"/>
      <c r="Y51" s="213"/>
      <c r="Z51" s="213"/>
      <c r="AA51" s="213"/>
      <c r="AB51" s="213"/>
      <c r="AC51" s="213" cm="1">
        <f t="array" ref="AC51">_xlfn.XLOOKUP(
   $B$4&amp;" "&amp;$B51,
   Actuals!$D:$D,
   _xlfn.XLOOKUP(
      AC$6,
      Actuals!$H$3:$BD$3,
      Actuals!$H:$BD
   )
)</f>
        <v>0.53011114385859659</v>
      </c>
      <c r="AD51" s="213" cm="1">
        <f t="array" ref="AD51">_xlfn.XLOOKUP(
   $B$4&amp;" "&amp;$B51,
   Actuals!$D:$D,
   _xlfn.XLOOKUP(
      AD$6,
      Actuals!$H$3:$BD$3,
      Actuals!$H:$BD
   )
)</f>
        <v>0.53011114385859659</v>
      </c>
      <c r="AE51" s="213" cm="1">
        <f t="array" ref="AE51">_xlfn.XLOOKUP(
   $B$4&amp;" "&amp;$B51,
   Actuals!$D:$D,
   _xlfn.XLOOKUP(
      AE$6,
      Actuals!$H$3:$BD$3,
      Actuals!$H:$BD
   )
)</f>
        <v>0.53011114385859659</v>
      </c>
      <c r="AF51" s="213" cm="1">
        <f t="array" ref="AF51">_xlfn.XLOOKUP(
   $B$4&amp;" "&amp;$B51,
   Actuals!$D:$D,
   _xlfn.XLOOKUP(
      AF$6,
      Actuals!$H$3:$BD$3,
      Actuals!$H:$BD
   )
)</f>
        <v>0.53011114385859659</v>
      </c>
      <c r="AG51" s="213" cm="1">
        <f t="array" ref="AG51">_xlfn.XLOOKUP(
   $B$4&amp;" "&amp;$B51,
   Actuals!$D:$D,
   _xlfn.XLOOKUP(
      AG$6,
      Actuals!$H$3:$BD$3,
      Actuals!$H:$BD
   )
)</f>
        <v>0.53011114385859659</v>
      </c>
      <c r="AH51" s="213" cm="1">
        <f t="array" ref="AH51">_xlfn.XLOOKUP(
   $B$4&amp;" "&amp;$B51,
   Actuals!$D:$D,
   _xlfn.XLOOKUP(
      AH$6,
      Actuals!$H$3:$BD$3,
      Actuals!$H:$BD
   )
)</f>
        <v>0.53011114385859659</v>
      </c>
      <c r="AI51" s="213" cm="1">
        <f t="array" ref="AI51">_xlfn.XLOOKUP(
   $B$4&amp;" "&amp;$B51,
   Actuals!$D:$D,
   _xlfn.XLOOKUP(
      AI$6,
      Actuals!$H$3:$BD$3,
      Actuals!$H:$BD
   )
)</f>
        <v>0.53011114385859648</v>
      </c>
      <c r="AJ51" s="213" cm="1">
        <f t="array" ref="AJ51">_xlfn.XLOOKUP(
   $B$4&amp;" "&amp;$B51,
   Actuals!$D:$D,
   _xlfn.XLOOKUP(
      AJ$6,
      Actuals!$H$3:$BD$3,
      Actuals!$H:$BD
   )
)</f>
        <v>0.53011114385859648</v>
      </c>
      <c r="AK51" s="213" cm="1">
        <f t="array" ref="AK51">_xlfn.XLOOKUP(
   $B$4&amp;" "&amp;$B51,
   Actuals!$D:$D,
   _xlfn.XLOOKUP(
      AK$6,
      Actuals!$H$3:$BD$3,
      Actuals!$H:$BD
   )
)</f>
        <v>0.53011114385859637</v>
      </c>
      <c r="AL51" s="213" cm="1">
        <f t="array" ref="AL51">_xlfn.XLOOKUP(
   $B$4&amp;" "&amp;$B51,
   Actuals!$D:$D,
   _xlfn.XLOOKUP(
      AL$6,
      Actuals!$H$3:$BD$3,
      Actuals!$H:$BD
   )
)</f>
        <v>0.53011114385859637</v>
      </c>
      <c r="AM51" s="213" cm="1">
        <f t="array" ref="AM51">_xlfn.XLOOKUP(
   $B$4&amp;" "&amp;$B51,
   Actuals!$D:$D,
   _xlfn.XLOOKUP(
      AM$6,
      Actuals!$H$3:$BD$3,
      Actuals!$H:$BD
   )
)</f>
        <v>0.53011114385859648</v>
      </c>
      <c r="AN51" s="213" cm="1">
        <f t="array" ref="AN51">_xlfn.XLOOKUP(
   $B$4&amp;" "&amp;$B51,
   Actuals!$D:$D,
   _xlfn.XLOOKUP(
      AN$6,
      Actuals!$H$3:$BD$3,
      Actuals!$H:$BD
   )
)</f>
        <v>0.53011114385859648</v>
      </c>
      <c r="AO51" s="213" cm="1">
        <f t="array" ref="AO51">_xlfn.XLOOKUP(
   $B$4&amp;" "&amp;$B51,
   Actuals!$D:$D,
   _xlfn.XLOOKUP(
      AO$6,
      Actuals!$H$3:$BD$3,
      Actuals!$H:$BD
   )
)</f>
        <v>0.53011114385859648</v>
      </c>
      <c r="AP51" s="213" cm="1">
        <f t="array" ref="AP51">_xlfn.XLOOKUP(
   $B$4&amp;" "&amp;$B51,
   Actuals!$D:$D,
   _xlfn.XLOOKUP(
      AP$6,
      Actuals!$H$3:$BD$3,
      Actuals!$H:$BD
   )
)</f>
        <v>0.53011114385859659</v>
      </c>
      <c r="AQ51" s="213" cm="1">
        <f t="array" ref="AQ51">_xlfn.XLOOKUP(
   $B$4&amp;" "&amp;$B51,
   Actuals!$D:$D,
   _xlfn.XLOOKUP(
      AQ$6,
      Actuals!$H$3:$BD$3,
      Actuals!$H:$BD
   )
)</f>
        <v>0.53011114385859648</v>
      </c>
      <c r="AR51" s="213" t="str" cm="1">
        <f t="array" ref="AR51">_xlfn.XLOOKUP(
   $B$4&amp;" "&amp;$B51,
   Actuals!$D:$D,
   _xlfn.XLOOKUP(
      AR$6,
      Actuals!$H$3:$BD$3,
      Actuals!$H:$BD
   )
)</f>
        <v>-</v>
      </c>
      <c r="AS51" s="213" t="str" cm="1">
        <f t="array" ref="AS51">_xlfn.XLOOKUP(
   $B$4&amp;" "&amp;$B51,
   Actuals!$D:$D,
   _xlfn.XLOOKUP(
      AS$6,
      Actuals!$H$3:$BD$3,
      Actuals!$H:$BD
   )
)</f>
        <v>-</v>
      </c>
      <c r="AT51" s="213" t="str" cm="1">
        <f t="array" ref="AT51">_xlfn.XLOOKUP(
   $B$4&amp;" "&amp;$B51,
   Actuals!$D:$D,
   _xlfn.XLOOKUP(
      AT$6,
      Actuals!$H$3:$BD$3,
      Actuals!$H:$BD
   )
)</f>
        <v>-</v>
      </c>
      <c r="AU51" s="213" t="str" cm="1">
        <f t="array" ref="AU51">_xlfn.XLOOKUP(
   $B$4&amp;" "&amp;$B51,
   Actuals!$D:$D,
   _xlfn.XLOOKUP(
      AU$6,
      Actuals!$H$3:$BD$3,
      Actuals!$H:$BD
   )
)</f>
        <v>-</v>
      </c>
      <c r="AV51" s="213" t="str" cm="1">
        <f t="array" ref="AV51">_xlfn.XLOOKUP(
   $B$4&amp;" "&amp;$B51,
   Actuals!$D:$D,
   _xlfn.XLOOKUP(
      AV$6,
      Actuals!$H$3:$BD$3,
      Actuals!$H:$BD
   )
)</f>
        <v>-</v>
      </c>
      <c r="AW51" s="213" t="str" cm="1">
        <f t="array" ref="AW51">_xlfn.XLOOKUP(
   $B$4&amp;" "&amp;$B51,
   Actuals!$D:$D,
   _xlfn.XLOOKUP(
      AW$6,
      Actuals!$H$3:$BD$3,
      Actuals!$H:$BD
   )
)</f>
        <v>-</v>
      </c>
      <c r="AX51" s="213" t="str" cm="1">
        <f t="array" ref="AX51">_xlfn.XLOOKUP(
   $B$4&amp;" "&amp;$B51,
   Actuals!$D:$D,
   _xlfn.XLOOKUP(
      AX$6,
      Actuals!$H$3:$BD$3,
      Actuals!$H:$BD
   )
)</f>
        <v>-</v>
      </c>
      <c r="AY51" s="213" t="str" cm="1">
        <f t="array" ref="AY51">_xlfn.XLOOKUP(
   $B$4&amp;" "&amp;$B51,
   Actuals!$D:$D,
   _xlfn.XLOOKUP(
      AY$6,
      Actuals!$H$3:$BD$3,
      Actuals!$H:$BD
   )
)</f>
        <v>-</v>
      </c>
      <c r="AZ51" s="213" t="str" cm="1">
        <f t="array" ref="AZ51">_xlfn.XLOOKUP(
   $B$4&amp;" "&amp;$B51,
   Actuals!$D:$D,
   _xlfn.XLOOKUP(
      AZ$6,
      Actuals!$H$3:$BD$3,
      Actuals!$H:$BD
   )
)</f>
        <v>-</v>
      </c>
      <c r="BA51" s="213"/>
      <c r="BB51" s="213" cm="1">
        <f t="array" ref="BB51">_xlfn.XLOOKUP(
   $B$4&amp;" "&amp;$B51,
   Actuals!$D:$D,
   _xlfn.XLOOKUP(
      BB$7,
      Actuals!$H$3:$BM$3,
      Actuals!$H:$BM
   )
)</f>
        <v>0.53011114385859648</v>
      </c>
      <c r="BC51" s="213">
        <f>VLOOKUP($B$4&amp;" "&amp;$B51,Budget!$AG$4:$AL$157,$BB$5+1,FALSE)</f>
        <v>0</v>
      </c>
      <c r="BD51" s="213">
        <f>BB51-BC51</f>
        <v>0.53011114385859648</v>
      </c>
      <c r="BE51" s="213"/>
      <c r="BF51" s="213" t="str" cm="1">
        <f t="array" ref="BF51">_xlfn.XLOOKUP(
   $B$4&amp;" "&amp;$B51,
   Actuals!$D:$D,
   _xlfn.XLOOKUP(
      BF$7,
      Actuals!$H$3:$BM$3,
      Actuals!$H:$BM
   )
)</f>
        <v>-</v>
      </c>
      <c r="BG51" s="213">
        <f>VLOOKUP($B$4&amp;" "&amp;$B51,Budget!$AG$4:$AL$157,BF$5+1,FALSE)</f>
        <v>0</v>
      </c>
      <c r="BH51" s="213" t="e">
        <f>BF51-BG51</f>
        <v>#VALUE!</v>
      </c>
      <c r="BI51" s="213"/>
      <c r="BJ51" s="213" t="str" cm="1">
        <f t="array" ref="BJ51">_xlfn.XLOOKUP(
   $B$4&amp;" "&amp;$B51,
   Actuals!$D:$D,
   _xlfn.XLOOKUP(
      BJ$7,
      Actuals!$H$3:$BM$3,
      Actuals!$H:$BM
   )
)</f>
        <v>-</v>
      </c>
      <c r="BK51" s="213">
        <f>VLOOKUP($B$4&amp;" "&amp;$B51,Budget!$AG$4:$AL$157,BJ$5+1,FALSE)</f>
        <v>0</v>
      </c>
      <c r="BL51" s="213" t="e">
        <f>BJ51-BK51</f>
        <v>#VALUE!</v>
      </c>
      <c r="BM51" s="213"/>
      <c r="BN51" s="213" t="str" cm="1">
        <f t="array" ref="BN51">_xlfn.XLOOKUP(
   $B$4&amp;" "&amp;$B51,
   Actuals!$D:$D,
   _xlfn.XLOOKUP(
      BN$7,
      Actuals!$H$3:$BM$3,
      Actuals!$H:$BM
   )
)</f>
        <v>-</v>
      </c>
      <c r="BO51" s="213">
        <f>VLOOKUP($B$4&amp;" "&amp;$B51,Budget!$AG$4:$AL$157,BN$5+1,FALSE)</f>
        <v>0</v>
      </c>
      <c r="BP51" s="213"/>
      <c r="BQ51" s="213"/>
      <c r="BR51" s="213" t="str">
        <f ca="1">VLOOKUP($B$4&amp;" "&amp;$B51,Actuals!$BG$4:$BL$157,6,FALSE)</f>
        <v>-</v>
      </c>
      <c r="BS51" s="213">
        <f ca="1">VLOOKUP($B$4&amp;" "&amp;$B51,Budget!$AG$4:$AL$157,6,FALSE)</f>
        <v>0</v>
      </c>
      <c r="BT51" s="213" t="e">
        <f ca="1">BR51-BS51</f>
        <v>#VALUE!</v>
      </c>
      <c r="BU51" s="213"/>
      <c r="BV51" s="213" cm="1">
        <f t="array" ref="BV51">_xlfn.XLOOKUP(
   $B$4&amp;" "&amp;$B51,
   Actuals!$D:$D,
   _xlfn.XLOOKUP(
      BV$6,
      Actuals!$H$3:$BM$3,
      Actuals!$H:$BM
   )
)</f>
        <v>0.53011114385859648</v>
      </c>
    </row>
    <row r="52" spans="2:74" s="26" customFormat="1">
      <c r="B52" s="26" t="s">
        <v>238</v>
      </c>
      <c r="C52" s="139" t="s">
        <v>47</v>
      </c>
      <c r="D52" s="171" t="e">
        <f>VLOOKUP($B$4&amp;" "&amp;$B52,Actuals!$D$4:$AG$131,3,FALSE)</f>
        <v>#N/A</v>
      </c>
      <c r="E52" s="180">
        <f>VLOOKUP($B$4&amp;" "&amp;$B52,Actuals!$D$4:$AG$157,MONTH(E$6)+4,FALSE)</f>
        <v>-0.43996351844296389</v>
      </c>
      <c r="F52" s="180">
        <f>VLOOKUP($B$4&amp;" "&amp;$B52,Actuals!$D$4:$AG$157,MONTH(F$6)+4,FALSE)</f>
        <v>-0.40976465482134716</v>
      </c>
      <c r="G52" s="213">
        <f>VLOOKUP($B$4&amp;" "&amp;$B52,Actuals!$D$4:$AG$157,MONTH(G$6)+4,FALSE)</f>
        <v>-0.36533329722771829</v>
      </c>
      <c r="H52" s="180">
        <f>VLOOKUP($B$4&amp;" "&amp;$B52,Actuals!$D$4:$AG$157,MONTH(H$6)+4,FALSE)</f>
        <v>-0.38772626390808673</v>
      </c>
      <c r="I52" s="180">
        <f>VLOOKUP($B$4&amp;" "&amp;$B52,Actuals!$D$4:$AG$157,MONTH(I$6)+4,FALSE)</f>
        <v>-0.32981610698901997</v>
      </c>
      <c r="J52" s="213">
        <f>VLOOKUP($B$4&amp;" "&amp;$B52,Actuals!$D$4:$AG$157,MONTH(J$6)+4,FALSE)</f>
        <v>-0.34028065034632149</v>
      </c>
      <c r="K52" s="180">
        <f>VLOOKUP($B$4&amp;" "&amp;$B52,Actuals!$D$4:$AG$157,MONTH(K$6)+4,FALSE)</f>
        <v>-0.35559989553470117</v>
      </c>
      <c r="L52" s="180">
        <f>VLOOKUP($B$4&amp;" "&amp;$B52,Actuals!$D$4:$AG$157,MONTH(L$6)+4,FALSE)</f>
        <v>-0.3790049823059618</v>
      </c>
      <c r="M52" s="213">
        <f>VLOOKUP($B$4&amp;" "&amp;$B52,Actuals!$D$4:$AG$157,MONTH(M$6)+4,FALSE)</f>
        <v>-0.37284991082540775</v>
      </c>
      <c r="N52" s="213">
        <f>VLOOKUP($B$4&amp;" "&amp;$B52,Actuals!$D$4:$AG$157,MONTH(N$6)+4,FALSE)</f>
        <v>-0.38842970908496444</v>
      </c>
      <c r="O52" s="213" t="str">
        <f>VLOOKUP($B$4&amp;" "&amp;$B52,Actuals!$D$4:$AG$157,MONTH(O$6)+4,FALSE)</f>
        <v>-</v>
      </c>
      <c r="P52" s="213" t="str">
        <f>VLOOKUP($B$4&amp;" "&amp;$B52,Actuals!$D$4:$AG$157,MONTH(P$6)+4,FALSE)</f>
        <v>-</v>
      </c>
      <c r="Q52" s="213" t="str">
        <f>VLOOKUP($B$4&amp;" "&amp;$B52,Actuals!$D$4:$AR$157,MONTH(Q$6)+16,FALSE)</f>
        <v>-</v>
      </c>
      <c r="R52" s="213" t="str">
        <f>VLOOKUP($B$4&amp;" "&amp;$B52,Actuals!$D$4:$AR$157,MONTH(R$6)+16,FALSE)</f>
        <v>-</v>
      </c>
      <c r="S52" s="213" t="str">
        <f>VLOOKUP($B$4&amp;" "&amp;$B52,Actuals!$D$4:$AR$157,MONTH(S$6)+16,FALSE)</f>
        <v>-</v>
      </c>
      <c r="T52" s="213" t="str">
        <f>VLOOKUP($B$4&amp;" "&amp;$B52,Actuals!$D$4:$AR$157,MONTH(T$6)+16,FALSE)</f>
        <v>-</v>
      </c>
      <c r="U52" s="213" t="str">
        <f>VLOOKUP($B$4&amp;" "&amp;$B52,Actuals!$D$4:$AR$157,MONTH(U$6)+16,FALSE)</f>
        <v>-</v>
      </c>
      <c r="V52" s="213" t="str">
        <f>VLOOKUP($B$4&amp;" "&amp;$B52,Actuals!$D$4:$AR$157,MONTH(V$6)+16,FALSE)</f>
        <v>-</v>
      </c>
      <c r="W52" s="213"/>
      <c r="X52" s="213"/>
      <c r="Y52" s="213"/>
      <c r="Z52" s="213"/>
      <c r="AA52" s="213"/>
      <c r="AB52" s="213"/>
      <c r="AC52" s="213" cm="1">
        <f t="array" ref="AC52">_xlfn.XLOOKUP(
   $B$4&amp;" "&amp;$B52,
   Actuals!$D:$D,
   _xlfn.XLOOKUP(
      AC$6,
      Actuals!$H$3:$BD$3,
      Actuals!$H:$BD
   )
)</f>
        <v>-0.6950838528977914</v>
      </c>
      <c r="AD52" s="213" cm="1">
        <f t="array" ref="AD52">_xlfn.XLOOKUP(
   $B$4&amp;" "&amp;$B52,
   Actuals!$D:$D,
   _xlfn.XLOOKUP(
      AD$6,
      Actuals!$H$3:$BD$3,
      Actuals!$H:$BD
   )
)</f>
        <v>-0.69508385289779151</v>
      </c>
      <c r="AE52" s="213" cm="1">
        <f t="array" ref="AE52">_xlfn.XLOOKUP(
   $B$4&amp;" "&amp;$B52,
   Actuals!$D:$D,
   _xlfn.XLOOKUP(
      AE$6,
      Actuals!$H$3:$BD$3,
      Actuals!$H:$BD
   )
)</f>
        <v>-0.69508385289779151</v>
      </c>
      <c r="AF52" s="213" cm="1">
        <f t="array" ref="AF52">_xlfn.XLOOKUP(
   $B$4&amp;" "&amp;$B52,
   Actuals!$D:$D,
   _xlfn.XLOOKUP(
      AF$6,
      Actuals!$H$3:$BD$3,
      Actuals!$H:$BD
   )
)</f>
        <v>-0.69508385289779151</v>
      </c>
      <c r="AG52" s="213" cm="1">
        <f t="array" ref="AG52">_xlfn.XLOOKUP(
   $B$4&amp;" "&amp;$B52,
   Actuals!$D:$D,
   _xlfn.XLOOKUP(
      AG$6,
      Actuals!$H$3:$BD$3,
      Actuals!$H:$BD
   )
)</f>
        <v>-0.69508385289779151</v>
      </c>
      <c r="AH52" s="213" cm="1">
        <f t="array" ref="AH52">_xlfn.XLOOKUP(
   $B$4&amp;" "&amp;$B52,
   Actuals!$D:$D,
   _xlfn.XLOOKUP(
      AH$6,
      Actuals!$H$3:$BD$3,
      Actuals!$H:$BD
   )
)</f>
        <v>-0.69508385289779151</v>
      </c>
      <c r="AI52" s="213" cm="1">
        <f t="array" ref="AI52">_xlfn.XLOOKUP(
   $B$4&amp;" "&amp;$B52,
   Actuals!$D:$D,
   _xlfn.XLOOKUP(
      AI$6,
      Actuals!$H$3:$BD$3,
      Actuals!$H:$BD
   )
)</f>
        <v>-0.69508385289779162</v>
      </c>
      <c r="AJ52" s="213" cm="1">
        <f t="array" ref="AJ52">_xlfn.XLOOKUP(
   $B$4&amp;" "&amp;$B52,
   Actuals!$D:$D,
   _xlfn.XLOOKUP(
      AJ$6,
      Actuals!$H$3:$BD$3,
      Actuals!$H:$BD
   )
)</f>
        <v>-0.69508385289779162</v>
      </c>
      <c r="AK52" s="213" cm="1">
        <f t="array" ref="AK52">_xlfn.XLOOKUP(
   $B$4&amp;" "&amp;$B52,
   Actuals!$D:$D,
   _xlfn.XLOOKUP(
      AK$6,
      Actuals!$H$3:$BD$3,
      Actuals!$H:$BD
   )
)</f>
        <v>-0.69508385289779151</v>
      </c>
      <c r="AL52" s="213" cm="1">
        <f t="array" ref="AL52">_xlfn.XLOOKUP(
   $B$4&amp;" "&amp;$B52,
   Actuals!$D:$D,
   _xlfn.XLOOKUP(
      AL$6,
      Actuals!$H$3:$BD$3,
      Actuals!$H:$BD
   )
)</f>
        <v>-0.69508385289779151</v>
      </c>
      <c r="AM52" s="213" cm="1">
        <f t="array" ref="AM52">_xlfn.XLOOKUP(
   $B$4&amp;" "&amp;$B52,
   Actuals!$D:$D,
   _xlfn.XLOOKUP(
      AM$6,
      Actuals!$H$3:$BD$3,
      Actuals!$H:$BD
   )
)</f>
        <v>-0.69508385289779151</v>
      </c>
      <c r="AN52" s="213" cm="1">
        <f t="array" ref="AN52">_xlfn.XLOOKUP(
   $B$4&amp;" "&amp;$B52,
   Actuals!$D:$D,
   _xlfn.XLOOKUP(
      AN$6,
      Actuals!$H$3:$BD$3,
      Actuals!$H:$BD
   )
)</f>
        <v>-0.69508385289779162</v>
      </c>
      <c r="AO52" s="213" cm="1">
        <f t="array" ref="AO52">_xlfn.XLOOKUP(
   $B$4&amp;" "&amp;$B52,
   Actuals!$D:$D,
   _xlfn.XLOOKUP(
      AO$6,
      Actuals!$H$3:$BD$3,
      Actuals!$H:$BD
   )
)</f>
        <v>-0.69508385289779162</v>
      </c>
      <c r="AP52" s="213" cm="1">
        <f t="array" ref="AP52">_xlfn.XLOOKUP(
   $B$4&amp;" "&amp;$B52,
   Actuals!$D:$D,
   _xlfn.XLOOKUP(
      AP$6,
      Actuals!$H$3:$BD$3,
      Actuals!$H:$BD
   )
)</f>
        <v>-0.69508385289779151</v>
      </c>
      <c r="AQ52" s="213" cm="1">
        <f t="array" ref="AQ52">_xlfn.XLOOKUP(
   $B$4&amp;" "&amp;$B52,
   Actuals!$D:$D,
   _xlfn.XLOOKUP(
      AQ$6,
      Actuals!$H$3:$BD$3,
      Actuals!$H:$BD
   )
)</f>
        <v>-0.69508385289779162</v>
      </c>
      <c r="AR52" s="213" t="str" cm="1">
        <f t="array" ref="AR52">_xlfn.XLOOKUP(
   $B$4&amp;" "&amp;$B52,
   Actuals!$D:$D,
   _xlfn.XLOOKUP(
      AR$6,
      Actuals!$H$3:$BD$3,
      Actuals!$H:$BD
   )
)</f>
        <v>-</v>
      </c>
      <c r="AS52" s="213" t="str" cm="1">
        <f t="array" ref="AS52">_xlfn.XLOOKUP(
   $B$4&amp;" "&amp;$B52,
   Actuals!$D:$D,
   _xlfn.XLOOKUP(
      AS$6,
      Actuals!$H$3:$BD$3,
      Actuals!$H:$BD
   )
)</f>
        <v>-</v>
      </c>
      <c r="AT52" s="213" t="str" cm="1">
        <f t="array" ref="AT52">_xlfn.XLOOKUP(
   $B$4&amp;" "&amp;$B52,
   Actuals!$D:$D,
   _xlfn.XLOOKUP(
      AT$6,
      Actuals!$H$3:$BD$3,
      Actuals!$H:$BD
   )
)</f>
        <v>-</v>
      </c>
      <c r="AU52" s="213" t="str" cm="1">
        <f t="array" ref="AU52">_xlfn.XLOOKUP(
   $B$4&amp;" "&amp;$B52,
   Actuals!$D:$D,
   _xlfn.XLOOKUP(
      AU$6,
      Actuals!$H$3:$BD$3,
      Actuals!$H:$BD
   )
)</f>
        <v>-</v>
      </c>
      <c r="AV52" s="213" t="str" cm="1">
        <f t="array" ref="AV52">_xlfn.XLOOKUP(
   $B$4&amp;" "&amp;$B52,
   Actuals!$D:$D,
   _xlfn.XLOOKUP(
      AV$6,
      Actuals!$H$3:$BD$3,
      Actuals!$H:$BD
   )
)</f>
        <v>-</v>
      </c>
      <c r="AW52" s="213" t="str" cm="1">
        <f t="array" ref="AW52">_xlfn.XLOOKUP(
   $B$4&amp;" "&amp;$B52,
   Actuals!$D:$D,
   _xlfn.XLOOKUP(
      AW$6,
      Actuals!$H$3:$BD$3,
      Actuals!$H:$BD
   )
)</f>
        <v>-</v>
      </c>
      <c r="AX52" s="213" t="str" cm="1">
        <f t="array" ref="AX52">_xlfn.XLOOKUP(
   $B$4&amp;" "&amp;$B52,
   Actuals!$D:$D,
   _xlfn.XLOOKUP(
      AX$6,
      Actuals!$H$3:$BD$3,
      Actuals!$H:$BD
   )
)</f>
        <v>-</v>
      </c>
      <c r="AY52" s="213" t="str" cm="1">
        <f t="array" ref="AY52">_xlfn.XLOOKUP(
   $B$4&amp;" "&amp;$B52,
   Actuals!$D:$D,
   _xlfn.XLOOKUP(
      AY$6,
      Actuals!$H$3:$BD$3,
      Actuals!$H:$BD
   )
)</f>
        <v>-</v>
      </c>
      <c r="AZ52" s="213" t="str" cm="1">
        <f t="array" ref="AZ52">_xlfn.XLOOKUP(
   $B$4&amp;" "&amp;$B52,
   Actuals!$D:$D,
   _xlfn.XLOOKUP(
      AZ$6,
      Actuals!$H$3:$BD$3,
      Actuals!$H:$BD
   )
)</f>
        <v>-</v>
      </c>
      <c r="BA52" s="213"/>
      <c r="BB52" s="213" cm="1">
        <f t="array" ref="BB52">_xlfn.XLOOKUP(
   $B$4&amp;" "&amp;$B52,
   Actuals!$D:$D,
   _xlfn.XLOOKUP(
      BB$7,
      Actuals!$H$3:$BM$3,
      Actuals!$H:$BM
   )
)</f>
        <v>-0.69508385289779162</v>
      </c>
      <c r="BC52" s="213">
        <f>VLOOKUP($B$4&amp;" "&amp;$B52,Budget!$AG$4:$AL$157,$BB$5+1,FALSE)</f>
        <v>0</v>
      </c>
      <c r="BD52" s="213">
        <f>BB52-BC52</f>
        <v>-0.69508385289779162</v>
      </c>
      <c r="BE52" s="213"/>
      <c r="BF52" s="213" t="str" cm="1">
        <f t="array" ref="BF52">_xlfn.XLOOKUP(
   $B$4&amp;" "&amp;$B52,
   Actuals!$D:$D,
   _xlfn.XLOOKUP(
      BF$7,
      Actuals!$H$3:$BM$3,
      Actuals!$H:$BM
   )
)</f>
        <v>-</v>
      </c>
      <c r="BG52" s="213">
        <f>VLOOKUP($B$4&amp;" "&amp;$B52,Budget!$AG$4:$AL$157,BF$5+1,FALSE)</f>
        <v>0</v>
      </c>
      <c r="BH52" s="213" t="e">
        <f>BF52-BG52</f>
        <v>#VALUE!</v>
      </c>
      <c r="BI52" s="213"/>
      <c r="BJ52" s="213" t="str" cm="1">
        <f t="array" ref="BJ52">_xlfn.XLOOKUP(
   $B$4&amp;" "&amp;$B52,
   Actuals!$D:$D,
   _xlfn.XLOOKUP(
      BJ$7,
      Actuals!$H$3:$BM$3,
      Actuals!$H:$BM
   )
)</f>
        <v>-</v>
      </c>
      <c r="BK52" s="213">
        <f>VLOOKUP($B$4&amp;" "&amp;$B52,Budget!$AG$4:$AL$157,BJ$5+1,FALSE)</f>
        <v>0</v>
      </c>
      <c r="BL52" s="213" t="e">
        <f>BJ52-BK52</f>
        <v>#VALUE!</v>
      </c>
      <c r="BM52" s="213"/>
      <c r="BN52" s="213" t="str" cm="1">
        <f t="array" ref="BN52">_xlfn.XLOOKUP(
   $B$4&amp;" "&amp;$B52,
   Actuals!$D:$D,
   _xlfn.XLOOKUP(
      BN$7,
      Actuals!$H$3:$BM$3,
      Actuals!$H:$BM
   )
)</f>
        <v>-</v>
      </c>
      <c r="BO52" s="213">
        <f>VLOOKUP($B$4&amp;" "&amp;$B52,Budget!$AG$4:$AL$157,BN$5+1,FALSE)</f>
        <v>0</v>
      </c>
      <c r="BP52" s="213"/>
      <c r="BQ52" s="213"/>
      <c r="BR52" s="213" t="str">
        <f ca="1">VLOOKUP($B$4&amp;" "&amp;$B52,Actuals!$BG$4:$BL$157,6,FALSE)</f>
        <v>-</v>
      </c>
      <c r="BS52" s="213">
        <f ca="1">VLOOKUP($B$4&amp;" "&amp;$B52,Budget!$AG$4:$AL$157,6,FALSE)</f>
        <v>0</v>
      </c>
      <c r="BT52" s="213" t="e">
        <f ca="1">BR52-BS52</f>
        <v>#VALUE!</v>
      </c>
      <c r="BU52" s="213"/>
      <c r="BV52" s="213" cm="1">
        <f t="array" ref="BV52">_xlfn.XLOOKUP(
   $B$4&amp;" "&amp;$B52,
   Actuals!$D:$D,
   _xlfn.XLOOKUP(
      BV$6,
      Actuals!$H$3:$BM$3,
      Actuals!$H:$BM
   )
)</f>
        <v>-0.69508385289779162</v>
      </c>
    </row>
    <row r="53" spans="2:74" s="26" customFormat="1" ht="13">
      <c r="B53" s="134" t="s">
        <v>239</v>
      </c>
      <c r="C53" s="140"/>
      <c r="D53" s="179"/>
      <c r="E53" s="181">
        <f>VLOOKUP($B$4&amp;" "&amp;$B53,Actuals!$D$4:$AG$157,MONTH(E$6)+4,FALSE)</f>
        <v>1.185028161204436</v>
      </c>
      <c r="F53" s="181">
        <f>VLOOKUP($B$4&amp;" "&amp;$B53,Actuals!$D$4:$AG$157,MONTH(F$6)+4,FALSE)</f>
        <v>1.1937014117409774</v>
      </c>
      <c r="G53" s="265">
        <f>VLOOKUP($B$4&amp;" "&amp;$B53,Actuals!$D$4:$AG$157,MONTH(G$6)+4,FALSE)</f>
        <v>1.2624526963096017</v>
      </c>
      <c r="H53" s="181">
        <f>VLOOKUP($B$4&amp;" "&amp;$B53,Actuals!$D$4:$AG$157,MONTH(H$6)+4,FALSE)</f>
        <v>1.2569034120673745</v>
      </c>
      <c r="I53" s="181">
        <f>VLOOKUP($B$4&amp;" "&amp;$B53,Actuals!$D$4:$AG$157,MONTH(I$6)+4,FALSE)</f>
        <v>1.3403671395208929</v>
      </c>
      <c r="J53" s="265">
        <f>VLOOKUP($B$4&amp;" "&amp;$B53,Actuals!$D$4:$AG$157,MONTH(J$6)+4,FALSE)</f>
        <v>1.3579445993249735</v>
      </c>
      <c r="K53" s="181">
        <f>VLOOKUP($B$4&amp;" "&amp;$B53,Actuals!$D$4:$AG$157,MONTH(K$6)+4,FALSE)</f>
        <v>1.3338043074658694</v>
      </c>
      <c r="L53" s="181">
        <f>VLOOKUP($B$4&amp;" "&amp;$B53,Actuals!$D$4:$AG$157,MONTH(L$6)+4,FALSE)</f>
        <v>1.3611752972226951</v>
      </c>
      <c r="M53" s="265">
        <f>VLOOKUP($B$4&amp;" "&amp;$B53,Actuals!$D$4:$AG$157,MONTH(M$6)+4,FALSE)</f>
        <v>1.3615201124492429</v>
      </c>
      <c r="N53" s="265">
        <f>VLOOKUP($B$4&amp;" "&amp;$B53,Actuals!$D$4:$AG$157,MONTH(N$6)+4,FALSE)</f>
        <v>1.3601906304574212</v>
      </c>
      <c r="O53" s="265" t="str">
        <f>VLOOKUP($B$4&amp;" "&amp;$B53,Actuals!$D$4:$AG$157,MONTH(O$6)+4,FALSE)</f>
        <v>n.a.</v>
      </c>
      <c r="P53" s="265" t="str">
        <f>VLOOKUP($B$4&amp;" "&amp;$B53,Actuals!$D$4:$AG$157,MONTH(P$6)+4,FALSE)</f>
        <v>n.a.</v>
      </c>
      <c r="Q53" s="265" t="str">
        <f>VLOOKUP($B$4&amp;" "&amp;$B53,Actuals!$D$4:$AR$157,MONTH(Q$6)+16,FALSE)</f>
        <v>n.a.</v>
      </c>
      <c r="R53" s="265" t="str">
        <f>VLOOKUP($B$4&amp;" "&amp;$B53,Actuals!$D$4:$AR$157,MONTH(R$6)+16,FALSE)</f>
        <v>n.a.</v>
      </c>
      <c r="S53" s="265" t="str">
        <f>VLOOKUP($B$4&amp;" "&amp;$B53,Actuals!$D$4:$AR$157,MONTH(S$6)+16,FALSE)</f>
        <v>n.a.</v>
      </c>
      <c r="T53" s="265" t="str">
        <f>VLOOKUP($B$4&amp;" "&amp;$B53,Actuals!$D$4:$AR$157,MONTH(T$6)+16,FALSE)</f>
        <v>n.a.</v>
      </c>
      <c r="U53" s="265" t="str">
        <f>VLOOKUP($B$4&amp;" "&amp;$B53,Actuals!$D$4:$AR$157,MONTH(U$6)+16,FALSE)</f>
        <v>n.a.</v>
      </c>
      <c r="V53" s="265" t="str">
        <f>VLOOKUP($B$4&amp;" "&amp;$B53,Actuals!$D$4:$AR$157,MONTH(V$6)+16,FALSE)</f>
        <v>n.a.</v>
      </c>
      <c r="W53" s="265"/>
      <c r="X53" s="265"/>
      <c r="Y53" s="265"/>
      <c r="Z53" s="265"/>
      <c r="AA53" s="265"/>
      <c r="AB53" s="265"/>
      <c r="AC53" s="265" cm="1">
        <f t="array" ref="AC53">_xlfn.XLOOKUP(
   $B$4&amp;" "&amp;$B53,
   Actuals!$D:$D,
   _xlfn.XLOOKUP(
      AC$6,
      Actuals!$H$3:$BD$3,
      Actuals!$H:$BD
   )
)</f>
        <v>0.76417960211759484</v>
      </c>
      <c r="AD53" s="265" cm="1">
        <f t="array" ref="AD53">_xlfn.XLOOKUP(
   $B$4&amp;" "&amp;$B53,
   Actuals!$D:$D,
   _xlfn.XLOOKUP(
      AD$6,
      Actuals!$H$3:$BD$3,
      Actuals!$H:$BD
   )
)</f>
        <v>0.7457264037835859</v>
      </c>
      <c r="AE53" s="265" cm="1">
        <f t="array" ref="AE53">_xlfn.XLOOKUP(
   $B$4&amp;" "&amp;$B53,
   Actuals!$D:$D,
   _xlfn.XLOOKUP(
      AE$6,
      Actuals!$H$3:$BD$3,
      Actuals!$H:$BD
   )
)</f>
        <v>0.74535987324980379</v>
      </c>
      <c r="AF53" s="265" cm="1">
        <f t="array" ref="AF53">_xlfn.XLOOKUP(
   $B$4&amp;" "&amp;$B53,
   Actuals!$D:$D,
   _xlfn.XLOOKUP(
      AF$6,
      Actuals!$H$3:$BD$3,
      Actuals!$H:$BD
   )
)</f>
        <v>0.74901914079617471</v>
      </c>
      <c r="AG53" s="265" cm="1">
        <f t="array" ref="AG53">_xlfn.XLOOKUP(
   $B$4&amp;" "&amp;$B53,
   Actuals!$D:$D,
   _xlfn.XLOOKUP(
      AG$6,
      Actuals!$H$3:$BD$3,
      Actuals!$H:$BD
   )
)</f>
        <v>0.75497496465464786</v>
      </c>
      <c r="AH53" s="265" cm="1">
        <f t="array" ref="AH53">_xlfn.XLOOKUP(
   $B$4&amp;" "&amp;$B53,
   Actuals!$D:$D,
   _xlfn.XLOOKUP(
      AH$6,
      Actuals!$H$3:$BD$3,
      Actuals!$H:$BD
   )
)</f>
        <v>0.77151217050137688</v>
      </c>
      <c r="AI53" s="265" cm="1">
        <f t="array" ref="AI53">_xlfn.XLOOKUP(
   $B$4&amp;" "&amp;$B53,
   Actuals!$D:$D,
   _xlfn.XLOOKUP(
      AI$6,
      Actuals!$H$3:$BD$3,
      Actuals!$H:$BD
   )
)</f>
        <v>0.77946754012277153</v>
      </c>
      <c r="AJ53" s="265" cm="1">
        <f t="array" ref="AJ53">_xlfn.XLOOKUP(
   $B$4&amp;" "&amp;$B53,
   Actuals!$D:$D,
   _xlfn.XLOOKUP(
      AJ$6,
      Actuals!$H$3:$BD$3,
      Actuals!$H:$BD
   )
)</f>
        <v>0.79177206509983411</v>
      </c>
      <c r="AK53" s="265" cm="1">
        <f t="array" ref="AK53">_xlfn.XLOOKUP(
   $B$4&amp;" "&amp;$B53,
   Actuals!$D:$D,
   _xlfn.XLOOKUP(
      AK$6,
      Actuals!$H$3:$BD$3,
      Actuals!$H:$BD
   )
)</f>
        <v>0.78104620303128913</v>
      </c>
      <c r="AL53" s="265" cm="1">
        <f t="array" ref="AL53">_xlfn.XLOOKUP(
   $B$4&amp;" "&amp;$B53,
   Actuals!$D:$D,
   _xlfn.XLOOKUP(
      AL$6,
      Actuals!$H$3:$BD$3,
      Actuals!$H:$BD
   )
)</f>
        <v>0.78134040814201733</v>
      </c>
      <c r="AM53" s="265" cm="1">
        <f t="array" ref="AM53">_xlfn.XLOOKUP(
   $B$4&amp;" "&amp;$B53,
   Actuals!$D:$D,
   _xlfn.XLOOKUP(
      AM$6,
      Actuals!$H$3:$BD$3,
      Actuals!$H:$BD
   )
)</f>
        <v>0.77660336432765564</v>
      </c>
      <c r="AN53" s="265" cm="1">
        <f t="array" ref="AN53">_xlfn.XLOOKUP(
   $B$4&amp;" "&amp;$B53,
   Actuals!$D:$D,
   _xlfn.XLOOKUP(
      AN$6,
      Actuals!$H$3:$BD$3,
      Actuals!$H:$BD
   )
)</f>
        <v>0.79863727793137285</v>
      </c>
      <c r="AO53" s="265" cm="1">
        <f t="array" ref="AO53">_xlfn.XLOOKUP(
   $B$4&amp;" "&amp;$B53,
   Actuals!$D:$D,
   _xlfn.XLOOKUP(
      AO$6,
      Actuals!$H$3:$BD$3,
      Actuals!$H:$BD
   )
)</f>
        <v>0.79863727793137285</v>
      </c>
      <c r="AP53" s="265" cm="1">
        <f t="array" ref="AP53">_xlfn.XLOOKUP(
   $B$4&amp;" "&amp;$B53,
   Actuals!$D:$D,
   _xlfn.XLOOKUP(
      AP$6,
      Actuals!$H$3:$BD$3,
      Actuals!$H:$BD
   )
)</f>
        <v>0.79863727793137318</v>
      </c>
      <c r="AQ53" s="265" cm="1">
        <f t="array" ref="AQ53">_xlfn.XLOOKUP(
   $B$4&amp;" "&amp;$B53,
   Actuals!$D:$D,
   _xlfn.XLOOKUP(
      AQ$6,
      Actuals!$H$3:$BD$3,
      Actuals!$H:$BD
   )
)</f>
        <v>0.79863727793137285</v>
      </c>
      <c r="AR53" s="265" t="str" cm="1">
        <f t="array" ref="AR53">_xlfn.XLOOKUP(
   $B$4&amp;" "&amp;$B53,
   Actuals!$D:$D,
   _xlfn.XLOOKUP(
      AR$6,
      Actuals!$H$3:$BD$3,
      Actuals!$H:$BD
   )
)</f>
        <v>n.a.</v>
      </c>
      <c r="AS53" s="265" t="str" cm="1">
        <f t="array" ref="AS53">_xlfn.XLOOKUP(
   $B$4&amp;" "&amp;$B53,
   Actuals!$D:$D,
   _xlfn.XLOOKUP(
      AS$6,
      Actuals!$H$3:$BD$3,
      Actuals!$H:$BD
   )
)</f>
        <v>n.a.</v>
      </c>
      <c r="AT53" s="265" t="str" cm="1">
        <f t="array" ref="AT53">_xlfn.XLOOKUP(
   $B$4&amp;" "&amp;$B53,
   Actuals!$D:$D,
   _xlfn.XLOOKUP(
      AT$6,
      Actuals!$H$3:$BD$3,
      Actuals!$H:$BD
   )
)</f>
        <v>n.a.</v>
      </c>
      <c r="AU53" s="265" t="str" cm="1">
        <f t="array" ref="AU53">_xlfn.XLOOKUP(
   $B$4&amp;" "&amp;$B53,
   Actuals!$D:$D,
   _xlfn.XLOOKUP(
      AU$6,
      Actuals!$H$3:$BD$3,
      Actuals!$H:$BD
   )
)</f>
        <v>n.a.</v>
      </c>
      <c r="AV53" s="265" t="str" cm="1">
        <f t="array" ref="AV53">_xlfn.XLOOKUP(
   $B$4&amp;" "&amp;$B53,
   Actuals!$D:$D,
   _xlfn.XLOOKUP(
      AV$6,
      Actuals!$H$3:$BD$3,
      Actuals!$H:$BD
   )
)</f>
        <v>n.a.</v>
      </c>
      <c r="AW53" s="265" t="str" cm="1">
        <f t="array" ref="AW53">_xlfn.XLOOKUP(
   $B$4&amp;" "&amp;$B53,
   Actuals!$D:$D,
   _xlfn.XLOOKUP(
      AW$6,
      Actuals!$H$3:$BD$3,
      Actuals!$H:$BD
   )
)</f>
        <v>n.a.</v>
      </c>
      <c r="AX53" s="265" t="str" cm="1">
        <f t="array" ref="AX53">_xlfn.XLOOKUP(
   $B$4&amp;" "&amp;$B53,
   Actuals!$D:$D,
   _xlfn.XLOOKUP(
      AX$6,
      Actuals!$H$3:$BD$3,
      Actuals!$H:$BD
   )
)</f>
        <v>n.a.</v>
      </c>
      <c r="AY53" s="265" t="str" cm="1">
        <f t="array" ref="AY53">_xlfn.XLOOKUP(
   $B$4&amp;" "&amp;$B53,
   Actuals!$D:$D,
   _xlfn.XLOOKUP(
      AY$6,
      Actuals!$H$3:$BD$3,
      Actuals!$H:$BD
   )
)</f>
        <v>n.a.</v>
      </c>
      <c r="AZ53" s="265" t="str" cm="1">
        <f t="array" ref="AZ53">_xlfn.XLOOKUP(
   $B$4&amp;" "&amp;$B53,
   Actuals!$D:$D,
   _xlfn.XLOOKUP(
      AZ$6,
      Actuals!$H$3:$BD$3,
      Actuals!$H:$BD
   )
)</f>
        <v>n.a.</v>
      </c>
      <c r="BA53" s="265"/>
      <c r="BB53" s="265" cm="1">
        <f t="array" ref="BB53">_xlfn.XLOOKUP(
   $B$4&amp;" "&amp;$B53,
   Actuals!$D:$D,
   _xlfn.XLOOKUP(
      BB$7,
      Actuals!$H$3:$BM$3,
      Actuals!$H:$BM
   )
)</f>
        <v>0.79863727793137285</v>
      </c>
      <c r="BC53" s="265">
        <f>VLOOKUP($B$4&amp;" "&amp;$B53,Budget!$AG$4:$AL$157,$BB$5+1,FALSE)</f>
        <v>0</v>
      </c>
      <c r="BD53" s="265">
        <f>BB53-BC53</f>
        <v>0.79863727793137285</v>
      </c>
      <c r="BE53" s="265"/>
      <c r="BF53" s="265" cm="1">
        <f t="array" ref="BF53">_xlfn.XLOOKUP(
   $B$4&amp;" "&amp;$B53,
   Actuals!$D:$D,
   _xlfn.XLOOKUP(
      BF$7,
      Actuals!$H$3:$BM$3,
      Actuals!$H:$BM
   )
)</f>
        <v>0.96360998697056799</v>
      </c>
      <c r="BG53" s="265">
        <f>VLOOKUP($B$4&amp;" "&amp;$B53,Budget!$AG$4:$AL$157,BF$5+1,FALSE)</f>
        <v>0</v>
      </c>
      <c r="BH53" s="265">
        <f>BF53-BG53</f>
        <v>0.96360998697056799</v>
      </c>
      <c r="BI53" s="265"/>
      <c r="BJ53" s="265" cm="1">
        <f t="array" ref="BJ53">_xlfn.XLOOKUP(
   $B$4&amp;" "&amp;$B53,
   Actuals!$D:$D,
   _xlfn.XLOOKUP(
      BJ$7,
      Actuals!$H$3:$BM$3,
      Actuals!$H:$BM
   )
)</f>
        <v>0.96360998697056799</v>
      </c>
      <c r="BK53" s="265">
        <f>VLOOKUP($B$4&amp;" "&amp;$B53,Budget!$AG$4:$AL$157,BJ$5+1,FALSE)</f>
        <v>0</v>
      </c>
      <c r="BL53" s="265">
        <f>BJ53-BK53</f>
        <v>0.96360998697056799</v>
      </c>
      <c r="BM53" s="265"/>
      <c r="BN53" s="265" cm="1">
        <f t="array" ref="BN53">_xlfn.XLOOKUP(
   $B$4&amp;" "&amp;$B53,
   Actuals!$D:$D,
   _xlfn.XLOOKUP(
      BN$7,
      Actuals!$H$3:$BM$3,
      Actuals!$H:$BM
   )
)</f>
        <v>0.96360998697056799</v>
      </c>
      <c r="BO53" s="265">
        <f>VLOOKUP($B$4&amp;" "&amp;$B53,Budget!$AG$4:$AL$157,BN$5+1,FALSE)</f>
        <v>0</v>
      </c>
      <c r="BP53" s="265"/>
      <c r="BQ53" s="265"/>
      <c r="BR53" s="265">
        <f ca="1">VLOOKUP($B$4&amp;" "&amp;$B53,Actuals!$BG$4:$BL$157,6,FALSE)</f>
        <v>0.77725063030997432</v>
      </c>
      <c r="BS53" s="265">
        <f ca="1">VLOOKUP($B$4&amp;" "&amp;$B53,Budget!$AG$4:$AL$157,6,FALSE)</f>
        <v>1.0702940416634446</v>
      </c>
      <c r="BT53" s="265">
        <f ca="1">BR53-BS53</f>
        <v>-0.29304341135347023</v>
      </c>
      <c r="BU53" s="265"/>
      <c r="BV53" s="265" t="str" cm="1">
        <f t="array" ref="BV53">_xlfn.XLOOKUP(
   $B$4&amp;" "&amp;$B53,
   Actuals!$D:$D,
   _xlfn.XLOOKUP(
      BV$6,
      Actuals!$H$3:$BM$3,
      Actuals!$H:$BM
   )
)</f>
        <v/>
      </c>
    </row>
  </sheetData>
  <mergeCells count="10">
    <mergeCell ref="BB7:BC7"/>
    <mergeCell ref="BF7:BG7"/>
    <mergeCell ref="BJ7:BK7"/>
    <mergeCell ref="BN7:BO7"/>
    <mergeCell ref="E5:J5"/>
    <mergeCell ref="BR5:BT5"/>
    <mergeCell ref="BB5:BD5"/>
    <mergeCell ref="BF5:BH5"/>
    <mergeCell ref="BJ5:BL5"/>
    <mergeCell ref="BN5:BP5"/>
  </mergeCells>
  <pageMargins left="0.25" right="0.25" top="0.25" bottom="0.25" header="0.3" footer="0.3"/>
  <pageSetup scale="54" orientation="landscape" r:id="rId1"/>
  <headerFooter>
    <oddHeader>&amp;L&amp;"Aptos"&amp;10&amp;K000000 Internal Use Only&amp;1#_x000D_</oddHeader>
  </headerFooter>
  <rowBreaks count="1" manualBreakCount="1">
    <brk id="53" max="25"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2E984-B558-4427-A88B-6CC8C649AFFB}">
  <sheetPr codeName="Sheet14">
    <tabColor theme="4"/>
  </sheetPr>
  <dimension ref="B1:BM141"/>
  <sheetViews>
    <sheetView tabSelected="1" zoomScale="125" zoomScaleNormal="85" workbookViewId="0">
      <pane xSplit="5" ySplit="3" topLeftCell="AO4" activePane="bottomRight" state="frozen"/>
      <selection activeCell="S21" sqref="S21"/>
      <selection pane="topRight" activeCell="S21" sqref="S21"/>
      <selection pane="bottomLeft" activeCell="S21" sqref="S21"/>
      <selection pane="bottomRight" activeCell="AR12" sqref="AR12"/>
    </sheetView>
  </sheetViews>
  <sheetFormatPr defaultColWidth="9.1796875" defaultRowHeight="12.5" outlineLevelCol="1"/>
  <cols>
    <col min="1" max="1" width="2.453125" style="147" customWidth="1"/>
    <col min="2" max="2" width="18.453125" style="147" bestFit="1" customWidth="1"/>
    <col min="3" max="3" width="28.26953125" style="147" hidden="1" customWidth="1" outlineLevel="1"/>
    <col min="4" max="4" width="49.81640625" style="147" hidden="1" customWidth="1" outlineLevel="1"/>
    <col min="5" max="5" width="33.453125" style="147" bestFit="1" customWidth="1" collapsed="1"/>
    <col min="6" max="6" width="9.1796875" style="147" customWidth="1"/>
    <col min="7" max="7" width="18.81640625" style="147" customWidth="1"/>
    <col min="8" max="8" width="13.81640625" style="147" hidden="1" customWidth="1" outlineLevel="1"/>
    <col min="9" max="9" width="15.453125" style="147" hidden="1" customWidth="1" outlineLevel="1"/>
    <col min="10" max="10" width="13.453125" style="147" hidden="1" customWidth="1" outlineLevel="1"/>
    <col min="11" max="12" width="15.453125" style="147" hidden="1" customWidth="1" outlineLevel="1"/>
    <col min="13" max="13" width="13.453125" style="147" hidden="1" customWidth="1" outlineLevel="1"/>
    <col min="14" max="14" width="13.1796875" style="147" hidden="1" customWidth="1" outlineLevel="1"/>
    <col min="15" max="15" width="14" style="147" hidden="1" customWidth="1" outlineLevel="1"/>
    <col min="16" max="16" width="13.453125" style="147" hidden="1" customWidth="1" outlineLevel="1"/>
    <col min="17" max="31" width="15.81640625" style="147" hidden="1" customWidth="1" outlineLevel="1"/>
    <col min="32" max="32" width="15.81640625" style="147" bestFit="1" customWidth="1" collapsed="1"/>
    <col min="33" max="33" width="13.453125" style="147" customWidth="1"/>
    <col min="34" max="34" width="13.81640625" style="147" customWidth="1"/>
    <col min="35" max="35" width="15.453125" style="147" customWidth="1"/>
    <col min="36" max="36" width="13.453125" style="147" customWidth="1"/>
    <col min="37" max="38" width="15.453125" style="147" customWidth="1"/>
    <col min="39" max="39" width="13.453125" style="147" customWidth="1"/>
    <col min="40" max="40" width="13.1796875" style="147" customWidth="1"/>
    <col min="41" max="41" width="14" style="147" customWidth="1"/>
    <col min="42" max="42" width="13.453125" style="147" customWidth="1"/>
    <col min="43" max="43" width="15.81640625" style="147" bestFit="1" customWidth="1"/>
    <col min="44" max="55" width="15.81640625" style="147" customWidth="1"/>
    <col min="56" max="56" width="13.453125" style="147" customWidth="1"/>
    <col min="57" max="57" width="10.26953125" style="147" bestFit="1" customWidth="1"/>
    <col min="58" max="58" width="15" style="26" customWidth="1"/>
    <col min="59" max="59" width="5" style="147" customWidth="1"/>
    <col min="60" max="60" width="11.7265625" style="147" bestFit="1" customWidth="1"/>
    <col min="61" max="62" width="12" style="147" bestFit="1" customWidth="1"/>
    <col min="63" max="63" width="12" style="317" bestFit="1" customWidth="1"/>
    <col min="64" max="64" width="10.1796875" style="147" bestFit="1" customWidth="1"/>
    <col min="65" max="65" width="10.1796875" style="317" bestFit="1" customWidth="1"/>
    <col min="66" max="16384" width="9.1796875" style="147"/>
  </cols>
  <sheetData>
    <row r="1" spans="2:65" ht="6" customHeight="1" thickBot="1">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G1" s="26"/>
      <c r="BH1" s="26"/>
      <c r="BI1" s="26"/>
      <c r="BJ1" s="26"/>
      <c r="BK1" s="285"/>
      <c r="BL1" s="26"/>
      <c r="BM1" s="285"/>
    </row>
    <row r="2" spans="2:65" ht="13.5" thickBot="1">
      <c r="B2" s="26"/>
      <c r="C2" s="26"/>
      <c r="D2" s="26"/>
      <c r="E2" s="26"/>
      <c r="F2" s="169"/>
      <c r="G2" s="26"/>
      <c r="H2" s="169" t="s">
        <v>240</v>
      </c>
      <c r="I2" s="366"/>
      <c r="J2" s="366"/>
      <c r="K2" s="366"/>
      <c r="L2" s="366"/>
      <c r="M2" s="366"/>
      <c r="N2" s="366"/>
      <c r="O2" s="366"/>
      <c r="P2" s="366"/>
      <c r="Q2" s="366"/>
      <c r="R2" s="366"/>
      <c r="S2" s="366"/>
      <c r="T2" s="366"/>
      <c r="U2" s="366"/>
      <c r="V2" s="366"/>
      <c r="W2" s="366"/>
      <c r="X2" s="366"/>
      <c r="Y2" s="366"/>
      <c r="Z2" s="366"/>
      <c r="AA2" s="366"/>
      <c r="AB2" s="366"/>
      <c r="AC2" s="366"/>
      <c r="AD2" s="366"/>
      <c r="AE2" s="366"/>
      <c r="AF2" s="366">
        <v>45688</v>
      </c>
      <c r="AG2" s="366"/>
      <c r="AH2" s="366"/>
      <c r="AI2" s="366"/>
      <c r="AJ2" s="366"/>
      <c r="AK2" s="366"/>
      <c r="AL2" s="366"/>
      <c r="AM2" s="366"/>
      <c r="AN2" s="366"/>
      <c r="AO2" s="366"/>
      <c r="AP2" s="366"/>
      <c r="AQ2" s="366"/>
      <c r="AR2" s="366"/>
      <c r="AS2" s="366"/>
      <c r="AT2" s="366"/>
      <c r="AU2" s="366"/>
      <c r="AV2" s="366"/>
      <c r="AW2" s="366"/>
      <c r="AX2" s="366"/>
      <c r="AY2" s="366"/>
      <c r="AZ2" s="366"/>
      <c r="BA2" s="366"/>
      <c r="BB2" s="366"/>
      <c r="BC2" s="366"/>
      <c r="BD2" s="366"/>
      <c r="BE2" s="26"/>
      <c r="BG2" s="26"/>
      <c r="BH2" s="169" t="s">
        <v>240</v>
      </c>
      <c r="BI2" s="26"/>
      <c r="BJ2" s="26"/>
      <c r="BK2" s="285"/>
      <c r="BL2" s="26"/>
      <c r="BM2" s="285"/>
    </row>
    <row r="3" spans="2:65" ht="13">
      <c r="B3" s="126" t="s">
        <v>241</v>
      </c>
      <c r="C3" s="126" t="s">
        <v>242</v>
      </c>
      <c r="D3" s="126" t="s">
        <v>243</v>
      </c>
      <c r="E3" s="126" t="s">
        <v>244</v>
      </c>
      <c r="F3" s="170" t="s">
        <v>35</v>
      </c>
      <c r="G3" s="126" t="s">
        <v>245</v>
      </c>
      <c r="H3" s="170">
        <v>44957</v>
      </c>
      <c r="I3" s="187">
        <f t="shared" ref="I3:S3" si="0">EOMONTH(H3,1)</f>
        <v>44985</v>
      </c>
      <c r="J3" s="187">
        <f t="shared" si="0"/>
        <v>45016</v>
      </c>
      <c r="K3" s="187">
        <f t="shared" si="0"/>
        <v>45046</v>
      </c>
      <c r="L3" s="187">
        <f t="shared" si="0"/>
        <v>45077</v>
      </c>
      <c r="M3" s="187">
        <f t="shared" si="0"/>
        <v>45107</v>
      </c>
      <c r="N3" s="187">
        <f t="shared" si="0"/>
        <v>45138</v>
      </c>
      <c r="O3" s="187">
        <f t="shared" si="0"/>
        <v>45169</v>
      </c>
      <c r="P3" s="187">
        <f t="shared" si="0"/>
        <v>45199</v>
      </c>
      <c r="Q3" s="187">
        <f t="shared" si="0"/>
        <v>45230</v>
      </c>
      <c r="R3" s="187">
        <f t="shared" si="0"/>
        <v>45260</v>
      </c>
      <c r="S3" s="187">
        <f t="shared" si="0"/>
        <v>45291</v>
      </c>
      <c r="T3" s="187">
        <f t="shared" ref="T3" si="1">EOMONTH(S3,1)</f>
        <v>45322</v>
      </c>
      <c r="U3" s="187">
        <f t="shared" ref="U3" si="2">EOMONTH(T3,1)</f>
        <v>45351</v>
      </c>
      <c r="V3" s="187">
        <f t="shared" ref="V3" si="3">EOMONTH(U3,1)</f>
        <v>45382</v>
      </c>
      <c r="W3" s="187">
        <f t="shared" ref="W3" si="4">EOMONTH(V3,1)</f>
        <v>45412</v>
      </c>
      <c r="X3" s="187">
        <f t="shared" ref="X3" si="5">EOMONTH(W3,1)</f>
        <v>45443</v>
      </c>
      <c r="Y3" s="187">
        <f t="shared" ref="Y3" si="6">EOMONTH(X3,1)</f>
        <v>45473</v>
      </c>
      <c r="Z3" s="187">
        <f t="shared" ref="Z3" si="7">EOMONTH(Y3,1)</f>
        <v>45504</v>
      </c>
      <c r="AA3" s="187">
        <f t="shared" ref="AA3" si="8">EOMONTH(Z3,1)</f>
        <v>45535</v>
      </c>
      <c r="AB3" s="187">
        <f t="shared" ref="AB3" si="9">EOMONTH(AA3,1)</f>
        <v>45565</v>
      </c>
      <c r="AC3" s="187">
        <f t="shared" ref="AC3" si="10">EOMONTH(AB3,1)</f>
        <v>45596</v>
      </c>
      <c r="AD3" s="187">
        <f t="shared" ref="AD3" si="11">EOMONTH(AC3,1)</f>
        <v>45626</v>
      </c>
      <c r="AE3" s="187">
        <f t="shared" ref="AE3:AF3" si="12">EOMONTH(AD3,1)</f>
        <v>45657</v>
      </c>
      <c r="AF3" s="187">
        <f t="shared" si="12"/>
        <v>45688</v>
      </c>
      <c r="AG3" s="187">
        <f t="shared" ref="AG3" si="13">EOMONTH(AF3,1)</f>
        <v>45716</v>
      </c>
      <c r="AH3" s="187">
        <f t="shared" ref="AH3" si="14">EOMONTH(AG3,1)</f>
        <v>45747</v>
      </c>
      <c r="AI3" s="187">
        <f t="shared" ref="AI3" si="15">EOMONTH(AH3,1)</f>
        <v>45777</v>
      </c>
      <c r="AJ3" s="187">
        <f t="shared" ref="AJ3" si="16">EOMONTH(AI3,1)</f>
        <v>45808</v>
      </c>
      <c r="AK3" s="187">
        <f t="shared" ref="AK3" si="17">EOMONTH(AJ3,1)</f>
        <v>45838</v>
      </c>
      <c r="AL3" s="187">
        <f t="shared" ref="AL3" si="18">EOMONTH(AK3,1)</f>
        <v>45869</v>
      </c>
      <c r="AM3" s="187">
        <f t="shared" ref="AM3" si="19">EOMONTH(AL3,1)</f>
        <v>45900</v>
      </c>
      <c r="AN3" s="187">
        <f t="shared" ref="AN3" si="20">EOMONTH(AM3,1)</f>
        <v>45930</v>
      </c>
      <c r="AO3" s="187">
        <f t="shared" ref="AO3" si="21">EOMONTH(AN3,1)</f>
        <v>45961</v>
      </c>
      <c r="AP3" s="187">
        <f t="shared" ref="AP3" si="22">EOMONTH(AO3,1)</f>
        <v>45991</v>
      </c>
      <c r="AQ3" s="187">
        <f t="shared" ref="AQ3" si="23">EOMONTH(AP3,1)</f>
        <v>46022</v>
      </c>
      <c r="AR3" s="187">
        <f t="shared" ref="AR3" si="24">EOMONTH(AQ3,1)</f>
        <v>46053</v>
      </c>
      <c r="AS3" s="187">
        <f t="shared" ref="AS3" si="25">EOMONTH(AR3,1)</f>
        <v>46081</v>
      </c>
      <c r="AT3" s="187">
        <f t="shared" ref="AT3" si="26">EOMONTH(AS3,1)</f>
        <v>46112</v>
      </c>
      <c r="AU3" s="187">
        <f t="shared" ref="AU3" si="27">EOMONTH(AT3,1)</f>
        <v>46142</v>
      </c>
      <c r="AV3" s="187">
        <f t="shared" ref="AV3" si="28">EOMONTH(AU3,1)</f>
        <v>46173</v>
      </c>
      <c r="AW3" s="187">
        <f t="shared" ref="AW3" si="29">EOMONTH(AV3,1)</f>
        <v>46203</v>
      </c>
      <c r="AX3" s="187">
        <f t="shared" ref="AX3" si="30">EOMONTH(AW3,1)</f>
        <v>46234</v>
      </c>
      <c r="AY3" s="187">
        <f t="shared" ref="AY3" si="31">EOMONTH(AX3,1)</f>
        <v>46265</v>
      </c>
      <c r="AZ3" s="187">
        <f t="shared" ref="AZ3" si="32">EOMONTH(AY3,1)</f>
        <v>46295</v>
      </c>
      <c r="BA3" s="187">
        <f t="shared" ref="BA3" si="33">EOMONTH(AZ3,1)</f>
        <v>46326</v>
      </c>
      <c r="BB3" s="187">
        <f t="shared" ref="BB3" si="34">EOMONTH(BA3,1)</f>
        <v>46356</v>
      </c>
      <c r="BC3" s="187">
        <f t="shared" ref="BC3" si="35">EOMONTH(BB3,1)</f>
        <v>46387</v>
      </c>
      <c r="BD3" s="187">
        <f t="shared" ref="BD3" si="36">EOMONTH(BC3,1)</f>
        <v>46418</v>
      </c>
      <c r="BE3" s="26"/>
      <c r="BF3" s="187" t="s">
        <v>246</v>
      </c>
      <c r="BG3" s="126" t="str">
        <f t="shared" ref="BG3:BG34" si="37">D3</f>
        <v>ID</v>
      </c>
      <c r="BH3" s="187" t="s">
        <v>41</v>
      </c>
      <c r="BI3" s="187" t="s">
        <v>42</v>
      </c>
      <c r="BJ3" s="187" t="s">
        <v>43</v>
      </c>
      <c r="BK3" s="187" t="s">
        <v>44</v>
      </c>
      <c r="BL3" s="187" t="s">
        <v>39</v>
      </c>
      <c r="BM3" s="187" t="s">
        <v>40</v>
      </c>
    </row>
    <row r="4" spans="2:65">
      <c r="B4" s="26" t="s">
        <v>32</v>
      </c>
      <c r="C4" s="26" t="s">
        <v>45</v>
      </c>
      <c r="D4" s="204" t="str">
        <f t="shared" ref="D4:D41" si="38">B4&amp;" "&amp;E4</f>
        <v>Product Development # of Squads</v>
      </c>
      <c r="E4" s="256" t="s">
        <v>46</v>
      </c>
      <c r="F4" s="183" t="s">
        <v>247</v>
      </c>
      <c r="G4" s="183" t="s">
        <v>248</v>
      </c>
      <c r="H4" s="224">
        <v>2</v>
      </c>
      <c r="I4" s="224">
        <v>2</v>
      </c>
      <c r="J4" s="224">
        <v>2</v>
      </c>
      <c r="K4" s="282">
        <v>2</v>
      </c>
      <c r="L4" s="190">
        <v>2</v>
      </c>
      <c r="M4" s="190">
        <v>2</v>
      </c>
      <c r="N4" s="190">
        <v>3</v>
      </c>
      <c r="O4" s="190">
        <v>3</v>
      </c>
      <c r="P4" s="190">
        <v>3</v>
      </c>
      <c r="Q4" s="190">
        <v>3</v>
      </c>
      <c r="R4" s="190"/>
      <c r="S4" s="190"/>
      <c r="T4" s="190"/>
      <c r="U4" s="190"/>
      <c r="V4" s="190"/>
      <c r="W4" s="190"/>
      <c r="X4" s="190"/>
      <c r="Y4" s="190"/>
      <c r="Z4" s="190"/>
      <c r="AA4" s="190"/>
      <c r="AB4" s="190"/>
      <c r="AC4" s="190"/>
      <c r="AD4" s="190"/>
      <c r="AE4" s="190"/>
      <c r="AF4" s="360">
        <v>3</v>
      </c>
      <c r="AG4" s="361">
        <v>3</v>
      </c>
      <c r="AH4" s="361">
        <v>3</v>
      </c>
      <c r="AI4" s="361">
        <v>3</v>
      </c>
      <c r="AJ4" s="361">
        <v>3</v>
      </c>
      <c r="AK4" s="361">
        <v>3</v>
      </c>
      <c r="AL4" s="361">
        <v>2</v>
      </c>
      <c r="AM4" s="361">
        <v>2</v>
      </c>
      <c r="AN4" s="361">
        <v>2</v>
      </c>
      <c r="AO4" s="361">
        <v>2</v>
      </c>
      <c r="AP4" s="361">
        <v>2</v>
      </c>
      <c r="AQ4" s="361">
        <v>2</v>
      </c>
      <c r="AR4" s="361">
        <v>3</v>
      </c>
      <c r="AS4" s="361">
        <v>3</v>
      </c>
      <c r="AT4" s="361">
        <v>3</v>
      </c>
      <c r="AU4" s="361"/>
      <c r="AV4" s="361"/>
      <c r="AW4" s="361"/>
      <c r="AX4" s="361"/>
      <c r="AY4" s="361"/>
      <c r="AZ4" s="361"/>
      <c r="BA4" s="361"/>
      <c r="BB4" s="361"/>
      <c r="BC4" s="361"/>
      <c r="BD4" s="361"/>
      <c r="BE4" s="26"/>
      <c r="BF4" s="26" t="s">
        <v>249</v>
      </c>
      <c r="BG4" s="26" t="str">
        <f t="shared" si="37"/>
        <v>Product Development # of Squads</v>
      </c>
      <c r="BH4" s="195">
        <f>IF($BF4="Sum",SUM(AR4:AT4),IF($BF4="Average",IFERROR(AVERAGE(AR4:AT4),"-"),IF($BF4="EoP",AT4,"ERROR")))</f>
        <v>3</v>
      </c>
      <c r="BI4" s="195" t="str">
        <f>IF($BF4="Sum",SUM(AU4:AW4),IF($BF4="Average",IFERROR(AVERAGE(AU4:AW4),"-"),IF($BF4="EoP",AW4,"ERROR")))</f>
        <v>-</v>
      </c>
      <c r="BJ4" s="195" t="str">
        <f>IF($BF4="Sum",SUM(AX4:AZ4),IF($BF4="Average",IFERROR(AVERAGE(AX4:AZ4),"-"),IF($BF4="EoP",AZ4,"ERROR")))</f>
        <v>-</v>
      </c>
      <c r="BK4" s="304" t="str">
        <f>IF($BF4="Sum",SUM(BA4:BC4),IF($BF4="Average",IFERROR(AVERAGE(BA4:BC4),"-"),IF($BF4="EoP",BC4,"ERROR")))</f>
        <v>-</v>
      </c>
      <c r="BL4" s="195">
        <f ca="1">IF(BF4="EoP",OFFSET(AR4,0,MONTH('2024 Control'!$C$4)-1),SUM(AR4:OFFSET(AR4,0,MONTH('2024 Control'!$C$4)-1))/IF(BF4="Sum",1,MONTH('2024 Control'!$C$4)))</f>
        <v>0.75</v>
      </c>
      <c r="BM4" s="304">
        <f>IF(
   BF4="Sum",
   SUMIFS(
      H4:BD4,
      H$3:BD$3,"&gt;="&amp;EDATE(AR$3,-11),
      H$3:BD$3,"&lt;="&amp;AR$3
   ),
IF(
   BF4="Average",
   AVERAGEIFS(
     H4:BD4,
      H$3:BD$3,"&gt;="&amp;EDATE(AR$3,-11),
      H$3:BD$3,"&lt;="&amp;AR$3
   ),
IF(
   BF4="EOP",
   _xlfn.XLOOKUP(
      AR$3,
      H$3:BD$3,
      H4:BD4,
      ""
   ),
""
)))</f>
        <v>2.5</v>
      </c>
    </row>
    <row r="5" spans="2:65">
      <c r="B5" s="26" t="s">
        <v>32</v>
      </c>
      <c r="C5" s="26" t="s">
        <v>45</v>
      </c>
      <c r="D5" s="204" t="str">
        <f t="shared" si="38"/>
        <v>Product Development # of Sprints</v>
      </c>
      <c r="E5" s="256" t="s">
        <v>48</v>
      </c>
      <c r="F5" s="183" t="s">
        <v>247</v>
      </c>
      <c r="G5" s="183" t="s">
        <v>248</v>
      </c>
      <c r="H5" s="224">
        <v>4</v>
      </c>
      <c r="I5" s="224">
        <v>4</v>
      </c>
      <c r="J5" s="224">
        <v>4</v>
      </c>
      <c r="K5" s="282">
        <v>2</v>
      </c>
      <c r="L5" s="190">
        <v>2.2000000000000002</v>
      </c>
      <c r="M5" s="190">
        <v>2</v>
      </c>
      <c r="N5" s="190">
        <v>2</v>
      </c>
      <c r="O5" s="190">
        <v>2</v>
      </c>
      <c r="P5" s="190">
        <v>2</v>
      </c>
      <c r="Q5" s="190">
        <v>2</v>
      </c>
      <c r="R5" s="364"/>
      <c r="S5" s="364"/>
      <c r="T5" s="364"/>
      <c r="U5" s="364"/>
      <c r="V5" s="364"/>
      <c r="W5" s="364"/>
      <c r="X5" s="364"/>
      <c r="Y5" s="364"/>
      <c r="Z5" s="364"/>
      <c r="AA5" s="364"/>
      <c r="AB5" s="364"/>
      <c r="AC5" s="364"/>
      <c r="AD5" s="364"/>
      <c r="AE5" s="364"/>
      <c r="AF5" s="362">
        <v>2</v>
      </c>
      <c r="AG5" s="363">
        <v>2</v>
      </c>
      <c r="AH5" s="363">
        <v>2</v>
      </c>
      <c r="AI5" s="363">
        <v>2</v>
      </c>
      <c r="AJ5" s="363">
        <v>2</v>
      </c>
      <c r="AK5" s="363">
        <v>2</v>
      </c>
      <c r="AL5" s="363">
        <v>2</v>
      </c>
      <c r="AM5" s="363">
        <v>2</v>
      </c>
      <c r="AN5" s="363">
        <v>2</v>
      </c>
      <c r="AO5" s="363">
        <v>2</v>
      </c>
      <c r="AP5" s="363">
        <v>2</v>
      </c>
      <c r="AQ5" s="363">
        <v>2</v>
      </c>
      <c r="AR5" s="363">
        <v>2</v>
      </c>
      <c r="AS5" s="363">
        <v>2</v>
      </c>
      <c r="AT5" s="363">
        <v>2</v>
      </c>
      <c r="AU5" s="363"/>
      <c r="AV5" s="363"/>
      <c r="AW5" s="363"/>
      <c r="AX5" s="363"/>
      <c r="AY5" s="363"/>
      <c r="AZ5" s="363"/>
      <c r="BA5" s="363"/>
      <c r="BB5" s="363"/>
      <c r="BC5" s="363"/>
      <c r="BD5" s="363"/>
      <c r="BE5" s="26"/>
      <c r="BF5" s="26" t="s">
        <v>250</v>
      </c>
      <c r="BG5" s="26" t="str">
        <f t="shared" si="37"/>
        <v>Product Development # of Sprints</v>
      </c>
      <c r="BH5" s="195">
        <f t="shared" ref="BH5:BH7" si="39">IF($BF5="Sum",SUM(AR5:AT5),IF($BF5="Average",IFERROR(AVERAGE(AR5:AT5),"-"),IF($BF5="EoP",AT5,"ERROR")))</f>
        <v>6</v>
      </c>
      <c r="BI5" s="195">
        <f t="shared" ref="BI5:BI7" si="40">IF($BF5="Sum",SUM(AU5:AW5),IF($BF5="Average",IFERROR(AVERAGE(AU5:AW5),"-"),IF($BF5="EoP",AW5,"ERROR")))</f>
        <v>0</v>
      </c>
      <c r="BJ5" s="195">
        <f t="shared" ref="BJ5:BJ7" si="41">IF($BF5="Sum",SUM(AX5:AZ5),IF($BF5="Average",IFERROR(AVERAGE(AX5:AZ5),"-"),IF($BF5="EoP",AZ5,"ERROR")))</f>
        <v>0</v>
      </c>
      <c r="BK5" s="304">
        <f t="shared" ref="BK5:BK7" si="42">IF($BF5="Sum",SUM(BA5:BC5),IF($BF5="Average",IFERROR(AVERAGE(BA5:BC5),"-"),IF($BF5="EoP",BC5,"ERROR")))</f>
        <v>0</v>
      </c>
      <c r="BL5" s="195">
        <f ca="1">IF(BF5="EoP",OFFSET(AR5,0,MONTH('2024 Control'!$C$4)-1),SUM(AR5:OFFSET(AR5,0,MONTH('2024 Control'!$C$4)-1))/IF(BF5="Sum",1,MONTH('2024 Control'!$C$4)))</f>
        <v>6</v>
      </c>
      <c r="BM5" s="304">
        <f t="shared" ref="BM5:BM68" si="43">IF(
   BF5="Sum",
   SUMIFS(
      H5:BD5,
      H$3:BD$3,"&gt;="&amp;EDATE(AR$3,-11),
      H$3:BD$3,"&lt;="&amp;AR$3
   ),
IF(
   BF5="Average",
   AVERAGEIFS(
     H5:BD5,
      H$3:BD$3,"&gt;="&amp;EDATE(AR$3,-11),
      H$3:BD$3,"&lt;="&amp;AR$3
   ),
IF(
   BF5="EOP",
   _xlfn.XLOOKUP(
      AR$3,
      H$3:BD$3,
      H5:BD5,
      ""
   ),
""
)))</f>
        <v>24</v>
      </c>
    </row>
    <row r="6" spans="2:65">
      <c r="B6" s="26" t="s">
        <v>32</v>
      </c>
      <c r="C6" s="26" t="s">
        <v>50</v>
      </c>
      <c r="D6" s="204" t="str">
        <f t="shared" si="38"/>
        <v>Product Development Story Points Committed</v>
      </c>
      <c r="E6" s="256" t="s">
        <v>51</v>
      </c>
      <c r="F6" s="183" t="s">
        <v>247</v>
      </c>
      <c r="G6" s="183" t="s">
        <v>248</v>
      </c>
      <c r="H6" s="283">
        <v>220</v>
      </c>
      <c r="I6" s="191">
        <v>159</v>
      </c>
      <c r="J6" s="191">
        <v>196</v>
      </c>
      <c r="K6" s="191">
        <v>115</v>
      </c>
      <c r="L6" s="191">
        <v>265</v>
      </c>
      <c r="M6" s="191">
        <v>223</v>
      </c>
      <c r="N6" s="191">
        <v>234</v>
      </c>
      <c r="O6" s="191">
        <v>328</v>
      </c>
      <c r="P6" s="191">
        <v>248</v>
      </c>
      <c r="Q6" s="191">
        <v>226</v>
      </c>
      <c r="R6" s="365"/>
      <c r="S6" s="365"/>
      <c r="T6" s="365"/>
      <c r="U6" s="365"/>
      <c r="V6" s="365"/>
      <c r="W6" s="365"/>
      <c r="X6" s="365"/>
      <c r="Y6" s="365"/>
      <c r="Z6" s="365"/>
      <c r="AA6" s="365"/>
      <c r="AB6" s="365"/>
      <c r="AC6" s="365"/>
      <c r="AD6" s="365"/>
      <c r="AE6" s="365"/>
      <c r="AF6" s="362">
        <v>284</v>
      </c>
      <c r="AG6" s="363">
        <v>334</v>
      </c>
      <c r="AH6" s="363">
        <v>377</v>
      </c>
      <c r="AI6" s="363">
        <v>340</v>
      </c>
      <c r="AJ6" s="363">
        <v>314</v>
      </c>
      <c r="AK6" s="363">
        <v>585</v>
      </c>
      <c r="AL6" s="363">
        <v>331</v>
      </c>
      <c r="AM6" s="363">
        <v>283</v>
      </c>
      <c r="AN6" s="363">
        <v>331</v>
      </c>
      <c r="AO6" s="363">
        <v>265</v>
      </c>
      <c r="AP6" s="363">
        <v>435</v>
      </c>
      <c r="AQ6" s="363">
        <v>147</v>
      </c>
      <c r="AR6" s="363">
        <v>256</v>
      </c>
      <c r="AS6" s="363">
        <v>135</v>
      </c>
      <c r="AT6" s="363"/>
      <c r="AU6" s="363"/>
      <c r="AV6" s="363"/>
      <c r="AW6" s="363"/>
      <c r="AX6" s="363"/>
      <c r="AY6" s="363"/>
      <c r="AZ6" s="363"/>
      <c r="BA6" s="363"/>
      <c r="BB6" s="363"/>
      <c r="BC6" s="363"/>
      <c r="BD6" s="363" t="s">
        <v>251</v>
      </c>
      <c r="BE6" s="26"/>
      <c r="BF6" s="26" t="s">
        <v>250</v>
      </c>
      <c r="BG6" s="26" t="str">
        <f t="shared" si="37"/>
        <v>Product Development Story Points Committed</v>
      </c>
      <c r="BH6" s="195">
        <f t="shared" si="39"/>
        <v>391</v>
      </c>
      <c r="BI6" s="195">
        <f t="shared" si="40"/>
        <v>0</v>
      </c>
      <c r="BJ6" s="195">
        <f t="shared" si="41"/>
        <v>0</v>
      </c>
      <c r="BK6" s="304">
        <f t="shared" si="42"/>
        <v>0</v>
      </c>
      <c r="BL6" s="195">
        <f ca="1">IF(BF6="EoP",OFFSET(AR6,0,MONTH('2024 Control'!$C$4)-1),SUM(AR6:OFFSET(AR6,0,MONTH('2024 Control'!$C$4)-1))/IF(BF6="Sum",1,MONTH('2024 Control'!$C$4)))</f>
        <v>391</v>
      </c>
      <c r="BM6" s="304">
        <f t="shared" si="43"/>
        <v>3998</v>
      </c>
    </row>
    <row r="7" spans="2:65">
      <c r="B7" s="26" t="s">
        <v>32</v>
      </c>
      <c r="C7" s="26" t="s">
        <v>50</v>
      </c>
      <c r="D7" s="204" t="str">
        <f t="shared" si="38"/>
        <v>Product Development Story Points Completed</v>
      </c>
      <c r="E7" s="256" t="s">
        <v>52</v>
      </c>
      <c r="F7" s="183" t="s">
        <v>247</v>
      </c>
      <c r="G7" s="183" t="s">
        <v>248</v>
      </c>
      <c r="H7" s="283">
        <v>139</v>
      </c>
      <c r="I7" s="191">
        <v>185</v>
      </c>
      <c r="J7" s="191">
        <v>117</v>
      </c>
      <c r="K7" s="191">
        <v>262</v>
      </c>
      <c r="L7" s="191">
        <v>136</v>
      </c>
      <c r="M7" s="191">
        <v>164</v>
      </c>
      <c r="N7" s="191">
        <v>142</v>
      </c>
      <c r="O7" s="191">
        <v>115</v>
      </c>
      <c r="P7" s="191">
        <v>188.5</v>
      </c>
      <c r="Q7" s="191">
        <v>172.75</v>
      </c>
      <c r="R7" s="365"/>
      <c r="S7" s="365"/>
      <c r="T7" s="365"/>
      <c r="U7" s="365"/>
      <c r="V7" s="365"/>
      <c r="W7" s="365"/>
      <c r="X7" s="365"/>
      <c r="Y7" s="365"/>
      <c r="Z7" s="365"/>
      <c r="AA7" s="365"/>
      <c r="AB7" s="365"/>
      <c r="AC7" s="365"/>
      <c r="AD7" s="365"/>
      <c r="AE7" s="365"/>
      <c r="AF7" s="362">
        <v>276</v>
      </c>
      <c r="AG7" s="363">
        <v>278</v>
      </c>
      <c r="AH7" s="363">
        <v>327</v>
      </c>
      <c r="AI7" s="363">
        <v>311</v>
      </c>
      <c r="AJ7" s="363">
        <v>305</v>
      </c>
      <c r="AK7" s="363">
        <v>538</v>
      </c>
      <c r="AL7" s="363">
        <v>267</v>
      </c>
      <c r="AM7" s="363">
        <v>228</v>
      </c>
      <c r="AN7" s="363">
        <v>320</v>
      </c>
      <c r="AO7" s="363">
        <v>257</v>
      </c>
      <c r="AP7" s="363">
        <v>411</v>
      </c>
      <c r="AQ7" s="363">
        <v>142</v>
      </c>
      <c r="AR7" s="363">
        <v>226</v>
      </c>
      <c r="AS7" s="363">
        <v>124</v>
      </c>
      <c r="AT7" s="363"/>
      <c r="AU7" s="363"/>
      <c r="AV7" s="363"/>
      <c r="AW7" s="363"/>
      <c r="AX7" s="363"/>
      <c r="AY7" s="363"/>
      <c r="AZ7" s="363"/>
      <c r="BA7" s="363"/>
      <c r="BB7" s="363"/>
      <c r="BC7" s="363"/>
      <c r="BD7" s="363" t="s">
        <v>251</v>
      </c>
      <c r="BE7" s="26"/>
      <c r="BF7" s="26" t="s">
        <v>250</v>
      </c>
      <c r="BG7" s="26" t="str">
        <f t="shared" si="37"/>
        <v>Product Development Story Points Completed</v>
      </c>
      <c r="BH7" s="195">
        <f t="shared" si="39"/>
        <v>350</v>
      </c>
      <c r="BI7" s="195">
        <f t="shared" si="40"/>
        <v>0</v>
      </c>
      <c r="BJ7" s="195">
        <f t="shared" si="41"/>
        <v>0</v>
      </c>
      <c r="BK7" s="304">
        <f t="shared" si="42"/>
        <v>0</v>
      </c>
      <c r="BL7" s="195">
        <f ca="1">IF(BF7="EoP",OFFSET(AR7,0,MONTH('2024 Control'!$C$4)-1),SUM(AR7:OFFSET(AR7,0,MONTH('2024 Control'!$C$4)-1))/IF(BF7="Sum",1,MONTH('2024 Control'!$C$4)))</f>
        <v>350</v>
      </c>
      <c r="BM7" s="304">
        <f t="shared" si="43"/>
        <v>3610</v>
      </c>
    </row>
    <row r="8" spans="2:65">
      <c r="B8" s="26" t="s">
        <v>32</v>
      </c>
      <c r="C8" s="26" t="s">
        <v>50</v>
      </c>
      <c r="D8" s="204" t="str">
        <f t="shared" si="38"/>
        <v>Product Development % Completed</v>
      </c>
      <c r="E8" s="256" t="s">
        <v>53</v>
      </c>
      <c r="F8" s="183" t="s">
        <v>252</v>
      </c>
      <c r="G8" s="183" t="s">
        <v>248</v>
      </c>
      <c r="H8" s="250">
        <f>IFERROR(H7/H6,"")</f>
        <v>0.63181818181818183</v>
      </c>
      <c r="I8" s="250">
        <f t="shared" ref="I8:BD8" si="44">IFERROR(I7/I6,"")</f>
        <v>1.1635220125786163</v>
      </c>
      <c r="J8" s="250">
        <f t="shared" ref="J8:K8" si="45">J7/J6</f>
        <v>0.59693877551020413</v>
      </c>
      <c r="K8" s="250">
        <f t="shared" si="45"/>
        <v>2.2782608695652176</v>
      </c>
      <c r="L8" s="250">
        <f t="shared" si="44"/>
        <v>0.51320754716981132</v>
      </c>
      <c r="M8" s="250">
        <f t="shared" si="44"/>
        <v>0.73542600896860988</v>
      </c>
      <c r="N8" s="250">
        <f t="shared" si="44"/>
        <v>0.60683760683760679</v>
      </c>
      <c r="O8" s="250">
        <f t="shared" si="44"/>
        <v>0.35060975609756095</v>
      </c>
      <c r="P8" s="250">
        <f t="shared" si="44"/>
        <v>0.76008064516129037</v>
      </c>
      <c r="Q8" s="250">
        <f t="shared" si="44"/>
        <v>0.76438053097345138</v>
      </c>
      <c r="R8" s="250" t="str">
        <f t="shared" si="44"/>
        <v/>
      </c>
      <c r="S8" s="250" t="str">
        <f t="shared" si="44"/>
        <v/>
      </c>
      <c r="T8" s="250" t="str">
        <f t="shared" si="44"/>
        <v/>
      </c>
      <c r="U8" s="250" t="str">
        <f t="shared" si="44"/>
        <v/>
      </c>
      <c r="V8" s="250" t="str">
        <f t="shared" si="44"/>
        <v/>
      </c>
      <c r="W8" s="250" t="str">
        <f t="shared" si="44"/>
        <v/>
      </c>
      <c r="X8" s="250" t="str">
        <f t="shared" si="44"/>
        <v/>
      </c>
      <c r="Y8" s="250" t="str">
        <f t="shared" si="44"/>
        <v/>
      </c>
      <c r="Z8" s="250" t="str">
        <f t="shared" si="44"/>
        <v/>
      </c>
      <c r="AA8" s="250" t="str">
        <f t="shared" si="44"/>
        <v/>
      </c>
      <c r="AB8" s="250" t="str">
        <f t="shared" si="44"/>
        <v/>
      </c>
      <c r="AC8" s="250" t="str">
        <f t="shared" si="44"/>
        <v/>
      </c>
      <c r="AD8" s="250" t="str">
        <f t="shared" si="44"/>
        <v/>
      </c>
      <c r="AE8" s="250" t="str">
        <f t="shared" si="44"/>
        <v/>
      </c>
      <c r="AF8" s="250">
        <f t="shared" si="44"/>
        <v>0.971830985915493</v>
      </c>
      <c r="AG8" s="250">
        <f t="shared" si="44"/>
        <v>0.83233532934131738</v>
      </c>
      <c r="AH8" s="250">
        <f t="shared" si="44"/>
        <v>0.86737400530503983</v>
      </c>
      <c r="AI8" s="250">
        <f t="shared" si="44"/>
        <v>0.91470588235294115</v>
      </c>
      <c r="AJ8" s="250">
        <f t="shared" si="44"/>
        <v>0.9713375796178344</v>
      </c>
      <c r="AK8" s="250">
        <f t="shared" si="44"/>
        <v>0.91965811965811961</v>
      </c>
      <c r="AL8" s="250">
        <f t="shared" si="44"/>
        <v>0.80664652567975825</v>
      </c>
      <c r="AM8" s="250">
        <f t="shared" si="44"/>
        <v>0.80565371024734977</v>
      </c>
      <c r="AN8" s="250">
        <f t="shared" si="44"/>
        <v>0.96676737160120851</v>
      </c>
      <c r="AO8" s="250">
        <f t="shared" si="44"/>
        <v>0.96981132075471699</v>
      </c>
      <c r="AP8" s="250">
        <f t="shared" si="44"/>
        <v>0.94482758620689655</v>
      </c>
      <c r="AQ8" s="250">
        <f t="shared" si="44"/>
        <v>0.96598639455782309</v>
      </c>
      <c r="AR8" s="250">
        <f t="shared" si="44"/>
        <v>0.8828125</v>
      </c>
      <c r="AS8" s="250">
        <f t="shared" si="44"/>
        <v>0.91851851851851851</v>
      </c>
      <c r="AT8" s="250" t="str">
        <f t="shared" si="44"/>
        <v/>
      </c>
      <c r="AU8" s="250" t="str">
        <f t="shared" si="44"/>
        <v/>
      </c>
      <c r="AV8" s="250" t="str">
        <f t="shared" si="44"/>
        <v/>
      </c>
      <c r="AW8" s="250" t="str">
        <f t="shared" si="44"/>
        <v/>
      </c>
      <c r="AX8" s="250" t="str">
        <f t="shared" si="44"/>
        <v/>
      </c>
      <c r="AY8" s="250" t="str">
        <f t="shared" si="44"/>
        <v/>
      </c>
      <c r="AZ8" s="250" t="str">
        <f t="shared" si="44"/>
        <v/>
      </c>
      <c r="BA8" s="250" t="str">
        <f t="shared" si="44"/>
        <v/>
      </c>
      <c r="BB8" s="250" t="str">
        <f t="shared" si="44"/>
        <v/>
      </c>
      <c r="BC8" s="250" t="str">
        <f t="shared" si="44"/>
        <v/>
      </c>
      <c r="BD8" s="250" t="str">
        <f t="shared" si="44"/>
        <v/>
      </c>
      <c r="BE8" s="26"/>
      <c r="BG8" s="26" t="str">
        <f t="shared" si="37"/>
        <v>Product Development % Completed</v>
      </c>
      <c r="BH8" s="214">
        <f>IFERROR(BH7/BH6,"-")</f>
        <v>0.8951406649616368</v>
      </c>
      <c r="BI8" s="214" t="str">
        <f t="shared" ref="BI8:BL8" si="46">IFERROR(BI7/BI6,"-")</f>
        <v>-</v>
      </c>
      <c r="BJ8" s="214" t="str">
        <f t="shared" si="46"/>
        <v>-</v>
      </c>
      <c r="BK8" s="214" t="str">
        <f t="shared" si="46"/>
        <v>-</v>
      </c>
      <c r="BL8" s="214">
        <f t="shared" ca="1" si="46"/>
        <v>0.8951406649616368</v>
      </c>
      <c r="BM8" s="304" t="str">
        <f t="shared" si="43"/>
        <v/>
      </c>
    </row>
    <row r="9" spans="2:65">
      <c r="B9" s="26" t="s">
        <v>32</v>
      </c>
      <c r="C9" s="26" t="s">
        <v>54</v>
      </c>
      <c r="D9" s="204" t="str">
        <f t="shared" si="38"/>
        <v>Product Development Product</v>
      </c>
      <c r="E9" s="256" t="s">
        <v>55</v>
      </c>
      <c r="F9" s="183" t="s">
        <v>252</v>
      </c>
      <c r="G9" s="183" t="s">
        <v>248</v>
      </c>
      <c r="H9" s="209">
        <v>1</v>
      </c>
      <c r="I9" s="209">
        <v>1</v>
      </c>
      <c r="J9" s="209">
        <v>1</v>
      </c>
      <c r="K9" s="189">
        <v>0.95</v>
      </c>
      <c r="L9" s="189">
        <v>0.97</v>
      </c>
      <c r="M9" s="189">
        <v>0.98</v>
      </c>
      <c r="N9" s="189">
        <v>0.98</v>
      </c>
      <c r="O9" s="189">
        <v>0.98</v>
      </c>
      <c r="P9" s="189">
        <v>0.98</v>
      </c>
      <c r="Q9" s="189">
        <v>0.98</v>
      </c>
      <c r="R9" s="189"/>
      <c r="S9" s="189"/>
      <c r="T9" s="189"/>
      <c r="U9" s="189"/>
      <c r="V9" s="189"/>
      <c r="W9" s="189"/>
      <c r="X9" s="189"/>
      <c r="Y9" s="189"/>
      <c r="Z9" s="189"/>
      <c r="AA9" s="189"/>
      <c r="AB9" s="189"/>
      <c r="AC9" s="189"/>
      <c r="AD9" s="189"/>
      <c r="AE9" s="189"/>
      <c r="AF9" s="189">
        <v>0.86</v>
      </c>
      <c r="AG9" s="189">
        <v>0.75</v>
      </c>
      <c r="AH9" s="209">
        <v>0.78</v>
      </c>
      <c r="AI9" s="209">
        <v>0.84</v>
      </c>
      <c r="AJ9" s="209">
        <v>0.82</v>
      </c>
      <c r="AK9" s="189">
        <v>0.83</v>
      </c>
      <c r="AL9" s="189">
        <v>0.82</v>
      </c>
      <c r="AM9" s="189">
        <v>0.86</v>
      </c>
      <c r="AN9" s="189">
        <v>0.88</v>
      </c>
      <c r="AO9" s="189">
        <v>0.84</v>
      </c>
      <c r="AP9" s="189">
        <v>0.8</v>
      </c>
      <c r="AQ9" s="189">
        <v>0.8</v>
      </c>
      <c r="AR9" s="189">
        <v>0.8</v>
      </c>
      <c r="AS9" s="189">
        <v>0.7</v>
      </c>
      <c r="AT9" s="189"/>
      <c r="AU9" s="189"/>
      <c r="AV9" s="189"/>
      <c r="AW9" s="189"/>
      <c r="AX9" s="189"/>
      <c r="AY9" s="189"/>
      <c r="AZ9" s="189"/>
      <c r="BA9" s="189"/>
      <c r="BB9" s="189"/>
      <c r="BC9" s="189"/>
      <c r="BD9" s="189"/>
      <c r="BE9" s="26"/>
      <c r="BF9" s="26" t="s">
        <v>249</v>
      </c>
      <c r="BG9" s="26" t="str">
        <f t="shared" si="37"/>
        <v>Product Development Product</v>
      </c>
      <c r="BH9" s="195">
        <f t="shared" ref="BH9:BH10" si="47">IF($BF9="Sum",SUM(AR9:AT9),IF($BF9="Average",IFERROR(AVERAGE(AR9:AT9),"-"),IF($BF9="EoP",AT9,"ERROR")))</f>
        <v>0.75</v>
      </c>
      <c r="BI9" s="195" t="str">
        <f t="shared" ref="BI9:BI10" si="48">IF($BF9="Sum",SUM(AU9:AW9),IF($BF9="Average",IFERROR(AVERAGE(AU9:AW9),"-"),IF($BF9="EoP",AW9,"ERROR")))</f>
        <v>-</v>
      </c>
      <c r="BJ9" s="195" t="str">
        <f t="shared" ref="BJ9:BJ10" si="49">IF($BF9="Sum",SUM(AX9:AZ9),IF($BF9="Average",IFERROR(AVERAGE(AX9:AZ9),"-"),IF($BF9="EoP",AZ9,"ERROR")))</f>
        <v>-</v>
      </c>
      <c r="BK9" s="304" t="str">
        <f t="shared" ref="BK9:BK10" si="50">IF($BF9="Sum",SUM(BA9:BC9),IF($BF9="Average",IFERROR(AVERAGE(BA9:BC9),"-"),IF($BF9="EoP",BC9,"ERROR")))</f>
        <v>-</v>
      </c>
      <c r="BL9" s="195">
        <f ca="1">IF(BF9="EoP",OFFSET(AR9,0,MONTH('2024 Control'!$C$4)-1),SUM(AR9:OFFSET(AR9,0,MONTH('2024 Control'!$C$4)-1))/IF(BF9="Sum",1,MONTH('2024 Control'!$C$4)))</f>
        <v>0.125</v>
      </c>
      <c r="BM9" s="304">
        <f t="shared" si="43"/>
        <v>0.81833333333333347</v>
      </c>
    </row>
    <row r="10" spans="2:65">
      <c r="B10" s="26" t="s">
        <v>32</v>
      </c>
      <c r="C10" s="26" t="s">
        <v>54</v>
      </c>
      <c r="D10" s="204" t="str">
        <f t="shared" si="38"/>
        <v>Product Development Maintenance / Internal</v>
      </c>
      <c r="E10" s="256" t="s">
        <v>56</v>
      </c>
      <c r="F10" s="183" t="s">
        <v>252</v>
      </c>
      <c r="G10" s="183" t="s">
        <v>248</v>
      </c>
      <c r="H10" s="209">
        <v>0</v>
      </c>
      <c r="I10" s="189">
        <v>0</v>
      </c>
      <c r="J10" s="189">
        <v>0</v>
      </c>
      <c r="K10" s="189">
        <v>0.05</v>
      </c>
      <c r="L10" s="189">
        <v>0.03</v>
      </c>
      <c r="M10" s="189">
        <v>0.02</v>
      </c>
      <c r="N10" s="189">
        <v>0.02</v>
      </c>
      <c r="O10" s="189">
        <v>0.02</v>
      </c>
      <c r="P10" s="189">
        <v>0.02</v>
      </c>
      <c r="Q10" s="189">
        <v>0.02</v>
      </c>
      <c r="R10" s="189"/>
      <c r="S10" s="189"/>
      <c r="T10" s="189"/>
      <c r="U10" s="189"/>
      <c r="V10" s="189"/>
      <c r="W10" s="189"/>
      <c r="X10" s="189"/>
      <c r="Y10" s="189"/>
      <c r="Z10" s="189"/>
      <c r="AA10" s="189"/>
      <c r="AB10" s="189"/>
      <c r="AC10" s="189"/>
      <c r="AD10" s="189"/>
      <c r="AE10" s="189"/>
      <c r="AF10" s="189">
        <v>0.14000000000000001</v>
      </c>
      <c r="AG10" s="189">
        <v>0.25</v>
      </c>
      <c r="AH10" s="209">
        <v>0.22</v>
      </c>
      <c r="AI10" s="189">
        <v>0.16</v>
      </c>
      <c r="AJ10" s="189">
        <v>0.18</v>
      </c>
      <c r="AK10" s="189">
        <v>0.17</v>
      </c>
      <c r="AL10" s="189">
        <v>0.18</v>
      </c>
      <c r="AM10" s="189">
        <v>0.14000000000000001</v>
      </c>
      <c r="AN10" s="189">
        <v>0.12</v>
      </c>
      <c r="AO10" s="189">
        <v>0.16</v>
      </c>
      <c r="AP10" s="189">
        <v>0.2</v>
      </c>
      <c r="AQ10" s="189">
        <v>0.2</v>
      </c>
      <c r="AR10" s="189">
        <v>0.2</v>
      </c>
      <c r="AS10" s="189">
        <v>0.3</v>
      </c>
      <c r="AT10" s="189"/>
      <c r="AU10" s="189"/>
      <c r="AV10" s="189"/>
      <c r="AW10" s="189"/>
      <c r="AX10" s="189"/>
      <c r="AY10" s="189"/>
      <c r="AZ10" s="189"/>
      <c r="BA10" s="189"/>
      <c r="BB10" s="189"/>
      <c r="BC10" s="189"/>
      <c r="BD10" s="189"/>
      <c r="BE10" s="26"/>
      <c r="BF10" s="26" t="s">
        <v>249</v>
      </c>
      <c r="BG10" s="26" t="str">
        <f t="shared" si="37"/>
        <v>Product Development Maintenance / Internal</v>
      </c>
      <c r="BH10" s="195">
        <f t="shared" si="47"/>
        <v>0.25</v>
      </c>
      <c r="BI10" s="195" t="str">
        <f t="shared" si="48"/>
        <v>-</v>
      </c>
      <c r="BJ10" s="195" t="str">
        <f t="shared" si="49"/>
        <v>-</v>
      </c>
      <c r="BK10" s="304" t="str">
        <f t="shared" si="50"/>
        <v>-</v>
      </c>
      <c r="BL10" s="195">
        <f ca="1">IF(BF10="EoP",OFFSET(AR10,0,MONTH('2024 Control'!$C$4)-1),SUM(AR10:OFFSET(AR10,0,MONTH('2024 Control'!$C$4)-1))/IF(BF10="Sum",1,MONTH('2024 Control'!$C$4)))</f>
        <v>4.1666666666666664E-2</v>
      </c>
      <c r="BM10" s="304">
        <f t="shared" si="43"/>
        <v>0.18166666666666667</v>
      </c>
    </row>
    <row r="11" spans="2:65">
      <c r="B11" s="26" t="s">
        <v>32</v>
      </c>
      <c r="C11" s="26" t="s">
        <v>57</v>
      </c>
      <c r="D11" s="204" t="str">
        <f t="shared" si="38"/>
        <v>Product Development Headcount (Total)</v>
      </c>
      <c r="E11" s="256" t="s">
        <v>58</v>
      </c>
      <c r="F11" s="183" t="s">
        <v>247</v>
      </c>
      <c r="G11" s="183" t="s">
        <v>248</v>
      </c>
      <c r="H11" s="161">
        <f>SUM(H12:H14)</f>
        <v>10</v>
      </c>
      <c r="I11" s="161">
        <f t="shared" ref="I11:BD11" si="51">SUM(I12:I14)</f>
        <v>11</v>
      </c>
      <c r="J11" s="161">
        <f t="shared" si="51"/>
        <v>12</v>
      </c>
      <c r="K11" s="161">
        <f t="shared" si="51"/>
        <v>12</v>
      </c>
      <c r="L11" s="161">
        <f t="shared" si="51"/>
        <v>12</v>
      </c>
      <c r="M11" s="161">
        <f t="shared" si="51"/>
        <v>14</v>
      </c>
      <c r="N11" s="161">
        <f t="shared" si="51"/>
        <v>17</v>
      </c>
      <c r="O11" s="161">
        <f t="shared" si="51"/>
        <v>17</v>
      </c>
      <c r="P11" s="161">
        <f t="shared" si="51"/>
        <v>17</v>
      </c>
      <c r="Q11" s="161">
        <f t="shared" si="51"/>
        <v>19</v>
      </c>
      <c r="R11" s="161">
        <f t="shared" si="51"/>
        <v>0</v>
      </c>
      <c r="S11" s="161">
        <f t="shared" si="51"/>
        <v>0</v>
      </c>
      <c r="T11" s="161">
        <f t="shared" si="51"/>
        <v>0</v>
      </c>
      <c r="U11" s="161">
        <f t="shared" si="51"/>
        <v>0</v>
      </c>
      <c r="V11" s="161">
        <f t="shared" si="51"/>
        <v>0</v>
      </c>
      <c r="W11" s="161">
        <f t="shared" si="51"/>
        <v>0</v>
      </c>
      <c r="X11" s="161">
        <f t="shared" si="51"/>
        <v>0</v>
      </c>
      <c r="Y11" s="161">
        <f t="shared" si="51"/>
        <v>0</v>
      </c>
      <c r="Z11" s="161">
        <f t="shared" si="51"/>
        <v>0</v>
      </c>
      <c r="AA11" s="161">
        <f t="shared" si="51"/>
        <v>0</v>
      </c>
      <c r="AB11" s="161">
        <f t="shared" si="51"/>
        <v>0</v>
      </c>
      <c r="AC11" s="161">
        <f t="shared" si="51"/>
        <v>0</v>
      </c>
      <c r="AD11" s="161">
        <f t="shared" si="51"/>
        <v>0</v>
      </c>
      <c r="AE11" s="161">
        <f t="shared" si="51"/>
        <v>0</v>
      </c>
      <c r="AF11" s="161">
        <f t="shared" si="51"/>
        <v>23</v>
      </c>
      <c r="AG11" s="161">
        <f t="shared" si="51"/>
        <v>23</v>
      </c>
      <c r="AH11" s="161">
        <f t="shared" si="51"/>
        <v>23</v>
      </c>
      <c r="AI11" s="161">
        <f t="shared" si="51"/>
        <v>23</v>
      </c>
      <c r="AJ11" s="161">
        <f t="shared" si="51"/>
        <v>23</v>
      </c>
      <c r="AK11" s="161">
        <f t="shared" si="51"/>
        <v>23</v>
      </c>
      <c r="AL11" s="161">
        <f t="shared" si="51"/>
        <v>23</v>
      </c>
      <c r="AM11" s="161">
        <f t="shared" si="51"/>
        <v>18.5</v>
      </c>
      <c r="AN11" s="161">
        <f t="shared" si="51"/>
        <v>18.5</v>
      </c>
      <c r="AO11" s="161">
        <f t="shared" si="51"/>
        <v>17.5</v>
      </c>
      <c r="AP11" s="161">
        <f t="shared" si="51"/>
        <v>16.5</v>
      </c>
      <c r="AQ11" s="161">
        <f t="shared" si="51"/>
        <v>16</v>
      </c>
      <c r="AR11" s="161">
        <v>15</v>
      </c>
      <c r="AS11" s="161">
        <v>15</v>
      </c>
      <c r="AT11" s="161">
        <f t="shared" si="51"/>
        <v>0</v>
      </c>
      <c r="AU11" s="161">
        <f t="shared" si="51"/>
        <v>0</v>
      </c>
      <c r="AV11" s="161">
        <f t="shared" si="51"/>
        <v>0</v>
      </c>
      <c r="AW11" s="161">
        <f t="shared" si="51"/>
        <v>0</v>
      </c>
      <c r="AX11" s="161">
        <f t="shared" si="51"/>
        <v>0</v>
      </c>
      <c r="AY11" s="161">
        <f t="shared" si="51"/>
        <v>0</v>
      </c>
      <c r="AZ11" s="161">
        <f t="shared" si="51"/>
        <v>0</v>
      </c>
      <c r="BA11" s="161">
        <f t="shared" si="51"/>
        <v>0</v>
      </c>
      <c r="BB11" s="161">
        <f t="shared" si="51"/>
        <v>0</v>
      </c>
      <c r="BC11" s="161">
        <f t="shared" si="51"/>
        <v>0</v>
      </c>
      <c r="BD11" s="161">
        <f t="shared" si="51"/>
        <v>0</v>
      </c>
      <c r="BE11" s="26"/>
      <c r="BF11" s="26" t="s">
        <v>47</v>
      </c>
      <c r="BG11" s="26" t="str">
        <f t="shared" si="37"/>
        <v>Product Development Headcount (Total)</v>
      </c>
      <c r="BH11" s="195">
        <f t="shared" ref="BH11:BH38" si="52">IF($BF11="Sum",SUM(AR11:AT11),IF($BF11="Average",IFERROR(AVERAGE(AR11:AT11),"-"),IF($BF11="EoP",AT11,"ERROR")))</f>
        <v>0</v>
      </c>
      <c r="BI11" s="195">
        <f t="shared" ref="BI11:BI38" si="53">IF($BF11="Sum",SUM(AU11:AW11),IF($BF11="Average",IFERROR(AVERAGE(AU11:AW11),"-"),IF($BF11="EoP",AW11,"ERROR")))</f>
        <v>0</v>
      </c>
      <c r="BJ11" s="195">
        <f t="shared" ref="BJ11:BJ38" si="54">IF($BF11="Sum",SUM(AX11:AZ11),IF($BF11="Average",IFERROR(AVERAGE(AX11:AZ11),"-"),IF($BF11="EoP",AZ11,"ERROR")))</f>
        <v>0</v>
      </c>
      <c r="BK11" s="304">
        <f t="shared" ref="BK11:BK38" si="55">IF($BF11="Sum",SUM(BA11:BC11),IF($BF11="Average",IFERROR(AVERAGE(BA11:BC11),"-"),IF($BF11="EoP",BC11,"ERROR")))</f>
        <v>0</v>
      </c>
      <c r="BL11" s="195">
        <f ca="1">IF(BF11="EoP",OFFSET(AR11,0,MONTH('2024 Control'!$C$4)-1),SUM(AR11:OFFSET(AR11,0,MONTH('2024 Control'!$C$4)-1))/IF(BF11="Sum",1,MONTH('2024 Control'!$C$4)))</f>
        <v>0</v>
      </c>
      <c r="BM11" s="304">
        <f t="shared" si="43"/>
        <v>15</v>
      </c>
    </row>
    <row r="12" spans="2:65">
      <c r="B12" s="26" t="s">
        <v>32</v>
      </c>
      <c r="C12" s="26" t="s">
        <v>57</v>
      </c>
      <c r="D12" s="204" t="str">
        <f t="shared" si="38"/>
        <v>Product Development Headcount - Squad - Onshore</v>
      </c>
      <c r="E12" s="256" t="s">
        <v>59</v>
      </c>
      <c r="F12" s="183" t="s">
        <v>247</v>
      </c>
      <c r="G12" s="183" t="s">
        <v>248</v>
      </c>
      <c r="H12" s="160">
        <v>7</v>
      </c>
      <c r="I12" s="191">
        <v>6</v>
      </c>
      <c r="J12" s="191">
        <v>7</v>
      </c>
      <c r="K12" s="191">
        <v>7</v>
      </c>
      <c r="L12" s="191">
        <v>7</v>
      </c>
      <c r="M12" s="191">
        <v>7</v>
      </c>
      <c r="N12" s="191">
        <v>8</v>
      </c>
      <c r="O12" s="191">
        <v>8</v>
      </c>
      <c r="P12" s="191">
        <v>8</v>
      </c>
      <c r="Q12" s="191">
        <v>8</v>
      </c>
      <c r="R12" s="191"/>
      <c r="S12" s="191"/>
      <c r="T12" s="191"/>
      <c r="U12" s="191"/>
      <c r="V12" s="191"/>
      <c r="W12" s="191"/>
      <c r="X12" s="191"/>
      <c r="Y12" s="191"/>
      <c r="Z12" s="191"/>
      <c r="AA12" s="191"/>
      <c r="AB12" s="191"/>
      <c r="AC12" s="191"/>
      <c r="AD12" s="191"/>
      <c r="AE12" s="191"/>
      <c r="AF12" s="191">
        <v>7</v>
      </c>
      <c r="AG12" s="190">
        <v>7</v>
      </c>
      <c r="AH12" s="160">
        <v>7</v>
      </c>
      <c r="AI12" s="191">
        <v>7</v>
      </c>
      <c r="AJ12" s="191">
        <v>7</v>
      </c>
      <c r="AK12" s="191">
        <v>7</v>
      </c>
      <c r="AL12" s="191">
        <v>7</v>
      </c>
      <c r="AM12" s="191">
        <v>4</v>
      </c>
      <c r="AN12" s="191">
        <v>4</v>
      </c>
      <c r="AO12" s="191">
        <v>4</v>
      </c>
      <c r="AP12" s="191">
        <v>3</v>
      </c>
      <c r="AQ12" s="191">
        <v>3</v>
      </c>
      <c r="AR12" s="191">
        <v>3</v>
      </c>
      <c r="AS12" s="191">
        <v>3</v>
      </c>
      <c r="AT12" s="191"/>
      <c r="AU12" s="191"/>
      <c r="AV12" s="191"/>
      <c r="AW12" s="191"/>
      <c r="AX12" s="191"/>
      <c r="AY12" s="191"/>
      <c r="AZ12" s="191"/>
      <c r="BA12" s="191"/>
      <c r="BB12" s="191"/>
      <c r="BC12" s="191"/>
      <c r="BD12" s="190"/>
      <c r="BE12" s="26"/>
      <c r="BF12" s="26" t="s">
        <v>47</v>
      </c>
      <c r="BG12" s="26" t="str">
        <f t="shared" si="37"/>
        <v>Product Development Headcount - Squad - Onshore</v>
      </c>
      <c r="BH12" s="195">
        <f t="shared" si="52"/>
        <v>0</v>
      </c>
      <c r="BI12" s="195">
        <f t="shared" si="53"/>
        <v>0</v>
      </c>
      <c r="BJ12" s="195">
        <f t="shared" si="54"/>
        <v>0</v>
      </c>
      <c r="BK12" s="304">
        <f t="shared" si="55"/>
        <v>0</v>
      </c>
      <c r="BL12" s="195">
        <f ca="1">IF(BF12="EoP",OFFSET(AR12,0,MONTH('2024 Control'!$C$4)-1),SUM(AR12:OFFSET(AR12,0,MONTH('2024 Control'!$C$4)-1))/IF(BF12="Sum",1,MONTH('2024 Control'!$C$4)))</f>
        <v>0</v>
      </c>
      <c r="BM12" s="304">
        <f t="shared" si="43"/>
        <v>3</v>
      </c>
    </row>
    <row r="13" spans="2:65">
      <c r="B13" s="26" t="s">
        <v>32</v>
      </c>
      <c r="C13" s="26" t="s">
        <v>57</v>
      </c>
      <c r="D13" s="204" t="str">
        <f t="shared" si="38"/>
        <v>Product Development Headcount - Squad - Offshore</v>
      </c>
      <c r="E13" s="256" t="s">
        <v>60</v>
      </c>
      <c r="F13" s="183" t="s">
        <v>247</v>
      </c>
      <c r="G13" s="183" t="s">
        <v>248</v>
      </c>
      <c r="H13" s="160">
        <v>3</v>
      </c>
      <c r="I13" s="191">
        <v>5</v>
      </c>
      <c r="J13" s="191">
        <v>5</v>
      </c>
      <c r="K13" s="191">
        <v>5</v>
      </c>
      <c r="L13" s="191">
        <v>5</v>
      </c>
      <c r="M13" s="191">
        <v>7</v>
      </c>
      <c r="N13" s="191">
        <v>9</v>
      </c>
      <c r="O13" s="191">
        <v>9</v>
      </c>
      <c r="P13" s="191">
        <v>9</v>
      </c>
      <c r="Q13" s="191">
        <v>11</v>
      </c>
      <c r="R13" s="191"/>
      <c r="S13" s="191"/>
      <c r="T13" s="191"/>
      <c r="U13" s="191"/>
      <c r="V13" s="191"/>
      <c r="W13" s="191"/>
      <c r="X13" s="191"/>
      <c r="Y13" s="191"/>
      <c r="Z13" s="191"/>
      <c r="AA13" s="191"/>
      <c r="AB13" s="191"/>
      <c r="AC13" s="191"/>
      <c r="AD13" s="191"/>
      <c r="AE13" s="191"/>
      <c r="AF13" s="191">
        <v>14</v>
      </c>
      <c r="AG13" s="190">
        <v>14</v>
      </c>
      <c r="AH13" s="160">
        <v>14</v>
      </c>
      <c r="AI13" s="191">
        <v>14</v>
      </c>
      <c r="AJ13" s="191">
        <v>14</v>
      </c>
      <c r="AK13" s="191">
        <v>14</v>
      </c>
      <c r="AL13" s="191">
        <v>14</v>
      </c>
      <c r="AM13" s="191">
        <v>12.5</v>
      </c>
      <c r="AN13" s="191">
        <v>12.5</v>
      </c>
      <c r="AO13" s="191">
        <v>11.5</v>
      </c>
      <c r="AP13" s="191">
        <v>11.5</v>
      </c>
      <c r="AQ13" s="191">
        <v>11</v>
      </c>
      <c r="AR13" s="191">
        <v>12</v>
      </c>
      <c r="AS13" s="191">
        <v>12</v>
      </c>
      <c r="AT13" s="191"/>
      <c r="AU13" s="191"/>
      <c r="AV13" s="191"/>
      <c r="AW13" s="191"/>
      <c r="AX13" s="191"/>
      <c r="AY13" s="191"/>
      <c r="AZ13" s="191"/>
      <c r="BA13" s="191"/>
      <c r="BB13" s="191"/>
      <c r="BC13" s="191"/>
      <c r="BD13" s="190"/>
      <c r="BE13" s="26"/>
      <c r="BF13" s="26" t="s">
        <v>47</v>
      </c>
      <c r="BG13" s="26" t="str">
        <f t="shared" si="37"/>
        <v>Product Development Headcount - Squad - Offshore</v>
      </c>
      <c r="BH13" s="195">
        <f t="shared" si="52"/>
        <v>0</v>
      </c>
      <c r="BI13" s="195">
        <f t="shared" si="53"/>
        <v>0</v>
      </c>
      <c r="BJ13" s="195">
        <f t="shared" si="54"/>
        <v>0</v>
      </c>
      <c r="BK13" s="304">
        <f t="shared" si="55"/>
        <v>0</v>
      </c>
      <c r="BL13" s="195">
        <f ca="1">IF(BF13="EoP",OFFSET(AR13,0,MONTH('2024 Control'!$C$4)-1),SUM(AR13:OFFSET(AR13,0,MONTH('2024 Control'!$C$4)-1))/IF(BF13="Sum",1,MONTH('2024 Control'!$C$4)))</f>
        <v>0</v>
      </c>
      <c r="BM13" s="304">
        <f t="shared" si="43"/>
        <v>12</v>
      </c>
    </row>
    <row r="14" spans="2:65">
      <c r="B14" s="26" t="s">
        <v>32</v>
      </c>
      <c r="C14" s="26" t="s">
        <v>57</v>
      </c>
      <c r="D14" s="204" t="str">
        <f t="shared" si="38"/>
        <v>Product Development Headcount - Non-Squad</v>
      </c>
      <c r="E14" s="256" t="s">
        <v>61</v>
      </c>
      <c r="F14" s="183" t="s">
        <v>247</v>
      </c>
      <c r="G14" s="183" t="s">
        <v>248</v>
      </c>
      <c r="H14" s="226">
        <v>0</v>
      </c>
      <c r="I14" s="226">
        <v>0</v>
      </c>
      <c r="J14" s="226">
        <v>0</v>
      </c>
      <c r="K14" s="190">
        <v>0</v>
      </c>
      <c r="L14" s="190">
        <v>0</v>
      </c>
      <c r="M14" s="190">
        <v>0</v>
      </c>
      <c r="N14" s="190">
        <v>0</v>
      </c>
      <c r="O14" s="190">
        <v>0</v>
      </c>
      <c r="P14" s="190">
        <v>0</v>
      </c>
      <c r="Q14" s="190">
        <v>0</v>
      </c>
      <c r="R14" s="190"/>
      <c r="S14" s="190"/>
      <c r="T14" s="190"/>
      <c r="U14" s="190"/>
      <c r="V14" s="190"/>
      <c r="W14" s="190"/>
      <c r="X14" s="190"/>
      <c r="Y14" s="190"/>
      <c r="Z14" s="190"/>
      <c r="AA14" s="190"/>
      <c r="AB14" s="190"/>
      <c r="AC14" s="190"/>
      <c r="AD14" s="190"/>
      <c r="AE14" s="190"/>
      <c r="AF14" s="190">
        <v>2</v>
      </c>
      <c r="AG14" s="190">
        <v>2</v>
      </c>
      <c r="AH14" s="226">
        <v>2</v>
      </c>
      <c r="AI14" s="226">
        <v>2</v>
      </c>
      <c r="AJ14" s="226">
        <v>2</v>
      </c>
      <c r="AK14" s="190">
        <v>2</v>
      </c>
      <c r="AL14" s="190">
        <v>2</v>
      </c>
      <c r="AM14" s="190">
        <v>2</v>
      </c>
      <c r="AN14" s="190">
        <v>2</v>
      </c>
      <c r="AO14" s="190">
        <v>2</v>
      </c>
      <c r="AP14" s="190">
        <v>2</v>
      </c>
      <c r="AQ14" s="190">
        <v>2</v>
      </c>
      <c r="AR14" s="190"/>
      <c r="AS14" s="190"/>
      <c r="AT14" s="190"/>
      <c r="AU14" s="190"/>
      <c r="AV14" s="190"/>
      <c r="AW14" s="190"/>
      <c r="AX14" s="190"/>
      <c r="AY14" s="190"/>
      <c r="AZ14" s="190"/>
      <c r="BA14" s="190"/>
      <c r="BB14" s="190"/>
      <c r="BC14" s="190"/>
      <c r="BD14" s="190"/>
      <c r="BE14" s="26"/>
      <c r="BF14" s="26" t="s">
        <v>47</v>
      </c>
      <c r="BG14" s="26" t="str">
        <f t="shared" si="37"/>
        <v>Product Development Headcount - Non-Squad</v>
      </c>
      <c r="BH14" s="195">
        <f t="shared" si="52"/>
        <v>0</v>
      </c>
      <c r="BI14" s="195">
        <f t="shared" si="53"/>
        <v>0</v>
      </c>
      <c r="BJ14" s="195">
        <f t="shared" si="54"/>
        <v>0</v>
      </c>
      <c r="BK14" s="304">
        <f t="shared" si="55"/>
        <v>0</v>
      </c>
      <c r="BL14" s="195">
        <f ca="1">IF(BF14="EoP",OFFSET(AR14,0,MONTH('2024 Control'!$C$4)-1),SUM(AR14:OFFSET(AR14,0,MONTH('2024 Control'!$C$4)-1))/IF(BF14="Sum",1,MONTH('2024 Control'!$C$4)))</f>
        <v>0</v>
      </c>
      <c r="BM14" s="304">
        <f t="shared" si="43"/>
        <v>0</v>
      </c>
    </row>
    <row r="15" spans="2:65">
      <c r="B15" s="26" t="s">
        <v>32</v>
      </c>
      <c r="C15" s="26" t="s">
        <v>57</v>
      </c>
      <c r="D15" s="204" t="str">
        <f t="shared" si="38"/>
        <v>Product Development Avg. Personnel Cost per Squad</v>
      </c>
      <c r="E15" s="26" t="s">
        <v>62</v>
      </c>
      <c r="F15" s="183" t="s">
        <v>253</v>
      </c>
      <c r="G15" s="183" t="s">
        <v>4</v>
      </c>
      <c r="H15" s="225">
        <f>(118367.14+19876.29)/H4</f>
        <v>69121.714999999997</v>
      </c>
      <c r="I15" s="225">
        <f>(125678+19317.39)/I4</f>
        <v>72497.695000000007</v>
      </c>
      <c r="J15" s="225">
        <f>(27863.22+120344.15)/J4</f>
        <v>74103.684999999998</v>
      </c>
      <c r="K15" s="225">
        <f>(117579.61+26692.01)/K4</f>
        <v>72135.81</v>
      </c>
      <c r="L15" s="225">
        <f>(112127.75+28483.61)/2</f>
        <v>70305.679999999993</v>
      </c>
      <c r="M15" s="225">
        <f>(126669.08+27753.66)/M4</f>
        <v>77211.37</v>
      </c>
      <c r="N15" s="225">
        <f>(28173.72+143814.03)/N4</f>
        <v>57329.25</v>
      </c>
      <c r="O15" s="225">
        <f>(149933.4+28173.72)/O4</f>
        <v>59369.04</v>
      </c>
      <c r="P15" s="225">
        <f>(140649.96+28173.72)/P4</f>
        <v>56274.559999999998</v>
      </c>
      <c r="Q15" s="225">
        <f>(156362.61+28625.53)/Q4</f>
        <v>61662.713333333326</v>
      </c>
      <c r="R15" s="225"/>
      <c r="S15" s="225"/>
      <c r="T15" s="225"/>
      <c r="U15" s="225"/>
      <c r="V15" s="225"/>
      <c r="W15" s="225"/>
      <c r="X15" s="225"/>
      <c r="Y15" s="225"/>
      <c r="Z15" s="225"/>
      <c r="AA15" s="225"/>
      <c r="AB15" s="225"/>
      <c r="AC15" s="225"/>
      <c r="AD15" s="225"/>
      <c r="AE15" s="225"/>
      <c r="AF15" s="225">
        <f t="shared" ref="AF15:AP15" si="56">-(AF106+AF107+AF16)/AF4</f>
        <v>75495.760000000009</v>
      </c>
      <c r="AG15" s="225">
        <f t="shared" si="56"/>
        <v>75135.530933333343</v>
      </c>
      <c r="AH15" s="225">
        <f t="shared" si="56"/>
        <v>75845.786242666669</v>
      </c>
      <c r="AI15" s="225">
        <f t="shared" si="56"/>
        <v>78563.604105093342</v>
      </c>
      <c r="AJ15" s="225">
        <f t="shared" si="56"/>
        <v>78607.396812810926</v>
      </c>
      <c r="AK15" s="225">
        <f t="shared" si="56"/>
        <v>78757.244114272369</v>
      </c>
      <c r="AL15" s="225">
        <f t="shared" si="56"/>
        <v>121684.83983312265</v>
      </c>
      <c r="AM15" s="225">
        <f t="shared" si="56"/>
        <v>121424.63823145388</v>
      </c>
      <c r="AN15" s="225">
        <f t="shared" si="56"/>
        <v>123465.38461376843</v>
      </c>
      <c r="AO15" s="225">
        <f t="shared" si="56"/>
        <v>125551.7034599061</v>
      </c>
      <c r="AP15" s="225">
        <f t="shared" si="56"/>
        <v>125683.22049450516</v>
      </c>
      <c r="AQ15" s="225">
        <f>-(AQ106+AQ107+AQ16)/AQ4</f>
        <v>127811.37269945021</v>
      </c>
      <c r="AR15" s="225">
        <f t="shared" ref="AR15:AS15" si="57">-(AR106+AR107+AR16)/AR4</f>
        <v>82492.058884296479</v>
      </c>
      <c r="AS15" s="225">
        <f t="shared" si="57"/>
        <v>84530.011273139447</v>
      </c>
      <c r="AT15" s="225">
        <f>-(AT106+AT107+AT16)/AT4</f>
        <v>86948.846185870832</v>
      </c>
      <c r="AU15" s="225"/>
      <c r="AV15" s="225"/>
      <c r="AW15" s="225"/>
      <c r="AX15" s="225"/>
      <c r="AY15" s="225"/>
      <c r="AZ15" s="225"/>
      <c r="BA15" s="225"/>
      <c r="BB15" s="225"/>
      <c r="BC15" s="225"/>
      <c r="BD15" s="225"/>
      <c r="BE15" s="26"/>
      <c r="BF15" s="26" t="s">
        <v>249</v>
      </c>
      <c r="BG15" s="26" t="str">
        <f t="shared" si="37"/>
        <v>Product Development Avg. Personnel Cost per Squad</v>
      </c>
      <c r="BH15" s="195">
        <f t="shared" si="52"/>
        <v>84656.972114435586</v>
      </c>
      <c r="BI15" s="195" t="str">
        <f t="shared" si="53"/>
        <v>-</v>
      </c>
      <c r="BJ15" s="195" t="str">
        <f t="shared" si="54"/>
        <v>-</v>
      </c>
      <c r="BK15" s="304" t="str">
        <f t="shared" si="55"/>
        <v>-</v>
      </c>
      <c r="BL15" s="195">
        <f ca="1">IF(BF15="EoP",OFFSET(AR15,0,MONTH('2024 Control'!$C$4)-1),SUM(AR15:OFFSET(AR15,0,MONTH('2024 Control'!$C$4)-1))/IF(BF15="Sum",1,MONTH('2024 Control'!$C$4)))</f>
        <v>21164.243028608897</v>
      </c>
      <c r="BM15" s="304">
        <f t="shared" si="43"/>
        <v>101251.89836872328</v>
      </c>
    </row>
    <row r="16" spans="2:65">
      <c r="B16" s="26" t="s">
        <v>32</v>
      </c>
      <c r="C16" s="26" t="s">
        <v>57</v>
      </c>
      <c r="D16" s="204" t="str">
        <f t="shared" si="38"/>
        <v>Product Development P&amp;T Overhead</v>
      </c>
      <c r="E16" s="26" t="s">
        <v>64</v>
      </c>
      <c r="F16" s="183" t="s">
        <v>253</v>
      </c>
      <c r="G16" s="183" t="s">
        <v>4</v>
      </c>
      <c r="H16" s="225">
        <f>2490.83+1050.05</f>
        <v>3540.88</v>
      </c>
      <c r="I16" s="225">
        <f>3059.53+9596.31</f>
        <v>12655.84</v>
      </c>
      <c r="J16" s="225">
        <f>832.71+4738.52</f>
        <v>5571.2300000000005</v>
      </c>
      <c r="K16" s="225">
        <f>2795.56+1156.69</f>
        <v>3952.25</v>
      </c>
      <c r="L16" s="225">
        <f>3654.17+3497.6</f>
        <v>7151.77</v>
      </c>
      <c r="M16" s="225">
        <f>493.92+2987.35</f>
        <v>3481.27</v>
      </c>
      <c r="N16" s="191">
        <f>2270.47+26120.59</f>
        <v>28391.06</v>
      </c>
      <c r="O16" s="225">
        <f>328+3276.27</f>
        <v>3604.27</v>
      </c>
      <c r="P16" s="225">
        <f>328+4490.01</f>
        <v>4818.01</v>
      </c>
      <c r="Q16" s="225">
        <f>3198.76+4610.54</f>
        <v>7809.3</v>
      </c>
      <c r="R16" s="225"/>
      <c r="S16" s="225"/>
      <c r="T16" s="225"/>
      <c r="U16" s="225"/>
      <c r="V16" s="225"/>
      <c r="W16" s="225"/>
      <c r="X16" s="225"/>
      <c r="Y16" s="225"/>
      <c r="Z16" s="225"/>
      <c r="AA16" s="225"/>
      <c r="AB16" s="225"/>
      <c r="AC16" s="225"/>
      <c r="AD16" s="225"/>
      <c r="AE16" s="225"/>
      <c r="AF16" s="225">
        <v>8044</v>
      </c>
      <c r="AG16" s="225">
        <v>11470</v>
      </c>
      <c r="AH16" s="225">
        <v>11708</v>
      </c>
      <c r="AI16" s="225">
        <v>5947</v>
      </c>
      <c r="AJ16" s="225">
        <v>8232</v>
      </c>
      <c r="AK16" s="225">
        <v>10223</v>
      </c>
      <c r="AL16" s="225">
        <v>5590</v>
      </c>
      <c r="AM16" s="225">
        <v>8600</v>
      </c>
      <c r="AN16" s="191">
        <v>7033</v>
      </c>
      <c r="AO16" s="225">
        <v>5400</v>
      </c>
      <c r="AP16" s="225">
        <v>7702</v>
      </c>
      <c r="AQ16" s="225">
        <v>6036.38</v>
      </c>
      <c r="AR16" s="225">
        <v>16799.54</v>
      </c>
      <c r="AS16" s="225">
        <v>13328.44</v>
      </c>
      <c r="AT16" s="225">
        <v>8741.1200000000008</v>
      </c>
      <c r="AU16" s="225"/>
      <c r="AV16" s="225"/>
      <c r="AW16" s="225"/>
      <c r="AX16" s="225"/>
      <c r="AY16" s="225"/>
      <c r="AZ16" s="225"/>
      <c r="BA16" s="225"/>
      <c r="BB16" s="225"/>
      <c r="BC16" s="225"/>
      <c r="BD16" s="225"/>
      <c r="BE16" s="26"/>
      <c r="BF16" s="26" t="s">
        <v>250</v>
      </c>
      <c r="BG16" s="26" t="str">
        <f t="shared" si="37"/>
        <v>Product Development P&amp;T Overhead</v>
      </c>
      <c r="BH16" s="195">
        <f t="shared" si="52"/>
        <v>38869.100000000006</v>
      </c>
      <c r="BI16" s="195">
        <f t="shared" si="53"/>
        <v>0</v>
      </c>
      <c r="BJ16" s="195">
        <f t="shared" si="54"/>
        <v>0</v>
      </c>
      <c r="BK16" s="304">
        <f t="shared" si="55"/>
        <v>0</v>
      </c>
      <c r="BL16" s="195">
        <f ca="1">IF(BF16="EoP",OFFSET(AR16,0,MONTH('2024 Control'!$C$4)-1),SUM(AR16:OFFSET(AR16,0,MONTH('2024 Control'!$C$4)-1))/IF(BF16="Sum",1,MONTH('2024 Control'!$C$4)))</f>
        <v>38869.100000000006</v>
      </c>
      <c r="BM16" s="304">
        <f t="shared" si="43"/>
        <v>104740.92000000001</v>
      </c>
    </row>
    <row r="17" spans="2:65">
      <c r="B17" s="26" t="s">
        <v>103</v>
      </c>
      <c r="C17" s="26" t="s">
        <v>254</v>
      </c>
      <c r="D17" s="204" t="str">
        <f t="shared" si="38"/>
        <v>Marketing Marketing Qualified Leads</v>
      </c>
      <c r="E17" s="26" t="s">
        <v>105</v>
      </c>
      <c r="F17" s="183" t="s">
        <v>247</v>
      </c>
      <c r="G17" s="183" t="s">
        <v>103</v>
      </c>
      <c r="H17" s="160">
        <v>13</v>
      </c>
      <c r="I17" s="226">
        <v>2</v>
      </c>
      <c r="J17" s="226">
        <v>2</v>
      </c>
      <c r="K17" s="190">
        <v>0</v>
      </c>
      <c r="L17" s="191">
        <v>8</v>
      </c>
      <c r="M17" s="191">
        <v>20</v>
      </c>
      <c r="N17" s="226">
        <v>13</v>
      </c>
      <c r="O17" s="191">
        <v>0</v>
      </c>
      <c r="P17" s="191">
        <v>14</v>
      </c>
      <c r="Q17" s="191">
        <v>9</v>
      </c>
      <c r="R17" s="191"/>
      <c r="S17" s="191"/>
      <c r="T17" s="191"/>
      <c r="U17" s="191"/>
      <c r="V17" s="191"/>
      <c r="W17" s="191"/>
      <c r="X17" s="191"/>
      <c r="Y17" s="191"/>
      <c r="Z17" s="191"/>
      <c r="AA17" s="191"/>
      <c r="AB17" s="191"/>
      <c r="AC17" s="191"/>
      <c r="AD17" s="191"/>
      <c r="AE17" s="191"/>
      <c r="AF17" s="191"/>
      <c r="AG17" s="191"/>
      <c r="AH17" s="160"/>
      <c r="AI17" s="226"/>
      <c r="AJ17" s="226">
        <v>86</v>
      </c>
      <c r="AK17" s="191">
        <v>123</v>
      </c>
      <c r="AL17" s="191">
        <v>123</v>
      </c>
      <c r="AM17" s="191">
        <v>334</v>
      </c>
      <c r="AN17" s="226">
        <v>334</v>
      </c>
      <c r="AO17" s="191">
        <v>334</v>
      </c>
      <c r="AP17" s="191">
        <v>439</v>
      </c>
      <c r="AQ17" s="191">
        <v>95</v>
      </c>
      <c r="AR17" s="191"/>
      <c r="AS17" s="191"/>
      <c r="AT17" s="191"/>
      <c r="AU17" s="191"/>
      <c r="AV17" s="191"/>
      <c r="AW17" s="191"/>
      <c r="AX17" s="191"/>
      <c r="AY17" s="191"/>
      <c r="AZ17" s="191"/>
      <c r="BA17" s="191"/>
      <c r="BB17" s="191"/>
      <c r="BC17" s="191"/>
      <c r="BD17" s="191"/>
      <c r="BE17" s="26"/>
      <c r="BF17" s="26" t="s">
        <v>250</v>
      </c>
      <c r="BG17" s="26" t="str">
        <f t="shared" si="37"/>
        <v>Marketing Marketing Qualified Leads</v>
      </c>
      <c r="BH17" s="195">
        <f t="shared" si="52"/>
        <v>0</v>
      </c>
      <c r="BI17" s="195">
        <f t="shared" si="53"/>
        <v>0</v>
      </c>
      <c r="BJ17" s="195">
        <f t="shared" si="54"/>
        <v>0</v>
      </c>
      <c r="BK17" s="304">
        <f t="shared" si="55"/>
        <v>0</v>
      </c>
      <c r="BL17" s="195">
        <f ca="1">IF(BF17="EoP",OFFSET(AR17,0,MONTH('2024 Control'!$C$4)-1),SUM(AR17:OFFSET(AR17,0,MONTH('2024 Control'!$C$4)-1))/IF(BF17="Sum",1,MONTH('2024 Control'!$C$4)))</f>
        <v>0</v>
      </c>
      <c r="BM17" s="304">
        <f t="shared" si="43"/>
        <v>1868</v>
      </c>
    </row>
    <row r="18" spans="2:65">
      <c r="B18" s="26" t="s">
        <v>103</v>
      </c>
      <c r="C18" s="26" t="s">
        <v>254</v>
      </c>
      <c r="D18" s="204" t="str">
        <f t="shared" si="38"/>
        <v>Marketing (x) MQL to New Opp. Conversion %</v>
      </c>
      <c r="E18" s="26" t="s">
        <v>106</v>
      </c>
      <c r="F18" s="183" t="s">
        <v>252</v>
      </c>
      <c r="G18" s="183" t="s">
        <v>103</v>
      </c>
      <c r="H18" s="251">
        <f>IFERROR(H19/H17,"")</f>
        <v>0.38461538461538464</v>
      </c>
      <c r="I18" s="251">
        <f t="shared" ref="I18:P18" si="58">IFERROR(I19/I17,"")</f>
        <v>0.5</v>
      </c>
      <c r="J18" s="251">
        <f t="shared" si="58"/>
        <v>1</v>
      </c>
      <c r="K18" s="291" t="str">
        <f t="shared" si="58"/>
        <v/>
      </c>
      <c r="L18" s="251">
        <f t="shared" si="58"/>
        <v>0.375</v>
      </c>
      <c r="M18" s="251">
        <f t="shared" si="58"/>
        <v>0.35</v>
      </c>
      <c r="N18" s="251">
        <f t="shared" si="58"/>
        <v>0.30769230769230771</v>
      </c>
      <c r="O18" s="251" t="str">
        <f t="shared" si="58"/>
        <v/>
      </c>
      <c r="P18" s="251">
        <f t="shared" si="58"/>
        <v>0.21428571428571427</v>
      </c>
      <c r="Q18" s="251">
        <f t="shared" ref="Q18:AF18" si="59">IFERROR(Q19/Q17,"")</f>
        <v>0.33333333333333331</v>
      </c>
      <c r="R18" s="251" t="str">
        <f t="shared" ref="R18:AE18" si="60">IFERROR(R19/R17,"")</f>
        <v/>
      </c>
      <c r="S18" s="251" t="str">
        <f t="shared" si="60"/>
        <v/>
      </c>
      <c r="T18" s="251" t="str">
        <f t="shared" si="60"/>
        <v/>
      </c>
      <c r="U18" s="251" t="str">
        <f t="shared" si="60"/>
        <v/>
      </c>
      <c r="V18" s="251" t="str">
        <f t="shared" si="60"/>
        <v/>
      </c>
      <c r="W18" s="251" t="str">
        <f t="shared" si="60"/>
        <v/>
      </c>
      <c r="X18" s="251" t="str">
        <f t="shared" si="60"/>
        <v/>
      </c>
      <c r="Y18" s="251" t="str">
        <f t="shared" si="60"/>
        <v/>
      </c>
      <c r="Z18" s="251" t="str">
        <f t="shared" si="60"/>
        <v/>
      </c>
      <c r="AA18" s="251" t="str">
        <f t="shared" si="60"/>
        <v/>
      </c>
      <c r="AB18" s="251" t="str">
        <f t="shared" si="60"/>
        <v/>
      </c>
      <c r="AC18" s="251" t="str">
        <f t="shared" si="60"/>
        <v/>
      </c>
      <c r="AD18" s="251" t="str">
        <f t="shared" si="60"/>
        <v/>
      </c>
      <c r="AE18" s="251" t="str">
        <f t="shared" si="60"/>
        <v/>
      </c>
      <c r="AF18" s="251" t="str">
        <f t="shared" si="59"/>
        <v/>
      </c>
      <c r="AG18" s="251" t="str">
        <f t="shared" ref="AG18:AH18" si="61">IFERROR(AG19/AG17,"")</f>
        <v/>
      </c>
      <c r="AH18" s="251" t="str">
        <f t="shared" si="61"/>
        <v/>
      </c>
      <c r="AI18" s="251" t="str">
        <f t="shared" ref="AI18:AK18" si="62">IFERROR(AI19/AI17,"")</f>
        <v/>
      </c>
      <c r="AJ18" s="251">
        <f t="shared" si="62"/>
        <v>3.4883720930232558E-2</v>
      </c>
      <c r="AK18" s="251">
        <f t="shared" si="62"/>
        <v>0.10569105691056911</v>
      </c>
      <c r="AL18" s="251">
        <f t="shared" ref="AL18:AM18" si="63">IFERROR(AL19/AL17,"")</f>
        <v>3.2520325203252036E-2</v>
      </c>
      <c r="AM18" s="251">
        <f t="shared" si="63"/>
        <v>8.9820359281437123E-3</v>
      </c>
      <c r="AN18" s="251">
        <f t="shared" ref="AN18:BD18" si="64">IFERROR(AN19/AN17,"")</f>
        <v>2.9940119760479044E-3</v>
      </c>
      <c r="AO18" s="251">
        <f t="shared" si="64"/>
        <v>1.1976047904191617E-2</v>
      </c>
      <c r="AP18" s="251">
        <f t="shared" si="64"/>
        <v>1.8223234624145785E-2</v>
      </c>
      <c r="AQ18" s="251">
        <f t="shared" si="64"/>
        <v>6.3157894736842107E-2</v>
      </c>
      <c r="AR18" s="251" t="str">
        <f t="shared" si="64"/>
        <v/>
      </c>
      <c r="AS18" s="251" t="str">
        <f t="shared" si="64"/>
        <v/>
      </c>
      <c r="AT18" s="251" t="str">
        <f t="shared" si="64"/>
        <v/>
      </c>
      <c r="AU18" s="251" t="str">
        <f t="shared" si="64"/>
        <v/>
      </c>
      <c r="AV18" s="251" t="str">
        <f t="shared" si="64"/>
        <v/>
      </c>
      <c r="AW18" s="251" t="str">
        <f t="shared" si="64"/>
        <v/>
      </c>
      <c r="AX18" s="251" t="str">
        <f t="shared" si="64"/>
        <v/>
      </c>
      <c r="AY18" s="251" t="str">
        <f t="shared" si="64"/>
        <v/>
      </c>
      <c r="AZ18" s="251" t="str">
        <f t="shared" si="64"/>
        <v/>
      </c>
      <c r="BA18" s="251" t="str">
        <f t="shared" si="64"/>
        <v/>
      </c>
      <c r="BB18" s="251" t="str">
        <f t="shared" si="64"/>
        <v/>
      </c>
      <c r="BC18" s="251" t="str">
        <f t="shared" si="64"/>
        <v/>
      </c>
      <c r="BD18" s="251" t="str">
        <f t="shared" si="64"/>
        <v/>
      </c>
      <c r="BE18" s="26"/>
      <c r="BF18" s="26" t="s">
        <v>249</v>
      </c>
      <c r="BG18" s="26" t="str">
        <f t="shared" si="37"/>
        <v>Marketing (x) MQL to New Opp. Conversion %</v>
      </c>
      <c r="BH18" s="195" t="str">
        <f t="shared" si="52"/>
        <v>-</v>
      </c>
      <c r="BI18" s="195" t="str">
        <f t="shared" si="53"/>
        <v>-</v>
      </c>
      <c r="BJ18" s="195" t="str">
        <f t="shared" si="54"/>
        <v>-</v>
      </c>
      <c r="BK18" s="304" t="str">
        <f t="shared" si="55"/>
        <v>-</v>
      </c>
      <c r="BL18" s="195">
        <f ca="1">IF(BF18="EoP",OFFSET(AR18,0,MONTH('2024 Control'!$C$4)-1),SUM(AR18:OFFSET(AR18,0,MONTH('2024 Control'!$C$4)-1))/IF(BF18="Sum",1,MONTH('2024 Control'!$C$4)))</f>
        <v>0</v>
      </c>
      <c r="BM18" s="304">
        <f t="shared" si="43"/>
        <v>3.4803541026678105E-2</v>
      </c>
    </row>
    <row r="19" spans="2:65">
      <c r="B19" s="26" t="s">
        <v>103</v>
      </c>
      <c r="C19" s="26" t="s">
        <v>254</v>
      </c>
      <c r="D19" s="204" t="str">
        <f t="shared" si="38"/>
        <v>Marketing = Mktg sourced New Opportunities</v>
      </c>
      <c r="E19" s="26" t="s">
        <v>107</v>
      </c>
      <c r="F19" s="183" t="s">
        <v>247</v>
      </c>
      <c r="G19" s="183" t="s">
        <v>103</v>
      </c>
      <c r="H19" s="161">
        <f>H42</f>
        <v>5</v>
      </c>
      <c r="I19" s="161">
        <f t="shared" ref="I19:M19" si="65">I42</f>
        <v>1</v>
      </c>
      <c r="J19" s="161">
        <f t="shared" si="65"/>
        <v>2</v>
      </c>
      <c r="K19" s="161">
        <f t="shared" si="65"/>
        <v>0</v>
      </c>
      <c r="L19" s="161">
        <f t="shared" si="65"/>
        <v>3</v>
      </c>
      <c r="M19" s="161">
        <f t="shared" si="65"/>
        <v>7</v>
      </c>
      <c r="N19" s="161">
        <f t="shared" ref="N19:O19" si="66">N42</f>
        <v>4</v>
      </c>
      <c r="O19" s="161">
        <f t="shared" si="66"/>
        <v>2</v>
      </c>
      <c r="P19" s="161">
        <f t="shared" ref="P19:Q19" si="67">P42</f>
        <v>3</v>
      </c>
      <c r="Q19" s="161">
        <f t="shared" si="67"/>
        <v>3</v>
      </c>
      <c r="R19" s="161">
        <f t="shared" ref="R19:AE19" si="68">R42</f>
        <v>0</v>
      </c>
      <c r="S19" s="161">
        <f t="shared" si="68"/>
        <v>0</v>
      </c>
      <c r="T19" s="161">
        <f t="shared" si="68"/>
        <v>0</v>
      </c>
      <c r="U19" s="161">
        <f t="shared" si="68"/>
        <v>0</v>
      </c>
      <c r="V19" s="161">
        <f t="shared" si="68"/>
        <v>0</v>
      </c>
      <c r="W19" s="161">
        <f t="shared" si="68"/>
        <v>0</v>
      </c>
      <c r="X19" s="161">
        <f t="shared" si="68"/>
        <v>0</v>
      </c>
      <c r="Y19" s="161">
        <f t="shared" si="68"/>
        <v>0</v>
      </c>
      <c r="Z19" s="161">
        <f t="shared" si="68"/>
        <v>0</v>
      </c>
      <c r="AA19" s="161">
        <f t="shared" si="68"/>
        <v>0</v>
      </c>
      <c r="AB19" s="161">
        <f t="shared" si="68"/>
        <v>0</v>
      </c>
      <c r="AC19" s="161">
        <f t="shared" si="68"/>
        <v>0</v>
      </c>
      <c r="AD19" s="161">
        <f t="shared" si="68"/>
        <v>0</v>
      </c>
      <c r="AE19" s="161">
        <f t="shared" si="68"/>
        <v>0</v>
      </c>
      <c r="AF19" s="367">
        <f>AF42</f>
        <v>0</v>
      </c>
      <c r="AG19" s="161">
        <v>2</v>
      </c>
      <c r="AH19" s="161">
        <v>2</v>
      </c>
      <c r="AI19" s="161">
        <v>2</v>
      </c>
      <c r="AJ19" s="161">
        <v>3</v>
      </c>
      <c r="AK19" s="161">
        <v>13</v>
      </c>
      <c r="AL19" s="161">
        <v>4</v>
      </c>
      <c r="AM19" s="161">
        <v>3</v>
      </c>
      <c r="AN19" s="161">
        <v>1</v>
      </c>
      <c r="AO19" s="161">
        <v>4</v>
      </c>
      <c r="AP19" s="161">
        <v>8</v>
      </c>
      <c r="AQ19" s="161">
        <v>6</v>
      </c>
      <c r="AR19" s="161">
        <f t="shared" ref="AR19:BD19" si="69">AR42</f>
        <v>0</v>
      </c>
      <c r="AS19" s="161">
        <f t="shared" si="69"/>
        <v>0</v>
      </c>
      <c r="AT19" s="161">
        <f t="shared" si="69"/>
        <v>0</v>
      </c>
      <c r="AU19" s="161">
        <f t="shared" si="69"/>
        <v>0</v>
      </c>
      <c r="AV19" s="161">
        <f t="shared" si="69"/>
        <v>0</v>
      </c>
      <c r="AW19" s="161">
        <f t="shared" si="69"/>
        <v>0</v>
      </c>
      <c r="AX19" s="161">
        <f t="shared" si="69"/>
        <v>0</v>
      </c>
      <c r="AY19" s="161">
        <f t="shared" si="69"/>
        <v>0</v>
      </c>
      <c r="AZ19" s="161">
        <f t="shared" si="69"/>
        <v>0</v>
      </c>
      <c r="BA19" s="161">
        <f t="shared" si="69"/>
        <v>0</v>
      </c>
      <c r="BB19" s="161">
        <f t="shared" si="69"/>
        <v>0</v>
      </c>
      <c r="BC19" s="161">
        <f t="shared" si="69"/>
        <v>0</v>
      </c>
      <c r="BD19" s="161">
        <f t="shared" si="69"/>
        <v>0</v>
      </c>
      <c r="BE19" s="26"/>
      <c r="BF19" s="26" t="s">
        <v>250</v>
      </c>
      <c r="BG19" s="26" t="str">
        <f t="shared" si="37"/>
        <v>Marketing = Mktg sourced New Opportunities</v>
      </c>
      <c r="BH19" s="195">
        <f t="shared" si="52"/>
        <v>0</v>
      </c>
      <c r="BI19" s="195">
        <f t="shared" si="53"/>
        <v>0</v>
      </c>
      <c r="BJ19" s="195">
        <f t="shared" si="54"/>
        <v>0</v>
      </c>
      <c r="BK19" s="304">
        <f t="shared" si="55"/>
        <v>0</v>
      </c>
      <c r="BL19" s="195">
        <f ca="1">IF(BF19="EoP",OFFSET(AR19,0,MONTH('2024 Control'!$C$4)-1),SUM(AR19:OFFSET(AR19,0,MONTH('2024 Control'!$C$4)-1))/IF(BF19="Sum",1,MONTH('2024 Control'!$C$4)))</f>
        <v>0</v>
      </c>
      <c r="BM19" s="304">
        <f t="shared" si="43"/>
        <v>48</v>
      </c>
    </row>
    <row r="20" spans="2:65">
      <c r="B20" s="26" t="s">
        <v>103</v>
      </c>
      <c r="C20" s="26" t="s">
        <v>255</v>
      </c>
      <c r="D20" s="204" t="str">
        <f t="shared" si="38"/>
        <v>Marketing Mktg sourced New Opportunities</v>
      </c>
      <c r="E20" s="26" t="s">
        <v>109</v>
      </c>
      <c r="F20" s="183" t="s">
        <v>247</v>
      </c>
      <c r="G20" s="183" t="s">
        <v>103</v>
      </c>
      <c r="H20" s="161">
        <f t="shared" ref="H20:M20" si="70">H19</f>
        <v>5</v>
      </c>
      <c r="I20" s="161">
        <f t="shared" si="70"/>
        <v>1</v>
      </c>
      <c r="J20" s="161">
        <f t="shared" si="70"/>
        <v>2</v>
      </c>
      <c r="K20" s="161">
        <f t="shared" si="70"/>
        <v>0</v>
      </c>
      <c r="L20" s="161">
        <f t="shared" si="70"/>
        <v>3</v>
      </c>
      <c r="M20" s="161">
        <f t="shared" si="70"/>
        <v>7</v>
      </c>
      <c r="N20" s="161">
        <f t="shared" ref="N20:O20" si="71">N19</f>
        <v>4</v>
      </c>
      <c r="O20" s="161">
        <f t="shared" si="71"/>
        <v>2</v>
      </c>
      <c r="P20" s="161">
        <f t="shared" ref="P20:Q20" si="72">P19</f>
        <v>3</v>
      </c>
      <c r="Q20" s="161">
        <f t="shared" si="72"/>
        <v>3</v>
      </c>
      <c r="R20" s="161">
        <f t="shared" ref="R20:AE20" si="73">R19</f>
        <v>0</v>
      </c>
      <c r="S20" s="161">
        <f t="shared" si="73"/>
        <v>0</v>
      </c>
      <c r="T20" s="161">
        <f t="shared" si="73"/>
        <v>0</v>
      </c>
      <c r="U20" s="161">
        <f t="shared" si="73"/>
        <v>0</v>
      </c>
      <c r="V20" s="161">
        <f t="shared" si="73"/>
        <v>0</v>
      </c>
      <c r="W20" s="161">
        <f t="shared" si="73"/>
        <v>0</v>
      </c>
      <c r="X20" s="161">
        <f t="shared" si="73"/>
        <v>0</v>
      </c>
      <c r="Y20" s="161">
        <f t="shared" si="73"/>
        <v>0</v>
      </c>
      <c r="Z20" s="161">
        <f t="shared" si="73"/>
        <v>0</v>
      </c>
      <c r="AA20" s="161">
        <f t="shared" si="73"/>
        <v>0</v>
      </c>
      <c r="AB20" s="161">
        <f t="shared" si="73"/>
        <v>0</v>
      </c>
      <c r="AC20" s="161">
        <f t="shared" si="73"/>
        <v>0</v>
      </c>
      <c r="AD20" s="161">
        <f t="shared" si="73"/>
        <v>0</v>
      </c>
      <c r="AE20" s="161">
        <f t="shared" si="73"/>
        <v>0</v>
      </c>
      <c r="AF20" s="161">
        <f t="shared" ref="AF20:AG20" si="74">AF19</f>
        <v>0</v>
      </c>
      <c r="AG20" s="161">
        <f t="shared" si="74"/>
        <v>2</v>
      </c>
      <c r="AH20" s="161">
        <f t="shared" ref="AH20:AI20" si="75">AH19</f>
        <v>2</v>
      </c>
      <c r="AI20" s="161">
        <f t="shared" si="75"/>
        <v>2</v>
      </c>
      <c r="AJ20" s="161">
        <f t="shared" ref="AJ20:AK20" si="76">AJ19</f>
        <v>3</v>
      </c>
      <c r="AK20" s="161">
        <f t="shared" si="76"/>
        <v>13</v>
      </c>
      <c r="AL20" s="161">
        <f t="shared" ref="AL20:AM20" si="77">AL19</f>
        <v>4</v>
      </c>
      <c r="AM20" s="161">
        <f t="shared" si="77"/>
        <v>3</v>
      </c>
      <c r="AN20" s="161">
        <f t="shared" ref="AN20:BD20" si="78">AN19</f>
        <v>1</v>
      </c>
      <c r="AO20" s="161">
        <f t="shared" si="78"/>
        <v>4</v>
      </c>
      <c r="AP20" s="161">
        <f t="shared" si="78"/>
        <v>8</v>
      </c>
      <c r="AQ20" s="161">
        <f t="shared" si="78"/>
        <v>6</v>
      </c>
      <c r="AR20" s="161">
        <f t="shared" si="78"/>
        <v>0</v>
      </c>
      <c r="AS20" s="161">
        <f t="shared" si="78"/>
        <v>0</v>
      </c>
      <c r="AT20" s="161">
        <f t="shared" si="78"/>
        <v>0</v>
      </c>
      <c r="AU20" s="161">
        <f t="shared" si="78"/>
        <v>0</v>
      </c>
      <c r="AV20" s="161">
        <f t="shared" si="78"/>
        <v>0</v>
      </c>
      <c r="AW20" s="161">
        <f t="shared" si="78"/>
        <v>0</v>
      </c>
      <c r="AX20" s="161">
        <f t="shared" si="78"/>
        <v>0</v>
      </c>
      <c r="AY20" s="161">
        <f t="shared" si="78"/>
        <v>0</v>
      </c>
      <c r="AZ20" s="161">
        <f t="shared" si="78"/>
        <v>0</v>
      </c>
      <c r="BA20" s="161">
        <f t="shared" si="78"/>
        <v>0</v>
      </c>
      <c r="BB20" s="161">
        <f t="shared" si="78"/>
        <v>0</v>
      </c>
      <c r="BC20" s="161">
        <f t="shared" si="78"/>
        <v>0</v>
      </c>
      <c r="BD20" s="161">
        <f t="shared" si="78"/>
        <v>0</v>
      </c>
      <c r="BE20" s="26"/>
      <c r="BF20" s="26" t="s">
        <v>250</v>
      </c>
      <c r="BG20" s="26" t="str">
        <f t="shared" si="37"/>
        <v>Marketing Mktg sourced New Opportunities</v>
      </c>
      <c r="BH20" s="195">
        <f t="shared" si="52"/>
        <v>0</v>
      </c>
      <c r="BI20" s="195">
        <f t="shared" si="53"/>
        <v>0</v>
      </c>
      <c r="BJ20" s="195">
        <f t="shared" si="54"/>
        <v>0</v>
      </c>
      <c r="BK20" s="304">
        <f t="shared" si="55"/>
        <v>0</v>
      </c>
      <c r="BL20" s="195">
        <f ca="1">IF(BF20="EoP",OFFSET(AR20,0,MONTH('2024 Control'!$C$4)-1),SUM(AR20:OFFSET(AR20,0,MONTH('2024 Control'!$C$4)-1))/IF(BF20="Sum",1,MONTH('2024 Control'!$C$4)))</f>
        <v>0</v>
      </c>
      <c r="BM20" s="304">
        <f t="shared" si="43"/>
        <v>48</v>
      </c>
    </row>
    <row r="21" spans="2:65">
      <c r="B21" s="26" t="s">
        <v>103</v>
      </c>
      <c r="C21" s="26" t="s">
        <v>255</v>
      </c>
      <c r="D21" s="204" t="str">
        <f t="shared" si="38"/>
        <v>Marketing (x) Mktg sourced New Opp. ACV</v>
      </c>
      <c r="E21" s="26" t="s">
        <v>110</v>
      </c>
      <c r="F21" s="183" t="s">
        <v>253</v>
      </c>
      <c r="G21" s="183" t="s">
        <v>103</v>
      </c>
      <c r="H21" s="252">
        <f>IFERROR(H22/H20,"")</f>
        <v>140000</v>
      </c>
      <c r="I21" s="252">
        <f t="shared" ref="I21:O21" si="79">IFERROR(I22/I20,"")</f>
        <v>100000</v>
      </c>
      <c r="J21" s="252">
        <f t="shared" ref="J21:K21" si="80">J22/J20</f>
        <v>0</v>
      </c>
      <c r="K21" s="252" t="e">
        <f t="shared" si="80"/>
        <v>#DIV/0!</v>
      </c>
      <c r="L21" s="252">
        <f t="shared" si="79"/>
        <v>25000</v>
      </c>
      <c r="M21" s="252">
        <f t="shared" si="79"/>
        <v>28571.428571428572</v>
      </c>
      <c r="N21" s="252">
        <f t="shared" si="79"/>
        <v>18750</v>
      </c>
      <c r="O21" s="252">
        <f t="shared" si="79"/>
        <v>0</v>
      </c>
      <c r="P21" s="252">
        <f t="shared" ref="P21:Q21" si="81">IFERROR(P22/P20,"")</f>
        <v>16666.666666666668</v>
      </c>
      <c r="Q21" s="252">
        <f t="shared" si="81"/>
        <v>0</v>
      </c>
      <c r="R21" s="252" t="str">
        <f t="shared" ref="R21:AE21" si="82">IFERROR(R22/R20,"")</f>
        <v/>
      </c>
      <c r="S21" s="252" t="str">
        <f t="shared" si="82"/>
        <v/>
      </c>
      <c r="T21" s="252" t="str">
        <f t="shared" si="82"/>
        <v/>
      </c>
      <c r="U21" s="252" t="str">
        <f t="shared" si="82"/>
        <v/>
      </c>
      <c r="V21" s="252" t="str">
        <f t="shared" si="82"/>
        <v/>
      </c>
      <c r="W21" s="252" t="str">
        <f t="shared" si="82"/>
        <v/>
      </c>
      <c r="X21" s="252" t="str">
        <f t="shared" si="82"/>
        <v/>
      </c>
      <c r="Y21" s="252" t="str">
        <f t="shared" si="82"/>
        <v/>
      </c>
      <c r="Z21" s="252" t="str">
        <f t="shared" si="82"/>
        <v/>
      </c>
      <c r="AA21" s="252" t="str">
        <f t="shared" si="82"/>
        <v/>
      </c>
      <c r="AB21" s="252" t="str">
        <f t="shared" si="82"/>
        <v/>
      </c>
      <c r="AC21" s="252" t="str">
        <f t="shared" si="82"/>
        <v/>
      </c>
      <c r="AD21" s="252" t="str">
        <f t="shared" si="82"/>
        <v/>
      </c>
      <c r="AE21" s="252" t="str">
        <f t="shared" si="82"/>
        <v/>
      </c>
      <c r="AF21" s="252" t="str">
        <f t="shared" ref="AF21:AG21" si="83">IFERROR(AF22/AF20,"")</f>
        <v/>
      </c>
      <c r="AG21" s="252">
        <f t="shared" si="83"/>
        <v>0</v>
      </c>
      <c r="AH21" s="356">
        <f>Budget!S21</f>
        <v>75000</v>
      </c>
      <c r="AI21" s="356">
        <f>Budget!T21</f>
        <v>75000</v>
      </c>
      <c r="AJ21" s="356">
        <f>Budget!U21</f>
        <v>75000</v>
      </c>
      <c r="AK21" s="356">
        <f>Budget!V21</f>
        <v>75000</v>
      </c>
      <c r="AL21" s="356">
        <f>Budget!W21</f>
        <v>75000</v>
      </c>
      <c r="AM21" s="356">
        <f>Budget!X21</f>
        <v>75000</v>
      </c>
      <c r="AN21" s="356">
        <f>Budget!Y21</f>
        <v>75000</v>
      </c>
      <c r="AO21" s="356">
        <f>Budget!Z21</f>
        <v>75000</v>
      </c>
      <c r="AP21" s="356">
        <f>Budget!AA21</f>
        <v>75000</v>
      </c>
      <c r="AQ21" s="356">
        <f>Budget!AB21</f>
        <v>75000</v>
      </c>
      <c r="AR21" s="356"/>
      <c r="AS21" s="356"/>
      <c r="AT21" s="356"/>
      <c r="AU21" s="356"/>
      <c r="AV21" s="356"/>
      <c r="AW21" s="356"/>
      <c r="AX21" s="356"/>
      <c r="AY21" s="356"/>
      <c r="AZ21" s="356"/>
      <c r="BA21" s="356"/>
      <c r="BB21" s="356"/>
      <c r="BC21" s="356"/>
      <c r="BD21" s="356">
        <f>Budget!AD21</f>
        <v>75000</v>
      </c>
      <c r="BE21" s="26"/>
      <c r="BF21" s="26" t="s">
        <v>249</v>
      </c>
      <c r="BG21" s="26" t="str">
        <f t="shared" si="37"/>
        <v>Marketing (x) Mktg sourced New Opp. ACV</v>
      </c>
      <c r="BH21" s="195" t="str">
        <f t="shared" si="52"/>
        <v>-</v>
      </c>
      <c r="BI21" s="195" t="str">
        <f t="shared" si="53"/>
        <v>-</v>
      </c>
      <c r="BJ21" s="195" t="str">
        <f t="shared" si="54"/>
        <v>-</v>
      </c>
      <c r="BK21" s="304" t="str">
        <f t="shared" si="55"/>
        <v>-</v>
      </c>
      <c r="BL21" s="195">
        <f ca="1">IF(BF21="EoP",OFFSET(AR21,0,MONTH('2024 Control'!$C$4)-1),SUM(AR21:OFFSET(AR21,0,MONTH('2024 Control'!$C$4)-1))/IF(BF21="Sum",1,MONTH('2024 Control'!$C$4)))</f>
        <v>0</v>
      </c>
      <c r="BM21" s="304">
        <f t="shared" si="43"/>
        <v>68181.818181818177</v>
      </c>
    </row>
    <row r="22" spans="2:65">
      <c r="B22" s="26" t="s">
        <v>103</v>
      </c>
      <c r="C22" s="26" t="s">
        <v>255</v>
      </c>
      <c r="D22" s="204" t="str">
        <f t="shared" si="38"/>
        <v>Marketing = Mktg sourced New Opp. Value</v>
      </c>
      <c r="E22" s="26" t="s">
        <v>111</v>
      </c>
      <c r="F22" s="183" t="s">
        <v>253</v>
      </c>
      <c r="G22" s="183" t="s">
        <v>103</v>
      </c>
      <c r="H22" s="225">
        <v>700000</v>
      </c>
      <c r="I22" s="225">
        <v>100000</v>
      </c>
      <c r="J22" s="225">
        <v>0</v>
      </c>
      <c r="K22" s="225">
        <v>0</v>
      </c>
      <c r="L22" s="225">
        <v>75000</v>
      </c>
      <c r="M22" s="225">
        <v>200000</v>
      </c>
      <c r="N22" s="225">
        <f>75000</f>
        <v>75000</v>
      </c>
      <c r="O22" s="190">
        <v>0</v>
      </c>
      <c r="P22" s="225">
        <v>50000</v>
      </c>
      <c r="Q22" s="231">
        <v>0</v>
      </c>
      <c r="R22" s="231"/>
      <c r="S22" s="231"/>
      <c r="T22" s="231"/>
      <c r="U22" s="231"/>
      <c r="V22" s="231"/>
      <c r="W22" s="231"/>
      <c r="X22" s="231"/>
      <c r="Y22" s="231"/>
      <c r="Z22" s="231"/>
      <c r="AA22" s="231"/>
      <c r="AB22" s="231"/>
      <c r="AC22" s="231"/>
      <c r="AD22" s="231"/>
      <c r="AE22" s="231"/>
      <c r="AF22" s="231">
        <v>0</v>
      </c>
      <c r="AG22" s="225"/>
      <c r="AH22" s="252">
        <f t="shared" ref="AH22:AN22" si="84">AH20*AH21</f>
        <v>150000</v>
      </c>
      <c r="AI22" s="252">
        <f t="shared" si="84"/>
        <v>150000</v>
      </c>
      <c r="AJ22" s="252">
        <f t="shared" si="84"/>
        <v>225000</v>
      </c>
      <c r="AK22" s="252">
        <f t="shared" si="84"/>
        <v>975000</v>
      </c>
      <c r="AL22" s="252">
        <f t="shared" si="84"/>
        <v>300000</v>
      </c>
      <c r="AM22" s="252">
        <f t="shared" si="84"/>
        <v>225000</v>
      </c>
      <c r="AN22" s="252">
        <f t="shared" si="84"/>
        <v>75000</v>
      </c>
      <c r="AO22" s="252">
        <f t="shared" ref="AO22:BD22" si="85">AO20*AO21</f>
        <v>300000</v>
      </c>
      <c r="AP22" s="252">
        <f t="shared" si="85"/>
        <v>600000</v>
      </c>
      <c r="AQ22" s="252">
        <f t="shared" si="85"/>
        <v>450000</v>
      </c>
      <c r="AR22" s="252">
        <f t="shared" si="85"/>
        <v>0</v>
      </c>
      <c r="AS22" s="252">
        <f t="shared" si="85"/>
        <v>0</v>
      </c>
      <c r="AT22" s="252">
        <f t="shared" si="85"/>
        <v>0</v>
      </c>
      <c r="AU22" s="252">
        <f t="shared" si="85"/>
        <v>0</v>
      </c>
      <c r="AV22" s="252">
        <f t="shared" si="85"/>
        <v>0</v>
      </c>
      <c r="AW22" s="252">
        <f t="shared" si="85"/>
        <v>0</v>
      </c>
      <c r="AX22" s="252">
        <f t="shared" si="85"/>
        <v>0</v>
      </c>
      <c r="AY22" s="252">
        <f t="shared" si="85"/>
        <v>0</v>
      </c>
      <c r="AZ22" s="252">
        <f t="shared" si="85"/>
        <v>0</v>
      </c>
      <c r="BA22" s="252">
        <f t="shared" si="85"/>
        <v>0</v>
      </c>
      <c r="BB22" s="252">
        <f t="shared" si="85"/>
        <v>0</v>
      </c>
      <c r="BC22" s="252">
        <f t="shared" si="85"/>
        <v>0</v>
      </c>
      <c r="BD22" s="252">
        <f t="shared" si="85"/>
        <v>0</v>
      </c>
      <c r="BE22" s="26"/>
      <c r="BF22" s="26" t="s">
        <v>250</v>
      </c>
      <c r="BG22" s="26" t="str">
        <f t="shared" si="37"/>
        <v>Marketing = Mktg sourced New Opp. Value</v>
      </c>
      <c r="BH22" s="195">
        <f t="shared" si="52"/>
        <v>0</v>
      </c>
      <c r="BI22" s="195">
        <f t="shared" si="53"/>
        <v>0</v>
      </c>
      <c r="BJ22" s="195">
        <f t="shared" si="54"/>
        <v>0</v>
      </c>
      <c r="BK22" s="304">
        <f t="shared" si="55"/>
        <v>0</v>
      </c>
      <c r="BL22" s="195">
        <f ca="1">IF(BF22="EoP",OFFSET(AR22,0,MONTH('2024 Control'!$C$4)-1),SUM(AR22:OFFSET(AR22,0,MONTH('2024 Control'!$C$4)-1))/IF(BF22="Sum",1,MONTH('2024 Control'!$C$4)))</f>
        <v>0</v>
      </c>
      <c r="BM22" s="304">
        <f t="shared" si="43"/>
        <v>3450000</v>
      </c>
    </row>
    <row r="23" spans="2:65">
      <c r="B23" s="26" t="s">
        <v>103</v>
      </c>
      <c r="C23" s="26" t="s">
        <v>255</v>
      </c>
      <c r="D23" s="204" t="str">
        <f t="shared" si="38"/>
        <v>Marketing (x) Expected Win Rate</v>
      </c>
      <c r="E23" s="26" t="s">
        <v>112</v>
      </c>
      <c r="F23" s="183" t="s">
        <v>252</v>
      </c>
      <c r="G23" s="183" t="s">
        <v>103</v>
      </c>
      <c r="H23" s="209">
        <v>0.25</v>
      </c>
      <c r="I23" s="209">
        <v>0.25</v>
      </c>
      <c r="J23" s="209">
        <v>0.25</v>
      </c>
      <c r="K23" s="209">
        <v>0.25</v>
      </c>
      <c r="L23" s="209">
        <v>0.25</v>
      </c>
      <c r="M23" s="209">
        <v>0.25</v>
      </c>
      <c r="N23" s="209">
        <v>0.25</v>
      </c>
      <c r="O23" s="209">
        <v>0.25</v>
      </c>
      <c r="P23" s="209">
        <v>0.25</v>
      </c>
      <c r="Q23" s="209">
        <v>0.25</v>
      </c>
      <c r="R23" s="209"/>
      <c r="S23" s="209"/>
      <c r="T23" s="209"/>
      <c r="U23" s="209"/>
      <c r="V23" s="209"/>
      <c r="W23" s="209"/>
      <c r="X23" s="209"/>
      <c r="Y23" s="209"/>
      <c r="Z23" s="209"/>
      <c r="AA23" s="209"/>
      <c r="AB23" s="209"/>
      <c r="AC23" s="209"/>
      <c r="AD23" s="209"/>
      <c r="AE23" s="209"/>
      <c r="AF23" s="189">
        <v>0.25</v>
      </c>
      <c r="AG23" s="189">
        <v>0.25</v>
      </c>
      <c r="AH23" s="357">
        <f>Budget!S23</f>
        <v>0.192</v>
      </c>
      <c r="AI23" s="357">
        <f>Budget!T23</f>
        <v>0.192</v>
      </c>
      <c r="AJ23" s="357">
        <f>Budget!U23</f>
        <v>0.192</v>
      </c>
      <c r="AK23" s="357">
        <f>Budget!V23</f>
        <v>0.192</v>
      </c>
      <c r="AL23" s="357">
        <f>Budget!W23</f>
        <v>0.192</v>
      </c>
      <c r="AM23" s="357">
        <f>Budget!X23</f>
        <v>0.192</v>
      </c>
      <c r="AN23" s="357">
        <f>Budget!Y23</f>
        <v>0.192</v>
      </c>
      <c r="AO23" s="357">
        <f>Budget!Z23</f>
        <v>0.192</v>
      </c>
      <c r="AP23" s="357">
        <f>Budget!AA23</f>
        <v>0.192</v>
      </c>
      <c r="AQ23" s="357">
        <f>Budget!AB23</f>
        <v>0.192</v>
      </c>
      <c r="AR23" s="357"/>
      <c r="AS23" s="357"/>
      <c r="AT23" s="357"/>
      <c r="AU23" s="357"/>
      <c r="AV23" s="357"/>
      <c r="AW23" s="357"/>
      <c r="AX23" s="357"/>
      <c r="AY23" s="357"/>
      <c r="AZ23" s="357"/>
      <c r="BA23" s="357"/>
      <c r="BB23" s="357"/>
      <c r="BC23" s="357"/>
      <c r="BD23" s="357">
        <f>Budget!AD23</f>
        <v>0.192</v>
      </c>
      <c r="BE23" s="26"/>
      <c r="BF23" s="26" t="s">
        <v>249</v>
      </c>
      <c r="BG23" s="26" t="str">
        <f t="shared" si="37"/>
        <v>Marketing (x) Expected Win Rate</v>
      </c>
      <c r="BH23" s="195" t="str">
        <f t="shared" si="52"/>
        <v>-</v>
      </c>
      <c r="BI23" s="195" t="str">
        <f t="shared" si="53"/>
        <v>-</v>
      </c>
      <c r="BJ23" s="195" t="str">
        <f t="shared" si="54"/>
        <v>-</v>
      </c>
      <c r="BK23" s="304" t="str">
        <f t="shared" si="55"/>
        <v>-</v>
      </c>
      <c r="BL23" s="195">
        <f ca="1">IF(BF23="EoP",OFFSET(AR23,0,MONTH('2024 Control'!$C$4)-1),SUM(AR23:OFFSET(AR23,0,MONTH('2024 Control'!$C$4)-1))/IF(BF23="Sum",1,MONTH('2024 Control'!$C$4)))</f>
        <v>0</v>
      </c>
      <c r="BM23" s="304">
        <f t="shared" si="43"/>
        <v>0.19727272727272727</v>
      </c>
    </row>
    <row r="24" spans="2:65">
      <c r="B24" s="26" t="s">
        <v>103</v>
      </c>
      <c r="C24" s="26" t="s">
        <v>255</v>
      </c>
      <c r="D24" s="204" t="str">
        <f t="shared" si="38"/>
        <v>Marketing = Expected Revenue of New Opp.</v>
      </c>
      <c r="E24" s="26" t="s">
        <v>113</v>
      </c>
      <c r="F24" s="183" t="s">
        <v>253</v>
      </c>
      <c r="G24" s="183" t="s">
        <v>103</v>
      </c>
      <c r="H24" s="252">
        <f>H22*H23</f>
        <v>175000</v>
      </c>
      <c r="I24" s="252">
        <f t="shared" ref="I24:AN24" si="86">I22*I23</f>
        <v>25000</v>
      </c>
      <c r="J24" s="252">
        <f t="shared" si="86"/>
        <v>0</v>
      </c>
      <c r="K24" s="252">
        <f t="shared" si="86"/>
        <v>0</v>
      </c>
      <c r="L24" s="252">
        <f t="shared" si="86"/>
        <v>18750</v>
      </c>
      <c r="M24" s="252">
        <f t="shared" si="86"/>
        <v>50000</v>
      </c>
      <c r="N24" s="252">
        <f t="shared" si="86"/>
        <v>18750</v>
      </c>
      <c r="O24" s="252">
        <f t="shared" si="86"/>
        <v>0</v>
      </c>
      <c r="P24" s="252">
        <f t="shared" si="86"/>
        <v>12500</v>
      </c>
      <c r="Q24" s="252">
        <f t="shared" si="86"/>
        <v>0</v>
      </c>
      <c r="R24" s="252">
        <f t="shared" si="86"/>
        <v>0</v>
      </c>
      <c r="S24" s="252">
        <f t="shared" si="86"/>
        <v>0</v>
      </c>
      <c r="T24" s="252">
        <f t="shared" si="86"/>
        <v>0</v>
      </c>
      <c r="U24" s="252">
        <f t="shared" si="86"/>
        <v>0</v>
      </c>
      <c r="V24" s="252">
        <f t="shared" si="86"/>
        <v>0</v>
      </c>
      <c r="W24" s="252">
        <f t="shared" si="86"/>
        <v>0</v>
      </c>
      <c r="X24" s="252">
        <f t="shared" si="86"/>
        <v>0</v>
      </c>
      <c r="Y24" s="252">
        <f t="shared" si="86"/>
        <v>0</v>
      </c>
      <c r="Z24" s="252">
        <f t="shared" si="86"/>
        <v>0</v>
      </c>
      <c r="AA24" s="252">
        <f t="shared" si="86"/>
        <v>0</v>
      </c>
      <c r="AB24" s="252">
        <f t="shared" si="86"/>
        <v>0</v>
      </c>
      <c r="AC24" s="252">
        <f t="shared" si="86"/>
        <v>0</v>
      </c>
      <c r="AD24" s="252">
        <f t="shared" si="86"/>
        <v>0</v>
      </c>
      <c r="AE24" s="252">
        <f t="shared" si="86"/>
        <v>0</v>
      </c>
      <c r="AF24" s="252">
        <f t="shared" si="86"/>
        <v>0</v>
      </c>
      <c r="AG24" s="252">
        <f t="shared" si="86"/>
        <v>0</v>
      </c>
      <c r="AH24" s="252">
        <f t="shared" si="86"/>
        <v>28800</v>
      </c>
      <c r="AI24" s="252">
        <f t="shared" si="86"/>
        <v>28800</v>
      </c>
      <c r="AJ24" s="252">
        <f t="shared" si="86"/>
        <v>43200</v>
      </c>
      <c r="AK24" s="252">
        <f t="shared" si="86"/>
        <v>187200</v>
      </c>
      <c r="AL24" s="252">
        <f t="shared" si="86"/>
        <v>57600</v>
      </c>
      <c r="AM24" s="252">
        <f t="shared" si="86"/>
        <v>43200</v>
      </c>
      <c r="AN24" s="252">
        <f t="shared" si="86"/>
        <v>14400</v>
      </c>
      <c r="AO24" s="252">
        <f t="shared" ref="AO24:BD24" si="87">AO22*AO23</f>
        <v>57600</v>
      </c>
      <c r="AP24" s="252">
        <f t="shared" si="87"/>
        <v>115200</v>
      </c>
      <c r="AQ24" s="252">
        <f t="shared" si="87"/>
        <v>86400</v>
      </c>
      <c r="AR24" s="252">
        <f t="shared" si="87"/>
        <v>0</v>
      </c>
      <c r="AS24" s="252">
        <f t="shared" si="87"/>
        <v>0</v>
      </c>
      <c r="AT24" s="252">
        <f t="shared" si="87"/>
        <v>0</v>
      </c>
      <c r="AU24" s="252">
        <f t="shared" si="87"/>
        <v>0</v>
      </c>
      <c r="AV24" s="252">
        <f t="shared" si="87"/>
        <v>0</v>
      </c>
      <c r="AW24" s="252">
        <f t="shared" si="87"/>
        <v>0</v>
      </c>
      <c r="AX24" s="252">
        <f t="shared" si="87"/>
        <v>0</v>
      </c>
      <c r="AY24" s="252">
        <f t="shared" si="87"/>
        <v>0</v>
      </c>
      <c r="AZ24" s="252">
        <f t="shared" si="87"/>
        <v>0</v>
      </c>
      <c r="BA24" s="252">
        <f t="shared" si="87"/>
        <v>0</v>
      </c>
      <c r="BB24" s="252">
        <f t="shared" si="87"/>
        <v>0</v>
      </c>
      <c r="BC24" s="252">
        <f t="shared" si="87"/>
        <v>0</v>
      </c>
      <c r="BD24" s="252">
        <f t="shared" si="87"/>
        <v>0</v>
      </c>
      <c r="BE24" s="26"/>
      <c r="BF24" s="26" t="s">
        <v>250</v>
      </c>
      <c r="BG24" s="26" t="str">
        <f t="shared" si="37"/>
        <v>Marketing = Expected Revenue of New Opp.</v>
      </c>
      <c r="BH24" s="195">
        <f t="shared" si="52"/>
        <v>0</v>
      </c>
      <c r="BI24" s="195">
        <f t="shared" si="53"/>
        <v>0</v>
      </c>
      <c r="BJ24" s="195">
        <f t="shared" si="54"/>
        <v>0</v>
      </c>
      <c r="BK24" s="304">
        <f t="shared" si="55"/>
        <v>0</v>
      </c>
      <c r="BL24" s="195">
        <f ca="1">IF(BF24="EoP",OFFSET(AR24,0,MONTH('2024 Control'!$C$4)-1),SUM(AR24:OFFSET(AR24,0,MONTH('2024 Control'!$C$4)-1))/IF(BF24="Sum",1,MONTH('2024 Control'!$C$4)))</f>
        <v>0</v>
      </c>
      <c r="BM24" s="304">
        <f t="shared" si="43"/>
        <v>662400</v>
      </c>
    </row>
    <row r="25" spans="2:65">
      <c r="B25" s="26" t="s">
        <v>103</v>
      </c>
      <c r="C25" s="26" t="s">
        <v>256</v>
      </c>
      <c r="D25" s="204" t="str">
        <f t="shared" si="38"/>
        <v>Marketing Mktg sourced pipeline, EoP</v>
      </c>
      <c r="E25" s="26" t="s">
        <v>115</v>
      </c>
      <c r="F25" s="183" t="s">
        <v>253</v>
      </c>
      <c r="G25" s="183" t="s">
        <v>103</v>
      </c>
      <c r="H25" s="225">
        <v>2944783</v>
      </c>
      <c r="I25" s="191">
        <v>2272783</v>
      </c>
      <c r="J25" s="191">
        <v>820000</v>
      </c>
      <c r="K25" s="191">
        <v>700000</v>
      </c>
      <c r="L25" s="225">
        <v>700000</v>
      </c>
      <c r="M25" s="225">
        <v>766000</v>
      </c>
      <c r="N25" s="225">
        <v>918600</v>
      </c>
      <c r="O25" s="225">
        <v>703000</v>
      </c>
      <c r="P25" s="225">
        <v>897500</v>
      </c>
      <c r="Q25" s="225">
        <v>450000</v>
      </c>
      <c r="R25" s="225"/>
      <c r="S25" s="225"/>
      <c r="T25" s="225"/>
      <c r="U25" s="225"/>
      <c r="V25" s="225"/>
      <c r="W25" s="225"/>
      <c r="X25" s="225"/>
      <c r="Y25" s="225"/>
      <c r="Z25" s="225"/>
      <c r="AA25" s="225"/>
      <c r="AB25" s="225"/>
      <c r="AC25" s="225"/>
      <c r="AD25" s="225"/>
      <c r="AE25" s="225"/>
      <c r="AF25" s="225"/>
      <c r="AG25" s="225"/>
      <c r="AH25" s="225"/>
      <c r="AI25" s="225"/>
      <c r="AJ25" s="225"/>
      <c r="AK25" s="225"/>
      <c r="AL25" s="225"/>
      <c r="AM25" s="225"/>
      <c r="AN25" s="225"/>
      <c r="AO25" s="225"/>
      <c r="AP25" s="225"/>
      <c r="AQ25" s="225"/>
      <c r="AR25" s="225"/>
      <c r="AS25" s="225"/>
      <c r="AT25" s="225"/>
      <c r="AU25" s="225"/>
      <c r="AV25" s="225"/>
      <c r="AW25" s="225"/>
      <c r="AX25" s="225"/>
      <c r="AY25" s="225"/>
      <c r="AZ25" s="225"/>
      <c r="BA25" s="225"/>
      <c r="BB25" s="225"/>
      <c r="BC25" s="225"/>
      <c r="BD25" s="225"/>
      <c r="BE25" s="26"/>
      <c r="BF25" s="26" t="s">
        <v>47</v>
      </c>
      <c r="BG25" s="26" t="str">
        <f t="shared" si="37"/>
        <v>Marketing Mktg sourced pipeline, EoP</v>
      </c>
      <c r="BH25" s="195">
        <f t="shared" si="52"/>
        <v>0</v>
      </c>
      <c r="BI25" s="195">
        <f t="shared" si="53"/>
        <v>0</v>
      </c>
      <c r="BJ25" s="195">
        <f t="shared" si="54"/>
        <v>0</v>
      </c>
      <c r="BK25" s="304">
        <f t="shared" si="55"/>
        <v>0</v>
      </c>
      <c r="BL25" s="195">
        <f ca="1">IF(BF25="EoP",OFFSET(AR25,0,MONTH('2024 Control'!$C$4)-1),SUM(AR25:OFFSET(AR25,0,MONTH('2024 Control'!$C$4)-1))/IF(BF25="Sum",1,MONTH('2024 Control'!$C$4)))</f>
        <v>0</v>
      </c>
      <c r="BM25" s="304">
        <f t="shared" si="43"/>
        <v>0</v>
      </c>
    </row>
    <row r="26" spans="2:65">
      <c r="B26" s="26" t="s">
        <v>103</v>
      </c>
      <c r="C26" s="26" t="s">
        <v>256</v>
      </c>
      <c r="D26" s="204" t="str">
        <f t="shared" si="38"/>
        <v>Marketing Mktg sourced Won ARR</v>
      </c>
      <c r="E26" s="26" t="s">
        <v>116</v>
      </c>
      <c r="F26" s="183" t="s">
        <v>253</v>
      </c>
      <c r="G26" s="183" t="s">
        <v>103</v>
      </c>
      <c r="H26" s="226">
        <v>49000</v>
      </c>
      <c r="I26" s="190">
        <v>0</v>
      </c>
      <c r="J26" s="191">
        <v>67000</v>
      </c>
      <c r="K26" s="190">
        <v>0</v>
      </c>
      <c r="L26" s="190">
        <v>0</v>
      </c>
      <c r="M26" s="190">
        <v>0</v>
      </c>
      <c r="N26" s="190">
        <v>0</v>
      </c>
      <c r="O26" s="190">
        <v>0</v>
      </c>
      <c r="P26" s="190">
        <v>0</v>
      </c>
      <c r="Q26" s="190">
        <v>0</v>
      </c>
      <c r="R26" s="190"/>
      <c r="S26" s="190"/>
      <c r="T26" s="190"/>
      <c r="U26" s="190"/>
      <c r="V26" s="190"/>
      <c r="W26" s="190"/>
      <c r="X26" s="190"/>
      <c r="Y26" s="190"/>
      <c r="Z26" s="190"/>
      <c r="AA26" s="190"/>
      <c r="AB26" s="190"/>
      <c r="AC26" s="190"/>
      <c r="AD26" s="190"/>
      <c r="AE26" s="190"/>
      <c r="AF26" s="190"/>
      <c r="AG26" s="225"/>
      <c r="AH26" s="226"/>
      <c r="AI26" s="190"/>
      <c r="AJ26" s="191"/>
      <c r="AK26" s="190"/>
      <c r="AL26" s="190"/>
      <c r="AM26" s="225"/>
      <c r="AN26" s="231"/>
      <c r="AO26" s="190"/>
      <c r="AP26" s="190"/>
      <c r="AQ26" s="190"/>
      <c r="AR26" s="190"/>
      <c r="AS26" s="190"/>
      <c r="AT26" s="190"/>
      <c r="AU26" s="190"/>
      <c r="AV26" s="190"/>
      <c r="AW26" s="190"/>
      <c r="AX26" s="190"/>
      <c r="AY26" s="190"/>
      <c r="AZ26" s="190"/>
      <c r="BA26" s="190"/>
      <c r="BB26" s="190"/>
      <c r="BC26" s="190"/>
      <c r="BD26" s="225"/>
      <c r="BE26" s="26"/>
      <c r="BF26" s="26" t="s">
        <v>250</v>
      </c>
      <c r="BG26" s="26" t="str">
        <f t="shared" si="37"/>
        <v>Marketing Mktg sourced Won ARR</v>
      </c>
      <c r="BH26" s="195">
        <f t="shared" si="52"/>
        <v>0</v>
      </c>
      <c r="BI26" s="195">
        <f t="shared" si="53"/>
        <v>0</v>
      </c>
      <c r="BJ26" s="195">
        <f t="shared" si="54"/>
        <v>0</v>
      </c>
      <c r="BK26" s="304">
        <f t="shared" si="55"/>
        <v>0</v>
      </c>
      <c r="BL26" s="195">
        <f ca="1">IF(BF26="EoP",OFFSET(AR26,0,MONTH('2024 Control'!$C$4)-1),SUM(AR26:OFFSET(AR26,0,MONTH('2024 Control'!$C$4)-1))/IF(BF26="Sum",1,MONTH('2024 Control'!$C$4)))</f>
        <v>0</v>
      </c>
      <c r="BM26" s="304">
        <f t="shared" si="43"/>
        <v>0</v>
      </c>
    </row>
    <row r="27" spans="2:65">
      <c r="B27" s="26" t="s">
        <v>103</v>
      </c>
      <c r="C27" s="26" t="s">
        <v>257</v>
      </c>
      <c r="D27" s="204" t="str">
        <f t="shared" ref="D27:D29" si="88">B27&amp;" "&amp;E27</f>
        <v>Marketing Leads - Digital (Paid)</v>
      </c>
      <c r="E27" s="26" t="s">
        <v>118</v>
      </c>
      <c r="F27" s="183" t="s">
        <v>247</v>
      </c>
      <c r="G27" s="183" t="s">
        <v>103</v>
      </c>
      <c r="H27" s="226"/>
      <c r="I27" s="191"/>
      <c r="J27" s="191"/>
      <c r="K27" s="191"/>
      <c r="L27" s="191"/>
      <c r="M27" s="191"/>
      <c r="N27" s="191"/>
      <c r="O27" s="191"/>
      <c r="P27" s="191"/>
      <c r="Q27" s="191"/>
      <c r="R27" s="191"/>
      <c r="S27" s="191"/>
      <c r="T27" s="191"/>
      <c r="U27" s="191"/>
      <c r="V27" s="191"/>
      <c r="W27" s="191"/>
      <c r="X27" s="191"/>
      <c r="Y27" s="191"/>
      <c r="Z27" s="191"/>
      <c r="AA27" s="191"/>
      <c r="AB27" s="191"/>
      <c r="AC27" s="191"/>
      <c r="AD27" s="191"/>
      <c r="AE27" s="191"/>
      <c r="AF27" s="191">
        <v>0</v>
      </c>
      <c r="AG27" s="191">
        <v>1</v>
      </c>
      <c r="AH27" s="226">
        <v>0</v>
      </c>
      <c r="AI27" s="191">
        <v>1</v>
      </c>
      <c r="AJ27" s="191">
        <v>0</v>
      </c>
      <c r="AK27" s="191">
        <v>1</v>
      </c>
      <c r="AL27" s="191">
        <v>0</v>
      </c>
      <c r="AM27" s="191">
        <v>0</v>
      </c>
      <c r="AN27" s="191">
        <v>0</v>
      </c>
      <c r="AO27" s="191">
        <v>0</v>
      </c>
      <c r="AP27" s="191">
        <v>1</v>
      </c>
      <c r="AQ27" s="191">
        <v>0</v>
      </c>
      <c r="AR27" s="191"/>
      <c r="AS27" s="191"/>
      <c r="AT27" s="191"/>
      <c r="AU27" s="191"/>
      <c r="AV27" s="191"/>
      <c r="AW27" s="191"/>
      <c r="AX27" s="191"/>
      <c r="AY27" s="191"/>
      <c r="AZ27" s="191"/>
      <c r="BA27" s="191"/>
      <c r="BB27" s="191"/>
      <c r="BC27" s="191"/>
      <c r="BD27" s="191"/>
      <c r="BE27" s="26"/>
      <c r="BF27" s="26" t="s">
        <v>250</v>
      </c>
      <c r="BG27" s="26" t="str">
        <f t="shared" si="37"/>
        <v>Marketing Leads - Digital (Paid)</v>
      </c>
      <c r="BH27" s="195">
        <f t="shared" si="52"/>
        <v>0</v>
      </c>
      <c r="BI27" s="195">
        <f t="shared" si="53"/>
        <v>0</v>
      </c>
      <c r="BJ27" s="195">
        <f t="shared" si="54"/>
        <v>0</v>
      </c>
      <c r="BK27" s="304">
        <f t="shared" si="55"/>
        <v>0</v>
      </c>
      <c r="BL27" s="195">
        <f ca="1">IF(BF27="EoP",OFFSET(AR27,0,MONTH('2024 Control'!$C$4)-1),SUM(AR27:OFFSET(AR27,0,MONTH('2024 Control'!$C$4)-1))/IF(BF27="Sum",1,MONTH('2024 Control'!$C$4)))</f>
        <v>0</v>
      </c>
      <c r="BM27" s="304">
        <f t="shared" si="43"/>
        <v>4</v>
      </c>
    </row>
    <row r="28" spans="2:65">
      <c r="B28" s="26" t="s">
        <v>103</v>
      </c>
      <c r="C28" s="26" t="s">
        <v>257</v>
      </c>
      <c r="D28" s="204" t="str">
        <f t="shared" si="88"/>
        <v>Marketing Leads - Digital (Organic)</v>
      </c>
      <c r="E28" s="26" t="s">
        <v>119</v>
      </c>
      <c r="F28" s="183" t="s">
        <v>247</v>
      </c>
      <c r="G28" s="183" t="s">
        <v>103</v>
      </c>
      <c r="H28" s="226"/>
      <c r="I28" s="191"/>
      <c r="J28" s="191"/>
      <c r="K28" s="191"/>
      <c r="L28" s="191"/>
      <c r="M28" s="191"/>
      <c r="N28" s="191"/>
      <c r="O28" s="191"/>
      <c r="P28" s="191"/>
      <c r="Q28" s="191"/>
      <c r="R28" s="191"/>
      <c r="S28" s="191"/>
      <c r="T28" s="191"/>
      <c r="U28" s="191"/>
      <c r="V28" s="191"/>
      <c r="W28" s="191"/>
      <c r="X28" s="191"/>
      <c r="Y28" s="191"/>
      <c r="Z28" s="191"/>
      <c r="AA28" s="191"/>
      <c r="AB28" s="191"/>
      <c r="AC28" s="191"/>
      <c r="AD28" s="191"/>
      <c r="AE28" s="191"/>
      <c r="AF28" s="191"/>
      <c r="AG28" s="191"/>
      <c r="AH28" s="226"/>
      <c r="AI28" s="191"/>
      <c r="AJ28" s="191"/>
      <c r="AK28" s="191"/>
      <c r="AL28" s="191"/>
      <c r="AM28" s="191">
        <v>2</v>
      </c>
      <c r="AN28" s="191">
        <v>1</v>
      </c>
      <c r="AO28" s="191">
        <v>0</v>
      </c>
      <c r="AP28" s="191">
        <v>2</v>
      </c>
      <c r="AQ28" s="191">
        <v>0</v>
      </c>
      <c r="AR28" s="191"/>
      <c r="AS28" s="191"/>
      <c r="AT28" s="191"/>
      <c r="AU28" s="191"/>
      <c r="AV28" s="191"/>
      <c r="AW28" s="191"/>
      <c r="AX28" s="191"/>
      <c r="AY28" s="191"/>
      <c r="AZ28" s="191"/>
      <c r="BA28" s="191"/>
      <c r="BB28" s="191"/>
      <c r="BC28" s="191"/>
      <c r="BD28" s="191"/>
      <c r="BE28" s="26"/>
      <c r="BF28" s="26" t="s">
        <v>250</v>
      </c>
      <c r="BG28" s="26" t="str">
        <f t="shared" si="37"/>
        <v>Marketing Leads - Digital (Organic)</v>
      </c>
      <c r="BH28" s="195">
        <f t="shared" si="52"/>
        <v>0</v>
      </c>
      <c r="BI28" s="195">
        <f t="shared" si="53"/>
        <v>0</v>
      </c>
      <c r="BJ28" s="195">
        <f t="shared" si="54"/>
        <v>0</v>
      </c>
      <c r="BK28" s="304">
        <f t="shared" si="55"/>
        <v>0</v>
      </c>
      <c r="BL28" s="195">
        <f ca="1">IF(BF28="EoP",OFFSET(AR28,0,MONTH('2024 Control'!$C$4)-1),SUM(AR28:OFFSET(AR28,0,MONTH('2024 Control'!$C$4)-1))/IF(BF28="Sum",1,MONTH('2024 Control'!$C$4)))</f>
        <v>0</v>
      </c>
      <c r="BM28" s="304">
        <f t="shared" si="43"/>
        <v>5</v>
      </c>
    </row>
    <row r="29" spans="2:65">
      <c r="B29" s="26" t="s">
        <v>103</v>
      </c>
      <c r="C29" s="26" t="s">
        <v>257</v>
      </c>
      <c r="D29" s="204" t="str">
        <f t="shared" si="88"/>
        <v>Marketing Leads - Events / Conferences</v>
      </c>
      <c r="E29" s="26" t="s">
        <v>120</v>
      </c>
      <c r="F29" s="183" t="s">
        <v>247</v>
      </c>
      <c r="G29" s="183" t="s">
        <v>103</v>
      </c>
      <c r="H29" s="226"/>
      <c r="I29" s="191"/>
      <c r="J29" s="191"/>
      <c r="K29" s="191"/>
      <c r="L29" s="191"/>
      <c r="M29" s="191"/>
      <c r="N29" s="191"/>
      <c r="O29" s="191"/>
      <c r="P29" s="191"/>
      <c r="Q29" s="191"/>
      <c r="R29" s="191"/>
      <c r="S29" s="191"/>
      <c r="T29" s="191"/>
      <c r="U29" s="191"/>
      <c r="V29" s="191"/>
      <c r="W29" s="191"/>
      <c r="X29" s="191"/>
      <c r="Y29" s="191"/>
      <c r="Z29" s="191"/>
      <c r="AA29" s="191"/>
      <c r="AB29" s="191"/>
      <c r="AC29" s="191"/>
      <c r="AD29" s="191"/>
      <c r="AE29" s="191"/>
      <c r="AF29" s="191"/>
      <c r="AG29" s="191">
        <v>1</v>
      </c>
      <c r="AH29" s="226">
        <v>2</v>
      </c>
      <c r="AI29" s="191">
        <v>1</v>
      </c>
      <c r="AJ29" s="191">
        <v>3</v>
      </c>
      <c r="AK29" s="191">
        <v>12</v>
      </c>
      <c r="AL29" s="191"/>
      <c r="AM29" s="191"/>
      <c r="AN29" s="191"/>
      <c r="AO29" s="191"/>
      <c r="AP29" s="191">
        <v>4</v>
      </c>
      <c r="AQ29" s="191">
        <v>3</v>
      </c>
      <c r="AR29" s="191"/>
      <c r="AS29" s="191"/>
      <c r="AT29" s="191"/>
      <c r="AU29" s="191"/>
      <c r="AV29" s="191"/>
      <c r="AW29" s="191"/>
      <c r="AX29" s="191"/>
      <c r="AY29" s="191"/>
      <c r="AZ29" s="191"/>
      <c r="BA29" s="191"/>
      <c r="BB29" s="191"/>
      <c r="BC29" s="191"/>
      <c r="BD29" s="191"/>
      <c r="BE29" s="26"/>
      <c r="BF29" s="26" t="s">
        <v>250</v>
      </c>
      <c r="BG29" s="26" t="str">
        <f t="shared" si="37"/>
        <v>Marketing Leads - Events / Conferences</v>
      </c>
      <c r="BH29" s="195">
        <f t="shared" si="52"/>
        <v>0</v>
      </c>
      <c r="BI29" s="195">
        <f t="shared" si="53"/>
        <v>0</v>
      </c>
      <c r="BJ29" s="195">
        <f t="shared" si="54"/>
        <v>0</v>
      </c>
      <c r="BK29" s="304">
        <f t="shared" si="55"/>
        <v>0</v>
      </c>
      <c r="BL29" s="195">
        <f ca="1">IF(BF29="EoP",OFFSET(AR29,0,MONTH('2024 Control'!$C$4)-1),SUM(AR29:OFFSET(AR29,0,MONTH('2024 Control'!$C$4)-1))/IF(BF29="Sum",1,MONTH('2024 Control'!$C$4)))</f>
        <v>0</v>
      </c>
      <c r="BM29" s="304">
        <f t="shared" si="43"/>
        <v>26</v>
      </c>
    </row>
    <row r="30" spans="2:65">
      <c r="B30" s="26" t="s">
        <v>103</v>
      </c>
      <c r="C30" s="26" t="s">
        <v>257</v>
      </c>
      <c r="D30" s="204" t="str">
        <f t="shared" si="38"/>
        <v>Marketing Leads - Outbound (BDR)</v>
      </c>
      <c r="E30" s="26" t="s">
        <v>121</v>
      </c>
      <c r="F30" s="183" t="s">
        <v>247</v>
      </c>
      <c r="G30" s="183" t="s">
        <v>103</v>
      </c>
      <c r="H30" s="226"/>
      <c r="I30" s="191"/>
      <c r="J30" s="191"/>
      <c r="K30" s="191"/>
      <c r="L30" s="191"/>
      <c r="M30" s="191"/>
      <c r="N30" s="191"/>
      <c r="O30" s="191"/>
      <c r="P30" s="191"/>
      <c r="Q30" s="191"/>
      <c r="R30" s="191"/>
      <c r="S30" s="191"/>
      <c r="T30" s="191"/>
      <c r="U30" s="191"/>
      <c r="V30" s="191"/>
      <c r="W30" s="191"/>
      <c r="X30" s="191"/>
      <c r="Y30" s="191"/>
      <c r="Z30" s="191"/>
      <c r="AA30" s="191"/>
      <c r="AB30" s="191"/>
      <c r="AC30" s="191"/>
      <c r="AD30" s="191"/>
      <c r="AE30" s="191"/>
      <c r="AF30" s="191"/>
      <c r="AG30" s="191"/>
      <c r="AH30" s="226"/>
      <c r="AI30" s="191"/>
      <c r="AJ30" s="191"/>
      <c r="AK30" s="191"/>
      <c r="AL30" s="191"/>
      <c r="AM30" s="191"/>
      <c r="AN30" s="191"/>
      <c r="AO30" s="191"/>
      <c r="AP30" s="191"/>
      <c r="AQ30" s="191"/>
      <c r="AR30" s="191"/>
      <c r="AS30" s="191"/>
      <c r="AT30" s="191"/>
      <c r="AU30" s="191"/>
      <c r="AV30" s="191"/>
      <c r="AW30" s="191"/>
      <c r="AX30" s="191"/>
      <c r="AY30" s="191"/>
      <c r="AZ30" s="191"/>
      <c r="BA30" s="191"/>
      <c r="BB30" s="191"/>
      <c r="BC30" s="191"/>
      <c r="BD30" s="191"/>
      <c r="BE30" s="26"/>
      <c r="BF30" s="26" t="s">
        <v>250</v>
      </c>
      <c r="BG30" s="26" t="str">
        <f t="shared" si="37"/>
        <v>Marketing Leads - Outbound (BDR)</v>
      </c>
      <c r="BH30" s="195">
        <f t="shared" si="52"/>
        <v>0</v>
      </c>
      <c r="BI30" s="195">
        <f t="shared" si="53"/>
        <v>0</v>
      </c>
      <c r="BJ30" s="195">
        <f t="shared" si="54"/>
        <v>0</v>
      </c>
      <c r="BK30" s="304">
        <f t="shared" si="55"/>
        <v>0</v>
      </c>
      <c r="BL30" s="195">
        <f ca="1">IF(BF30="EoP",OFFSET(AR30,0,MONTH('2024 Control'!$C$4)-1),SUM(AR30:OFFSET(AR30,0,MONTH('2024 Control'!$C$4)-1))/IF(BF30="Sum",1,MONTH('2024 Control'!$C$4)))</f>
        <v>0</v>
      </c>
      <c r="BM30" s="304">
        <f t="shared" si="43"/>
        <v>0</v>
      </c>
    </row>
    <row r="31" spans="2:65">
      <c r="B31" s="26" t="s">
        <v>103</v>
      </c>
      <c r="C31" s="26" t="s">
        <v>257</v>
      </c>
      <c r="D31" s="204" t="str">
        <f t="shared" si="38"/>
        <v>Marketing Leads - Other</v>
      </c>
      <c r="E31" s="26" t="s">
        <v>122</v>
      </c>
      <c r="F31" s="183" t="s">
        <v>247</v>
      </c>
      <c r="G31" s="183" t="s">
        <v>103</v>
      </c>
      <c r="H31" s="226"/>
      <c r="I31" s="191"/>
      <c r="J31" s="191"/>
      <c r="K31" s="191"/>
      <c r="L31" s="191"/>
      <c r="M31" s="191"/>
      <c r="N31" s="191"/>
      <c r="O31" s="191"/>
      <c r="P31" s="191"/>
      <c r="Q31" s="191"/>
      <c r="R31" s="191"/>
      <c r="S31" s="191"/>
      <c r="T31" s="191"/>
      <c r="U31" s="191"/>
      <c r="V31" s="191"/>
      <c r="W31" s="191"/>
      <c r="X31" s="191"/>
      <c r="Y31" s="191"/>
      <c r="Z31" s="191"/>
      <c r="AA31" s="191"/>
      <c r="AB31" s="191"/>
      <c r="AC31" s="191"/>
      <c r="AD31" s="191"/>
      <c r="AE31" s="191"/>
      <c r="AF31" s="191"/>
      <c r="AG31" s="191"/>
      <c r="AH31" s="226"/>
      <c r="AI31" s="191"/>
      <c r="AJ31" s="191"/>
      <c r="AK31" s="191"/>
      <c r="AL31" s="191">
        <v>4</v>
      </c>
      <c r="AM31" s="191">
        <v>1</v>
      </c>
      <c r="AN31" s="191">
        <v>0</v>
      </c>
      <c r="AO31" s="191">
        <v>4</v>
      </c>
      <c r="AP31" s="191">
        <v>1</v>
      </c>
      <c r="AQ31" s="191">
        <v>3</v>
      </c>
      <c r="AR31" s="191"/>
      <c r="AS31" s="191"/>
      <c r="AT31" s="191"/>
      <c r="AU31" s="191"/>
      <c r="AV31" s="191"/>
      <c r="AW31" s="191"/>
      <c r="AX31" s="191"/>
      <c r="AY31" s="191"/>
      <c r="AZ31" s="191"/>
      <c r="BA31" s="191"/>
      <c r="BB31" s="191"/>
      <c r="BC31" s="191"/>
      <c r="BD31" s="191"/>
      <c r="BE31" s="26"/>
      <c r="BF31" s="26" t="s">
        <v>250</v>
      </c>
      <c r="BG31" s="26" t="str">
        <f t="shared" si="37"/>
        <v>Marketing Leads - Other</v>
      </c>
      <c r="BH31" s="195">
        <f t="shared" si="52"/>
        <v>0</v>
      </c>
      <c r="BI31" s="195">
        <f t="shared" si="53"/>
        <v>0</v>
      </c>
      <c r="BJ31" s="195">
        <f t="shared" si="54"/>
        <v>0</v>
      </c>
      <c r="BK31" s="304">
        <f t="shared" si="55"/>
        <v>0</v>
      </c>
      <c r="BL31" s="195">
        <f ca="1">IF(BF31="EoP",OFFSET(AR31,0,MONTH('2024 Control'!$C$4)-1),SUM(AR31:OFFSET(AR31,0,MONTH('2024 Control'!$C$4)-1))/IF(BF31="Sum",1,MONTH('2024 Control'!$C$4)))</f>
        <v>0</v>
      </c>
      <c r="BM31" s="304">
        <f t="shared" si="43"/>
        <v>13</v>
      </c>
    </row>
    <row r="32" spans="2:65">
      <c r="B32" s="26" t="s">
        <v>103</v>
      </c>
      <c r="C32" s="26" t="s">
        <v>257</v>
      </c>
      <c r="D32" s="204" t="str">
        <f t="shared" si="38"/>
        <v>Marketing Spend - Digital (Paid)</v>
      </c>
      <c r="E32" s="26" t="s">
        <v>123</v>
      </c>
      <c r="F32" s="183" t="s">
        <v>253</v>
      </c>
      <c r="G32" s="183" t="s">
        <v>103</v>
      </c>
      <c r="H32" s="226"/>
      <c r="I32" s="191"/>
      <c r="J32" s="191"/>
      <c r="K32" s="191"/>
      <c r="L32" s="191"/>
      <c r="M32" s="191"/>
      <c r="N32" s="191"/>
      <c r="O32" s="191"/>
      <c r="P32" s="191"/>
      <c r="Q32" s="191"/>
      <c r="R32" s="191"/>
      <c r="S32" s="191"/>
      <c r="T32" s="191"/>
      <c r="U32" s="191"/>
      <c r="V32" s="191"/>
      <c r="W32" s="191"/>
      <c r="X32" s="191"/>
      <c r="Y32" s="191"/>
      <c r="Z32" s="191"/>
      <c r="AA32" s="191"/>
      <c r="AB32" s="191"/>
      <c r="AC32" s="191"/>
      <c r="AD32" s="191"/>
      <c r="AE32" s="191"/>
      <c r="AF32" s="191">
        <v>196.95</v>
      </c>
      <c r="AG32" s="191">
        <v>0</v>
      </c>
      <c r="AH32" s="225">
        <v>500</v>
      </c>
      <c r="AI32" s="225">
        <v>544.91999999999996</v>
      </c>
      <c r="AJ32" s="225">
        <v>608.74</v>
      </c>
      <c r="AK32" s="225">
        <v>598.78</v>
      </c>
      <c r="AL32" s="225">
        <v>608.86</v>
      </c>
      <c r="AM32" s="225">
        <v>609.24</v>
      </c>
      <c r="AN32" s="191">
        <v>596.59</v>
      </c>
      <c r="AO32" s="191">
        <v>608.52</v>
      </c>
      <c r="AP32" s="191">
        <v>607.64</v>
      </c>
      <c r="AQ32" s="191"/>
      <c r="AR32" s="191"/>
      <c r="AS32" s="191"/>
      <c r="AT32" s="191"/>
      <c r="AU32" s="191"/>
      <c r="AV32" s="191"/>
      <c r="AW32" s="191"/>
      <c r="AX32" s="191"/>
      <c r="AY32" s="191"/>
      <c r="AZ32" s="191"/>
      <c r="BA32" s="191"/>
      <c r="BB32" s="191"/>
      <c r="BC32" s="191"/>
      <c r="BD32" s="191"/>
      <c r="BE32" s="26"/>
      <c r="BF32" s="26" t="s">
        <v>250</v>
      </c>
      <c r="BG32" s="26" t="str">
        <f t="shared" si="37"/>
        <v>Marketing Spend - Digital (Paid)</v>
      </c>
      <c r="BH32" s="195">
        <f t="shared" si="52"/>
        <v>0</v>
      </c>
      <c r="BI32" s="195">
        <f t="shared" si="53"/>
        <v>0</v>
      </c>
      <c r="BJ32" s="195">
        <f t="shared" si="54"/>
        <v>0</v>
      </c>
      <c r="BK32" s="304">
        <f t="shared" si="55"/>
        <v>0</v>
      </c>
      <c r="BL32" s="195">
        <f ca="1">IF(BF32="EoP",OFFSET(AR32,0,MONTH('2024 Control'!$C$4)-1),SUM(AR32:OFFSET(AR32,0,MONTH('2024 Control'!$C$4)-1))/IF(BF32="Sum",1,MONTH('2024 Control'!$C$4)))</f>
        <v>0</v>
      </c>
      <c r="BM32" s="304">
        <f t="shared" si="43"/>
        <v>5283.29</v>
      </c>
    </row>
    <row r="33" spans="2:65">
      <c r="B33" s="26" t="s">
        <v>103</v>
      </c>
      <c r="C33" s="26" t="s">
        <v>257</v>
      </c>
      <c r="D33" s="204" t="str">
        <f t="shared" si="38"/>
        <v>Marketing Spend - Digital (Organic)</v>
      </c>
      <c r="E33" s="26" t="s">
        <v>124</v>
      </c>
      <c r="F33" s="183" t="s">
        <v>253</v>
      </c>
      <c r="G33" s="183" t="s">
        <v>103</v>
      </c>
      <c r="H33" s="226"/>
      <c r="I33" s="191"/>
      <c r="J33" s="191"/>
      <c r="K33" s="191"/>
      <c r="L33" s="191"/>
      <c r="M33" s="191"/>
      <c r="N33" s="191"/>
      <c r="O33" s="191"/>
      <c r="P33" s="191"/>
      <c r="Q33" s="191"/>
      <c r="R33" s="191"/>
      <c r="S33" s="191"/>
      <c r="T33" s="191"/>
      <c r="U33" s="191"/>
      <c r="V33" s="191"/>
      <c r="W33" s="191"/>
      <c r="X33" s="191"/>
      <c r="Y33" s="191"/>
      <c r="Z33" s="191"/>
      <c r="AA33" s="191"/>
      <c r="AB33" s="191"/>
      <c r="AC33" s="191"/>
      <c r="AD33" s="191"/>
      <c r="AE33" s="191"/>
      <c r="AF33" s="191"/>
      <c r="AG33" s="191"/>
      <c r="AH33" s="231"/>
      <c r="AI33" s="191"/>
      <c r="AJ33" s="191"/>
      <c r="AK33" s="225"/>
      <c r="AL33" s="225"/>
      <c r="AM33" s="225"/>
      <c r="AN33" s="191"/>
      <c r="AO33" s="191"/>
      <c r="AP33" s="191"/>
      <c r="AQ33" s="191"/>
      <c r="AR33" s="191"/>
      <c r="AS33" s="191"/>
      <c r="AT33" s="191"/>
      <c r="AU33" s="191"/>
      <c r="AV33" s="191"/>
      <c r="AW33" s="191"/>
      <c r="AX33" s="191"/>
      <c r="AY33" s="191"/>
      <c r="AZ33" s="191"/>
      <c r="BA33" s="191"/>
      <c r="BB33" s="191"/>
      <c r="BC33" s="191"/>
      <c r="BD33" s="191"/>
      <c r="BE33" s="26"/>
      <c r="BF33" s="26" t="s">
        <v>250</v>
      </c>
      <c r="BG33" s="26" t="str">
        <f t="shared" si="37"/>
        <v>Marketing Spend - Digital (Organic)</v>
      </c>
      <c r="BH33" s="195">
        <f t="shared" si="52"/>
        <v>0</v>
      </c>
      <c r="BI33" s="195">
        <f t="shared" si="53"/>
        <v>0</v>
      </c>
      <c r="BJ33" s="195">
        <f t="shared" si="54"/>
        <v>0</v>
      </c>
      <c r="BK33" s="304">
        <f t="shared" si="55"/>
        <v>0</v>
      </c>
      <c r="BL33" s="195">
        <f ca="1">IF(BF33="EoP",OFFSET(AR33,0,MONTH('2024 Control'!$C$4)-1),SUM(AR33:OFFSET(AR33,0,MONTH('2024 Control'!$C$4)-1))/IF(BF33="Sum",1,MONTH('2024 Control'!$C$4)))</f>
        <v>0</v>
      </c>
      <c r="BM33" s="304">
        <f t="shared" si="43"/>
        <v>0</v>
      </c>
    </row>
    <row r="34" spans="2:65">
      <c r="B34" s="26" t="s">
        <v>103</v>
      </c>
      <c r="C34" s="26" t="s">
        <v>257</v>
      </c>
      <c r="D34" s="204" t="str">
        <f t="shared" si="38"/>
        <v>Marketing Spend - Events / Conferences</v>
      </c>
      <c r="E34" s="26" t="s">
        <v>125</v>
      </c>
      <c r="F34" s="183" t="s">
        <v>253</v>
      </c>
      <c r="G34" s="183" t="s">
        <v>103</v>
      </c>
      <c r="H34" s="226"/>
      <c r="I34" s="191"/>
      <c r="J34" s="191"/>
      <c r="K34" s="191"/>
      <c r="L34" s="191"/>
      <c r="M34" s="191"/>
      <c r="N34" s="191"/>
      <c r="O34" s="191"/>
      <c r="P34" s="191"/>
      <c r="Q34" s="191"/>
      <c r="R34" s="191"/>
      <c r="S34" s="191"/>
      <c r="T34" s="191"/>
      <c r="U34" s="191"/>
      <c r="V34" s="191"/>
      <c r="W34" s="191"/>
      <c r="X34" s="191"/>
      <c r="Y34" s="191"/>
      <c r="Z34" s="191"/>
      <c r="AA34" s="191"/>
      <c r="AB34" s="191"/>
      <c r="AC34" s="191"/>
      <c r="AD34" s="191"/>
      <c r="AE34" s="191"/>
      <c r="AF34" s="191">
        <v>20000</v>
      </c>
      <c r="AG34" s="191">
        <v>0</v>
      </c>
      <c r="AH34" s="231">
        <v>5000</v>
      </c>
      <c r="AI34" s="191">
        <v>0</v>
      </c>
      <c r="AJ34" s="231">
        <v>18500</v>
      </c>
      <c r="AK34" s="225">
        <v>32000</v>
      </c>
      <c r="AL34" s="225">
        <v>10000</v>
      </c>
      <c r="AM34" s="225">
        <v>3000</v>
      </c>
      <c r="AN34" s="191">
        <v>0</v>
      </c>
      <c r="AO34" s="191">
        <v>8000</v>
      </c>
      <c r="AP34" s="191">
        <v>0</v>
      </c>
      <c r="AQ34" s="191">
        <v>8500</v>
      </c>
      <c r="AR34" s="191"/>
      <c r="AS34" s="191"/>
      <c r="AT34" s="191"/>
      <c r="AU34" s="191"/>
      <c r="AV34" s="191"/>
      <c r="AW34" s="191"/>
      <c r="AX34" s="191"/>
      <c r="AY34" s="191"/>
      <c r="AZ34" s="191"/>
      <c r="BA34" s="191"/>
      <c r="BB34" s="191"/>
      <c r="BC34" s="191"/>
      <c r="BD34" s="191"/>
      <c r="BE34" s="26"/>
      <c r="BF34" s="26" t="s">
        <v>250</v>
      </c>
      <c r="BG34" s="26" t="str">
        <f t="shared" si="37"/>
        <v>Marketing Spend - Events / Conferences</v>
      </c>
      <c r="BH34" s="195">
        <f t="shared" si="52"/>
        <v>0</v>
      </c>
      <c r="BI34" s="195">
        <f t="shared" si="53"/>
        <v>0</v>
      </c>
      <c r="BJ34" s="195">
        <f t="shared" si="54"/>
        <v>0</v>
      </c>
      <c r="BK34" s="304">
        <f t="shared" si="55"/>
        <v>0</v>
      </c>
      <c r="BL34" s="195">
        <f ca="1">IF(BF34="EoP",OFFSET(AR34,0,MONTH('2024 Control'!$C$4)-1),SUM(AR34:OFFSET(AR34,0,MONTH('2024 Control'!$C$4)-1))/IF(BF34="Sum",1,MONTH('2024 Control'!$C$4)))</f>
        <v>0</v>
      </c>
      <c r="BM34" s="304">
        <f t="shared" si="43"/>
        <v>85000</v>
      </c>
    </row>
    <row r="35" spans="2:65">
      <c r="B35" s="26" t="s">
        <v>103</v>
      </c>
      <c r="C35" s="26" t="s">
        <v>257</v>
      </c>
      <c r="D35" s="204" t="str">
        <f t="shared" ref="D35:D36" si="89">B35&amp;" "&amp;E35</f>
        <v>Marketing Spend - Outbound (BDR)</v>
      </c>
      <c r="E35" s="26" t="s">
        <v>126</v>
      </c>
      <c r="F35" s="183" t="s">
        <v>253</v>
      </c>
      <c r="G35" s="183" t="s">
        <v>103</v>
      </c>
      <c r="H35" s="226"/>
      <c r="I35" s="191"/>
      <c r="J35" s="191"/>
      <c r="K35" s="191"/>
      <c r="L35" s="191"/>
      <c r="M35" s="191"/>
      <c r="N35" s="191"/>
      <c r="O35" s="191"/>
      <c r="P35" s="191"/>
      <c r="Q35" s="191"/>
      <c r="R35" s="191"/>
      <c r="S35" s="191"/>
      <c r="T35" s="191"/>
      <c r="U35" s="191"/>
      <c r="V35" s="191"/>
      <c r="W35" s="191"/>
      <c r="X35" s="191"/>
      <c r="Y35" s="191"/>
      <c r="Z35" s="191"/>
      <c r="AA35" s="191"/>
      <c r="AB35" s="191"/>
      <c r="AC35" s="191"/>
      <c r="AD35" s="191"/>
      <c r="AE35" s="191"/>
      <c r="AF35" s="191"/>
      <c r="AG35" s="191"/>
      <c r="AH35" s="225"/>
      <c r="AI35" s="225"/>
      <c r="AJ35" s="225"/>
      <c r="AK35" s="225"/>
      <c r="AL35" s="225"/>
      <c r="AM35" s="225"/>
      <c r="AN35" s="191"/>
      <c r="AO35" s="191"/>
      <c r="AP35" s="191"/>
      <c r="AQ35" s="191"/>
      <c r="AR35" s="191"/>
      <c r="AS35" s="191"/>
      <c r="AT35" s="191"/>
      <c r="AU35" s="191"/>
      <c r="AV35" s="191"/>
      <c r="AW35" s="191"/>
      <c r="AX35" s="191"/>
      <c r="AY35" s="191"/>
      <c r="AZ35" s="191"/>
      <c r="BA35" s="191"/>
      <c r="BB35" s="191"/>
      <c r="BC35" s="191"/>
      <c r="BD35" s="191"/>
      <c r="BE35" s="26"/>
      <c r="BF35" s="26" t="s">
        <v>250</v>
      </c>
      <c r="BG35" s="26" t="str">
        <f t="shared" ref="BG35:BG66" si="90">D35</f>
        <v>Marketing Spend - Outbound (BDR)</v>
      </c>
      <c r="BH35" s="195">
        <f t="shared" si="52"/>
        <v>0</v>
      </c>
      <c r="BI35" s="195">
        <f t="shared" si="53"/>
        <v>0</v>
      </c>
      <c r="BJ35" s="195">
        <f t="shared" si="54"/>
        <v>0</v>
      </c>
      <c r="BK35" s="304">
        <f t="shared" si="55"/>
        <v>0</v>
      </c>
      <c r="BL35" s="195">
        <f ca="1">IF(BF35="EoP",OFFSET(AR35,0,MONTH('2024 Control'!$C$4)-1),SUM(AR35:OFFSET(AR35,0,MONTH('2024 Control'!$C$4)-1))/IF(BF35="Sum",1,MONTH('2024 Control'!$C$4)))</f>
        <v>0</v>
      </c>
      <c r="BM35" s="304">
        <f t="shared" si="43"/>
        <v>0</v>
      </c>
    </row>
    <row r="36" spans="2:65">
      <c r="B36" s="26" t="s">
        <v>103</v>
      </c>
      <c r="C36" s="26" t="s">
        <v>257</v>
      </c>
      <c r="D36" s="204" t="str">
        <f t="shared" si="89"/>
        <v>Marketing Spend - Other</v>
      </c>
      <c r="E36" s="26" t="s">
        <v>127</v>
      </c>
      <c r="F36" s="183" t="s">
        <v>253</v>
      </c>
      <c r="G36" s="183" t="s">
        <v>103</v>
      </c>
      <c r="H36" s="226"/>
      <c r="I36" s="191"/>
      <c r="J36" s="191"/>
      <c r="K36" s="191"/>
      <c r="L36" s="191"/>
      <c r="M36" s="191"/>
      <c r="N36" s="191"/>
      <c r="O36" s="191"/>
      <c r="P36" s="191"/>
      <c r="Q36" s="191"/>
      <c r="R36" s="191"/>
      <c r="S36" s="191"/>
      <c r="T36" s="191"/>
      <c r="U36" s="191"/>
      <c r="V36" s="191"/>
      <c r="W36" s="191"/>
      <c r="X36" s="191"/>
      <c r="Y36" s="191"/>
      <c r="Z36" s="191"/>
      <c r="AA36" s="191"/>
      <c r="AB36" s="191"/>
      <c r="AC36" s="191"/>
      <c r="AD36" s="191"/>
      <c r="AE36" s="191"/>
      <c r="AF36" s="191">
        <v>890</v>
      </c>
      <c r="AG36" s="191">
        <v>890</v>
      </c>
      <c r="AH36" s="231">
        <v>890</v>
      </c>
      <c r="AI36" s="191">
        <v>890</v>
      </c>
      <c r="AJ36" s="191">
        <v>890</v>
      </c>
      <c r="AK36" s="191">
        <v>890</v>
      </c>
      <c r="AL36" s="191">
        <v>890</v>
      </c>
      <c r="AM36" s="191">
        <v>890</v>
      </c>
      <c r="AN36" s="191">
        <v>890</v>
      </c>
      <c r="AO36" s="191">
        <v>890</v>
      </c>
      <c r="AP36" s="191">
        <v>890</v>
      </c>
      <c r="AQ36" s="191">
        <v>890</v>
      </c>
      <c r="AR36" s="191"/>
      <c r="AS36" s="191"/>
      <c r="AT36" s="191"/>
      <c r="AU36" s="191"/>
      <c r="AV36" s="191"/>
      <c r="AW36" s="191"/>
      <c r="AX36" s="191"/>
      <c r="AY36" s="191"/>
      <c r="AZ36" s="191"/>
      <c r="BA36" s="191"/>
      <c r="BB36" s="191"/>
      <c r="BC36" s="191"/>
      <c r="BD36" s="191"/>
      <c r="BE36" s="26"/>
      <c r="BF36" s="26" t="s">
        <v>250</v>
      </c>
      <c r="BG36" s="26" t="str">
        <f t="shared" si="90"/>
        <v>Marketing Spend - Other</v>
      </c>
      <c r="BH36" s="195">
        <f t="shared" si="52"/>
        <v>0</v>
      </c>
      <c r="BI36" s="195">
        <f t="shared" si="53"/>
        <v>0</v>
      </c>
      <c r="BJ36" s="195">
        <f t="shared" si="54"/>
        <v>0</v>
      </c>
      <c r="BK36" s="304">
        <f t="shared" si="55"/>
        <v>0</v>
      </c>
      <c r="BL36" s="195">
        <f ca="1">IF(BF36="EoP",OFFSET(AR36,0,MONTH('2024 Control'!$C$4)-1),SUM(AR36:OFFSET(AR36,0,MONTH('2024 Control'!$C$4)-1))/IF(BF36="Sum",1,MONTH('2024 Control'!$C$4)))</f>
        <v>0</v>
      </c>
      <c r="BM36" s="304">
        <f t="shared" si="43"/>
        <v>9790</v>
      </c>
    </row>
    <row r="37" spans="2:65">
      <c r="B37" s="26" t="s">
        <v>103</v>
      </c>
      <c r="C37" s="26" t="s">
        <v>57</v>
      </c>
      <c r="D37" s="204" t="str">
        <f t="shared" si="38"/>
        <v>Marketing Headcount</v>
      </c>
      <c r="E37" s="26" t="s">
        <v>97</v>
      </c>
      <c r="F37" s="183" t="s">
        <v>247</v>
      </c>
      <c r="G37" s="183" t="s">
        <v>4</v>
      </c>
      <c r="H37" s="160">
        <v>2</v>
      </c>
      <c r="I37" s="191">
        <v>2</v>
      </c>
      <c r="J37" s="191">
        <v>2</v>
      </c>
      <c r="K37" s="191">
        <v>2</v>
      </c>
      <c r="L37" s="191">
        <v>2</v>
      </c>
      <c r="M37" s="191">
        <v>2</v>
      </c>
      <c r="N37" s="191">
        <v>2</v>
      </c>
      <c r="O37" s="191">
        <v>2</v>
      </c>
      <c r="P37" s="191">
        <v>2</v>
      </c>
      <c r="Q37" s="191">
        <v>2</v>
      </c>
      <c r="R37" s="191"/>
      <c r="S37" s="191"/>
      <c r="T37" s="191"/>
      <c r="U37" s="191"/>
      <c r="V37" s="191"/>
      <c r="W37" s="191"/>
      <c r="X37" s="191"/>
      <c r="Y37" s="191"/>
      <c r="Z37" s="191"/>
      <c r="AA37" s="191"/>
      <c r="AB37" s="191"/>
      <c r="AC37" s="191"/>
      <c r="AD37" s="191"/>
      <c r="AE37" s="191"/>
      <c r="AF37" s="191">
        <v>0</v>
      </c>
      <c r="AG37" s="191">
        <v>0</v>
      </c>
      <c r="AH37" s="160">
        <v>0</v>
      </c>
      <c r="AI37" s="191">
        <v>0</v>
      </c>
      <c r="AJ37" s="191">
        <v>0</v>
      </c>
      <c r="AK37" s="191">
        <v>1</v>
      </c>
      <c r="AL37" s="191">
        <v>1</v>
      </c>
      <c r="AM37" s="191">
        <v>1</v>
      </c>
      <c r="AN37" s="191">
        <v>1</v>
      </c>
      <c r="AO37" s="191">
        <v>1</v>
      </c>
      <c r="AP37" s="191">
        <v>1</v>
      </c>
      <c r="AQ37" s="191">
        <v>1</v>
      </c>
      <c r="AR37" s="191">
        <v>1</v>
      </c>
      <c r="AS37" s="191"/>
      <c r="AT37" s="191"/>
      <c r="AU37" s="191"/>
      <c r="AV37" s="191"/>
      <c r="AW37" s="191"/>
      <c r="AX37" s="191"/>
      <c r="AY37" s="191"/>
      <c r="AZ37" s="191"/>
      <c r="BA37" s="191"/>
      <c r="BB37" s="191"/>
      <c r="BC37" s="191"/>
      <c r="BD37" s="191"/>
      <c r="BE37" s="26"/>
      <c r="BF37" s="26" t="s">
        <v>47</v>
      </c>
      <c r="BG37" s="26" t="str">
        <f t="shared" si="90"/>
        <v>Marketing Headcount</v>
      </c>
      <c r="BH37" s="195">
        <f t="shared" si="52"/>
        <v>0</v>
      </c>
      <c r="BI37" s="195">
        <f t="shared" si="53"/>
        <v>0</v>
      </c>
      <c r="BJ37" s="195">
        <f t="shared" si="54"/>
        <v>0</v>
      </c>
      <c r="BK37" s="304">
        <f t="shared" si="55"/>
        <v>0</v>
      </c>
      <c r="BL37" s="195">
        <f ca="1">IF(BF37="EoP",OFFSET(AR37,0,MONTH('2024 Control'!$C$4)-1),SUM(AR37:OFFSET(AR37,0,MONTH('2024 Control'!$C$4)-1))/IF(BF37="Sum",1,MONTH('2024 Control'!$C$4)))</f>
        <v>0</v>
      </c>
      <c r="BM37" s="304">
        <f t="shared" si="43"/>
        <v>1</v>
      </c>
    </row>
    <row r="38" spans="2:65">
      <c r="B38" s="26" t="s">
        <v>103</v>
      </c>
      <c r="C38" s="26" t="s">
        <v>57</v>
      </c>
      <c r="D38" s="204" t="str">
        <f t="shared" si="38"/>
        <v>Marketing Mktg expense</v>
      </c>
      <c r="E38" s="26" t="s">
        <v>133</v>
      </c>
      <c r="F38" s="183" t="s">
        <v>253</v>
      </c>
      <c r="G38" s="183" t="s">
        <v>4</v>
      </c>
      <c r="H38" s="252">
        <f>-H109</f>
        <v>78031.94</v>
      </c>
      <c r="I38" s="252">
        <f t="shared" ref="I38:M38" si="91">-I109</f>
        <v>32094.639999999999</v>
      </c>
      <c r="J38" s="252">
        <f t="shared" si="91"/>
        <v>30347.64</v>
      </c>
      <c r="K38" s="252">
        <f t="shared" si="91"/>
        <v>41967.63</v>
      </c>
      <c r="L38" s="252">
        <f t="shared" si="91"/>
        <v>39689.32</v>
      </c>
      <c r="M38" s="252">
        <f t="shared" si="91"/>
        <v>55421.7</v>
      </c>
      <c r="N38" s="252">
        <f t="shared" ref="N38:O38" si="92">-N109</f>
        <v>38982.490000000005</v>
      </c>
      <c r="O38" s="252">
        <f t="shared" si="92"/>
        <v>56691.509999999995</v>
      </c>
      <c r="P38" s="252">
        <f t="shared" ref="P38:AF38" si="93">-P109</f>
        <v>94428.05</v>
      </c>
      <c r="Q38" s="252">
        <f t="shared" si="93"/>
        <v>78576.52</v>
      </c>
      <c r="R38" s="252">
        <f t="shared" ref="R38:AE38" si="94">-R109</f>
        <v>0</v>
      </c>
      <c r="S38" s="252">
        <f t="shared" si="94"/>
        <v>0</v>
      </c>
      <c r="T38" s="252">
        <f t="shared" si="94"/>
        <v>0</v>
      </c>
      <c r="U38" s="252">
        <f t="shared" si="94"/>
        <v>0</v>
      </c>
      <c r="V38" s="252">
        <f t="shared" si="94"/>
        <v>0</v>
      </c>
      <c r="W38" s="252">
        <f t="shared" si="94"/>
        <v>0</v>
      </c>
      <c r="X38" s="252">
        <f t="shared" si="94"/>
        <v>0</v>
      </c>
      <c r="Y38" s="252">
        <f t="shared" si="94"/>
        <v>0</v>
      </c>
      <c r="Z38" s="252">
        <f t="shared" si="94"/>
        <v>0</v>
      </c>
      <c r="AA38" s="252">
        <f t="shared" si="94"/>
        <v>0</v>
      </c>
      <c r="AB38" s="252">
        <f t="shared" si="94"/>
        <v>0</v>
      </c>
      <c r="AC38" s="252">
        <f t="shared" si="94"/>
        <v>0</v>
      </c>
      <c r="AD38" s="252">
        <f t="shared" si="94"/>
        <v>0</v>
      </c>
      <c r="AE38" s="252">
        <f t="shared" si="94"/>
        <v>0</v>
      </c>
      <c r="AF38" s="252">
        <f t="shared" si="93"/>
        <v>71648.460000000006</v>
      </c>
      <c r="AG38" s="252">
        <f t="shared" ref="AG38:AI38" si="95">-AG109</f>
        <v>72364.944600000003</v>
      </c>
      <c r="AH38" s="252">
        <f t="shared" si="95"/>
        <v>73088.594045999998</v>
      </c>
      <c r="AI38" s="252">
        <f t="shared" si="95"/>
        <v>73819.479986459992</v>
      </c>
      <c r="AJ38" s="252">
        <f t="shared" ref="AJ38:AL38" si="96">-AJ109</f>
        <v>74557.674786324598</v>
      </c>
      <c r="AK38" s="252">
        <f t="shared" si="96"/>
        <v>75303.251534187846</v>
      </c>
      <c r="AL38" s="252">
        <f t="shared" si="96"/>
        <v>76056.284049529728</v>
      </c>
      <c r="AM38" s="252">
        <f t="shared" ref="AM38:AN38" si="97">-AM109</f>
        <v>76816.84689002503</v>
      </c>
      <c r="AN38" s="252">
        <f t="shared" si="97"/>
        <v>77585.015358925273</v>
      </c>
      <c r="AO38" s="252">
        <f t="shared" ref="AO38:BD38" si="98">-AO109</f>
        <v>78360.865512514531</v>
      </c>
      <c r="AP38" s="252">
        <f t="shared" si="98"/>
        <v>79144.474167639681</v>
      </c>
      <c r="AQ38" s="252">
        <f t="shared" si="98"/>
        <v>79935.918909316082</v>
      </c>
      <c r="AR38" s="252">
        <f t="shared" si="98"/>
        <v>80735.278098409239</v>
      </c>
      <c r="AS38" s="252">
        <f t="shared" ref="AS38:BC38" si="99">-AS109</f>
        <v>81542.630879393328</v>
      </c>
      <c r="AT38" s="252">
        <f t="shared" si="99"/>
        <v>82358.05718818726</v>
      </c>
      <c r="AU38" s="252">
        <f t="shared" si="99"/>
        <v>0</v>
      </c>
      <c r="AV38" s="252">
        <f t="shared" si="99"/>
        <v>0</v>
      </c>
      <c r="AW38" s="252">
        <f t="shared" si="99"/>
        <v>0</v>
      </c>
      <c r="AX38" s="252">
        <f t="shared" si="99"/>
        <v>0</v>
      </c>
      <c r="AY38" s="252">
        <f t="shared" si="99"/>
        <v>0</v>
      </c>
      <c r="AZ38" s="252">
        <f t="shared" si="99"/>
        <v>0</v>
      </c>
      <c r="BA38" s="252">
        <f t="shared" si="99"/>
        <v>0</v>
      </c>
      <c r="BB38" s="252">
        <f t="shared" si="99"/>
        <v>0</v>
      </c>
      <c r="BC38" s="252">
        <f t="shared" si="99"/>
        <v>0</v>
      </c>
      <c r="BD38" s="252">
        <f t="shared" si="98"/>
        <v>0</v>
      </c>
      <c r="BE38" s="26"/>
      <c r="BF38" s="26" t="s">
        <v>250</v>
      </c>
      <c r="BG38" s="26" t="str">
        <f t="shared" si="90"/>
        <v>Marketing Mktg expense</v>
      </c>
      <c r="BH38" s="195">
        <f t="shared" si="52"/>
        <v>244635.96616598981</v>
      </c>
      <c r="BI38" s="195">
        <f t="shared" si="53"/>
        <v>0</v>
      </c>
      <c r="BJ38" s="195">
        <f t="shared" si="54"/>
        <v>0</v>
      </c>
      <c r="BK38" s="304">
        <f t="shared" si="55"/>
        <v>0</v>
      </c>
      <c r="BL38" s="195">
        <f ca="1">IF(BF38="EoP",OFFSET(AR38,0,MONTH('2024 Control'!$C$4)-1),SUM(AR38:OFFSET(AR38,0,MONTH('2024 Control'!$C$4)-1))/IF(BF38="Sum",1,MONTH('2024 Control'!$C$4)))</f>
        <v>244635.96616598981</v>
      </c>
      <c r="BM38" s="304">
        <f t="shared" si="43"/>
        <v>917768.62793933181</v>
      </c>
    </row>
    <row r="39" spans="2:65">
      <c r="B39" s="26" t="s">
        <v>103</v>
      </c>
      <c r="C39" s="26" t="s">
        <v>57</v>
      </c>
      <c r="D39" s="204" t="str">
        <f t="shared" si="38"/>
        <v>Marketing Mktg exp. per $1 ARR</v>
      </c>
      <c r="E39" s="26" t="s">
        <v>134</v>
      </c>
      <c r="F39" s="183" t="s">
        <v>253</v>
      </c>
      <c r="G39" s="183" t="s">
        <v>4</v>
      </c>
      <c r="H39" s="284">
        <f>H38/H26</f>
        <v>1.5924885714285715</v>
      </c>
      <c r="I39" s="284" t="str">
        <f t="shared" ref="I39:M39" si="100">IFERROR(I38/I$40,"-")</f>
        <v>-</v>
      </c>
      <c r="J39" s="284">
        <f t="shared" si="100"/>
        <v>0.45294985074626865</v>
      </c>
      <c r="K39" s="284">
        <f t="shared" si="100"/>
        <v>6.7148207999999991</v>
      </c>
      <c r="L39" s="284" t="str">
        <f t="shared" si="100"/>
        <v>-</v>
      </c>
      <c r="M39" s="284">
        <f t="shared" si="100"/>
        <v>0.25770942317081674</v>
      </c>
      <c r="N39" s="284" t="str">
        <f t="shared" ref="N39:O39" si="101">IFERROR(N38/N$40,"-")</f>
        <v>-</v>
      </c>
      <c r="O39" s="284">
        <f t="shared" si="101"/>
        <v>0.15620077698793189</v>
      </c>
      <c r="P39" s="284">
        <f t="shared" ref="P39:AF39" si="102">IFERROR(P38/P$40,"-")</f>
        <v>9.4428049999999999</v>
      </c>
      <c r="Q39" s="284" t="str">
        <f t="shared" si="102"/>
        <v>-</v>
      </c>
      <c r="R39" s="284" t="str">
        <f t="shared" ref="R39:AE39" si="103">IFERROR(R38/R$40,"-")</f>
        <v>-</v>
      </c>
      <c r="S39" s="284" t="str">
        <f t="shared" si="103"/>
        <v>-</v>
      </c>
      <c r="T39" s="284" t="str">
        <f t="shared" si="103"/>
        <v>-</v>
      </c>
      <c r="U39" s="284" t="str">
        <f t="shared" si="103"/>
        <v>-</v>
      </c>
      <c r="V39" s="284" t="str">
        <f t="shared" si="103"/>
        <v>-</v>
      </c>
      <c r="W39" s="284" t="str">
        <f t="shared" si="103"/>
        <v>-</v>
      </c>
      <c r="X39" s="284" t="str">
        <f t="shared" si="103"/>
        <v>-</v>
      </c>
      <c r="Y39" s="284" t="str">
        <f t="shared" si="103"/>
        <v>-</v>
      </c>
      <c r="Z39" s="284" t="str">
        <f t="shared" si="103"/>
        <v>-</v>
      </c>
      <c r="AA39" s="284" t="str">
        <f t="shared" si="103"/>
        <v>-</v>
      </c>
      <c r="AB39" s="284" t="str">
        <f t="shared" si="103"/>
        <v>-</v>
      </c>
      <c r="AC39" s="284" t="str">
        <f t="shared" si="103"/>
        <v>-</v>
      </c>
      <c r="AD39" s="284" t="str">
        <f t="shared" si="103"/>
        <v>-</v>
      </c>
      <c r="AE39" s="284" t="str">
        <f t="shared" si="103"/>
        <v>-</v>
      </c>
      <c r="AF39" s="284" t="str">
        <f t="shared" si="102"/>
        <v>-</v>
      </c>
      <c r="AG39" s="284" t="str">
        <f t="shared" ref="AG39:AI39" si="104">IFERROR(AG38/AG$40,"-")</f>
        <v>-</v>
      </c>
      <c r="AH39" s="284" t="str">
        <f t="shared" si="104"/>
        <v>-</v>
      </c>
      <c r="AI39" s="284" t="str">
        <f t="shared" si="104"/>
        <v>-</v>
      </c>
      <c r="AJ39" s="284" t="str">
        <f t="shared" ref="AJ39:AL39" si="105">IFERROR(AJ38/AJ$40,"-")</f>
        <v>-</v>
      </c>
      <c r="AK39" s="284">
        <f t="shared" si="105"/>
        <v>0.81408920577500377</v>
      </c>
      <c r="AL39" s="284">
        <f t="shared" si="105"/>
        <v>3.8028142024764864</v>
      </c>
      <c r="AM39" s="284">
        <f t="shared" ref="AM39:AN39" si="106">IFERROR(AM38/AM$40,"-")</f>
        <v>0.96021058612531285</v>
      </c>
      <c r="AN39" s="284">
        <f t="shared" si="106"/>
        <v>5.1723343572616844</v>
      </c>
      <c r="AO39" s="284">
        <f t="shared" ref="AO39:BD39" si="107">IFERROR(AO38/AO$40,"-")</f>
        <v>15.672173102502907</v>
      </c>
      <c r="AP39" s="284">
        <f t="shared" si="107"/>
        <v>10.552596555685291</v>
      </c>
      <c r="AQ39" s="284">
        <f>IFERROR(AQ38/AQ$40,"-")</f>
        <v>0.47722936662278259</v>
      </c>
      <c r="AR39" s="284" t="str">
        <f>IFERROR(AR38/AR$40,"-")</f>
        <v>-</v>
      </c>
      <c r="AS39" s="284" t="str">
        <f>IFERROR(AS38/AS$40,"-")</f>
        <v>-</v>
      </c>
      <c r="AT39" s="284" t="str">
        <f t="shared" ref="AT39:BC39" si="108">IFERROR(AT38/AT$40,"-")</f>
        <v>-</v>
      </c>
      <c r="AU39" s="284" t="str">
        <f t="shared" si="108"/>
        <v>-</v>
      </c>
      <c r="AV39" s="284" t="str">
        <f t="shared" si="108"/>
        <v>-</v>
      </c>
      <c r="AW39" s="284" t="str">
        <f t="shared" si="108"/>
        <v>-</v>
      </c>
      <c r="AX39" s="284" t="str">
        <f t="shared" si="108"/>
        <v>-</v>
      </c>
      <c r="AY39" s="284" t="str">
        <f t="shared" si="108"/>
        <v>-</v>
      </c>
      <c r="AZ39" s="284" t="str">
        <f t="shared" si="108"/>
        <v>-</v>
      </c>
      <c r="BA39" s="284" t="str">
        <f t="shared" si="108"/>
        <v>-</v>
      </c>
      <c r="BB39" s="284" t="str">
        <f t="shared" si="108"/>
        <v>-</v>
      </c>
      <c r="BC39" s="284" t="str">
        <f t="shared" si="108"/>
        <v>-</v>
      </c>
      <c r="BD39" s="284" t="str">
        <f t="shared" si="107"/>
        <v>-</v>
      </c>
      <c r="BE39" s="26"/>
      <c r="BG39" s="26" t="str">
        <f t="shared" si="90"/>
        <v>Marketing Mktg exp. per $1 ARR</v>
      </c>
      <c r="BH39" s="198" t="str">
        <f>IFERROR(BH38/BH40,"-")</f>
        <v>-</v>
      </c>
      <c r="BI39" s="198" t="str">
        <f t="shared" ref="BI39:BK39" si="109">IFERROR(BI38/BI40,"-")</f>
        <v>-</v>
      </c>
      <c r="BJ39" s="198" t="str">
        <f t="shared" si="109"/>
        <v>-</v>
      </c>
      <c r="BK39" s="198" t="str">
        <f t="shared" si="109"/>
        <v>-</v>
      </c>
      <c r="BL39" s="195">
        <f ca="1">IF(BF39="EoP",OFFSET(AH39,0,MONTH('2024 Control'!$C$4)-1),SUM(AH39:OFFSET(AH39,0,MONTH('2024 Control'!$C$4)-1))/IF(BF39="Sum",1,MONTH('2024 Control'!$C$4)))</f>
        <v>3.1209539480374553</v>
      </c>
      <c r="BM39" s="304" t="str">
        <f t="shared" si="43"/>
        <v/>
      </c>
    </row>
    <row r="40" spans="2:65">
      <c r="B40" s="26" t="s">
        <v>65</v>
      </c>
      <c r="C40" s="26" t="s">
        <v>66</v>
      </c>
      <c r="D40" s="204" t="str">
        <f t="shared" si="38"/>
        <v>Sales New Logo ARR ($)</v>
      </c>
      <c r="E40" s="26" t="s">
        <v>67</v>
      </c>
      <c r="F40" s="183" t="s">
        <v>253</v>
      </c>
      <c r="G40" s="183" t="s">
        <v>65</v>
      </c>
      <c r="H40" s="225">
        <v>49000</v>
      </c>
      <c r="I40" s="225">
        <v>0</v>
      </c>
      <c r="J40" s="225">
        <v>67000</v>
      </c>
      <c r="K40" s="225">
        <v>6250</v>
      </c>
      <c r="L40" s="225">
        <v>0</v>
      </c>
      <c r="M40" s="225">
        <v>215055</v>
      </c>
      <c r="N40" s="225">
        <v>0</v>
      </c>
      <c r="O40" s="225">
        <v>362940</v>
      </c>
      <c r="P40" s="225">
        <v>10000</v>
      </c>
      <c r="Q40" s="225">
        <v>0</v>
      </c>
      <c r="R40" s="225"/>
      <c r="S40" s="225"/>
      <c r="T40" s="225"/>
      <c r="U40" s="225"/>
      <c r="V40" s="225"/>
      <c r="W40" s="225"/>
      <c r="X40" s="225"/>
      <c r="Y40" s="225"/>
      <c r="Z40" s="225"/>
      <c r="AA40" s="225"/>
      <c r="AB40" s="225"/>
      <c r="AC40" s="225"/>
      <c r="AD40" s="225"/>
      <c r="AE40" s="225"/>
      <c r="AF40" s="225"/>
      <c r="AG40" s="225"/>
      <c r="AH40" s="225"/>
      <c r="AI40" s="225"/>
      <c r="AJ40" s="225"/>
      <c r="AK40" s="225">
        <v>92500</v>
      </c>
      <c r="AL40" s="225">
        <v>20000</v>
      </c>
      <c r="AM40" s="225">
        <v>80000</v>
      </c>
      <c r="AN40" s="225">
        <v>15000</v>
      </c>
      <c r="AO40" s="225">
        <v>5000</v>
      </c>
      <c r="AP40" s="225">
        <v>7500</v>
      </c>
      <c r="AQ40" s="225">
        <v>167500</v>
      </c>
      <c r="AR40" s="225"/>
      <c r="AS40" s="225"/>
      <c r="AT40" s="225"/>
      <c r="AU40" s="225"/>
      <c r="AV40" s="225"/>
      <c r="AW40" s="225"/>
      <c r="AX40" s="225"/>
      <c r="AY40" s="225"/>
      <c r="AZ40" s="225"/>
      <c r="BA40" s="225"/>
      <c r="BB40" s="225"/>
      <c r="BC40" s="225"/>
      <c r="BD40" s="225"/>
      <c r="BE40" s="26"/>
      <c r="BF40" s="26" t="s">
        <v>250</v>
      </c>
      <c r="BG40" s="26" t="str">
        <f t="shared" si="90"/>
        <v>Sales New Logo ARR ($)</v>
      </c>
      <c r="BH40" s="195">
        <f t="shared" ref="BH40:BH47" si="110">IF($BF40="Sum",SUM(AR40:AT40),IF($BF40="Average",IFERROR(AVERAGE(AR40:AT40),"-"),IF($BF40="EoP",AT40,"ERROR")))</f>
        <v>0</v>
      </c>
      <c r="BI40" s="195">
        <f t="shared" ref="BI40:BI47" si="111">IF($BF40="Sum",SUM(AU40:AW40),IF($BF40="Average",IFERROR(AVERAGE(AU40:AW40),"-"),IF($BF40="EoP",AW40,"ERROR")))</f>
        <v>0</v>
      </c>
      <c r="BJ40" s="195">
        <f t="shared" ref="BJ40:BJ47" si="112">IF($BF40="Sum",SUM(AX40:AZ40),IF($BF40="Average",IFERROR(AVERAGE(AX40:AZ40),"-"),IF($BF40="EoP",AZ40,"ERROR")))</f>
        <v>0</v>
      </c>
      <c r="BK40" s="304">
        <f t="shared" ref="BK40:BK47" si="113">IF($BF40="Sum",SUM(BA40:BC40),IF($BF40="Average",IFERROR(AVERAGE(BA40:BC40),"-"),IF($BF40="EoP",BC40,"ERROR")))</f>
        <v>0</v>
      </c>
      <c r="BL40" s="195">
        <f ca="1">IF(BF40="EoP",OFFSET(AR40,0,MONTH('2024 Control'!$C$4)-1),SUM(AR40:OFFSET(AR40,0,MONTH('2024 Control'!$C$4)-1))/IF(BF40="Sum",1,MONTH('2024 Control'!$C$4)))</f>
        <v>0</v>
      </c>
      <c r="BM40" s="304">
        <f t="shared" si="43"/>
        <v>387500</v>
      </c>
    </row>
    <row r="41" spans="2:65">
      <c r="B41" s="26" t="s">
        <v>65</v>
      </c>
      <c r="C41" s="26" t="s">
        <v>68</v>
      </c>
      <c r="D41" s="204" t="str">
        <f t="shared" si="38"/>
        <v>Sales Sales Generated Opps.</v>
      </c>
      <c r="E41" s="26" t="s">
        <v>69</v>
      </c>
      <c r="F41" s="183" t="s">
        <v>247</v>
      </c>
      <c r="G41" s="183" t="s">
        <v>65</v>
      </c>
      <c r="H41" s="160">
        <v>3</v>
      </c>
      <c r="I41" s="191">
        <v>1</v>
      </c>
      <c r="J41" s="191">
        <v>2</v>
      </c>
      <c r="K41" s="191">
        <v>7</v>
      </c>
      <c r="L41" s="191">
        <v>12</v>
      </c>
      <c r="M41" s="191">
        <v>3</v>
      </c>
      <c r="N41" s="191">
        <f>3+2</f>
        <v>5</v>
      </c>
      <c r="O41" s="191">
        <f>2+2</f>
        <v>4</v>
      </c>
      <c r="P41" s="191">
        <v>1</v>
      </c>
      <c r="Q41" s="191">
        <v>0</v>
      </c>
      <c r="R41" s="191"/>
      <c r="S41" s="191"/>
      <c r="T41" s="191"/>
      <c r="U41" s="191"/>
      <c r="V41" s="191"/>
      <c r="W41" s="191"/>
      <c r="X41" s="191"/>
      <c r="Y41" s="191"/>
      <c r="Z41" s="191"/>
      <c r="AA41" s="191"/>
      <c r="AB41" s="191"/>
      <c r="AC41" s="191"/>
      <c r="AD41" s="191"/>
      <c r="AE41" s="191"/>
      <c r="AF41" s="191"/>
      <c r="AG41" s="191"/>
      <c r="AH41" s="160"/>
      <c r="AI41" s="191"/>
      <c r="AJ41" s="191"/>
      <c r="AK41" s="191"/>
      <c r="AL41" s="191"/>
      <c r="AM41" s="191"/>
      <c r="AN41" s="191"/>
      <c r="AO41" s="191"/>
      <c r="AP41" s="191"/>
      <c r="AQ41" s="191">
        <v>64</v>
      </c>
      <c r="AR41" s="191"/>
      <c r="AS41" s="191"/>
      <c r="AT41" s="191"/>
      <c r="AU41" s="191"/>
      <c r="AV41" s="191"/>
      <c r="AW41" s="191"/>
      <c r="AX41" s="191"/>
      <c r="AY41" s="191"/>
      <c r="AZ41" s="191"/>
      <c r="BA41" s="191"/>
      <c r="BB41" s="191"/>
      <c r="BC41" s="191"/>
      <c r="BD41" s="191"/>
      <c r="BE41" s="26"/>
      <c r="BF41" s="26" t="s">
        <v>250</v>
      </c>
      <c r="BG41" s="26" t="str">
        <f t="shared" si="90"/>
        <v>Sales Sales Generated Opps.</v>
      </c>
      <c r="BH41" s="195">
        <f t="shared" si="110"/>
        <v>0</v>
      </c>
      <c r="BI41" s="195">
        <f t="shared" si="111"/>
        <v>0</v>
      </c>
      <c r="BJ41" s="195">
        <f t="shared" si="112"/>
        <v>0</v>
      </c>
      <c r="BK41" s="304">
        <f t="shared" si="113"/>
        <v>0</v>
      </c>
      <c r="BL41" s="195">
        <f ca="1">IF(BF41="EoP",OFFSET(AR41,0,MONTH('2024 Control'!$C$4)-1),SUM(AR41:OFFSET(AR41,0,MONTH('2024 Control'!$C$4)-1))/IF(BF41="Sum",1,MONTH('2024 Control'!$C$4)))</f>
        <v>0</v>
      </c>
      <c r="BM41" s="304">
        <f t="shared" si="43"/>
        <v>64</v>
      </c>
    </row>
    <row r="42" spans="2:65">
      <c r="B42" s="26" t="s">
        <v>65</v>
      </c>
      <c r="C42" s="26" t="s">
        <v>68</v>
      </c>
      <c r="D42" s="204" t="str">
        <f t="shared" ref="D42:D72" si="114">B42&amp;" "&amp;E42</f>
        <v>Sales Marketing Generated Opps.</v>
      </c>
      <c r="E42" s="26" t="s">
        <v>70</v>
      </c>
      <c r="F42" s="183" t="s">
        <v>247</v>
      </c>
      <c r="G42" s="183" t="s">
        <v>65</v>
      </c>
      <c r="H42" s="160">
        <v>5</v>
      </c>
      <c r="I42" s="191">
        <v>1</v>
      </c>
      <c r="J42" s="191">
        <v>2</v>
      </c>
      <c r="K42" s="191">
        <v>0</v>
      </c>
      <c r="L42" s="191">
        <v>3</v>
      </c>
      <c r="M42" s="191">
        <v>7</v>
      </c>
      <c r="N42" s="191">
        <f>3+1</f>
        <v>4</v>
      </c>
      <c r="O42" s="191">
        <v>2</v>
      </c>
      <c r="P42" s="191">
        <v>3</v>
      </c>
      <c r="Q42" s="191">
        <v>3</v>
      </c>
      <c r="R42" s="191"/>
      <c r="S42" s="191"/>
      <c r="T42" s="191"/>
      <c r="U42" s="191"/>
      <c r="V42" s="191"/>
      <c r="W42" s="191"/>
      <c r="X42" s="191"/>
      <c r="Y42" s="191"/>
      <c r="Z42" s="191"/>
      <c r="AA42" s="191"/>
      <c r="AB42" s="191"/>
      <c r="AC42" s="191"/>
      <c r="AD42" s="191"/>
      <c r="AE42" s="191"/>
      <c r="AF42" s="191">
        <v>0</v>
      </c>
      <c r="AG42" s="191">
        <v>2</v>
      </c>
      <c r="AH42" s="160">
        <v>2</v>
      </c>
      <c r="AI42" s="191">
        <v>2</v>
      </c>
      <c r="AJ42" s="191">
        <v>3</v>
      </c>
      <c r="AK42" s="191">
        <v>13</v>
      </c>
      <c r="AL42" s="191">
        <v>4</v>
      </c>
      <c r="AM42" s="191">
        <v>3</v>
      </c>
      <c r="AN42" s="191">
        <v>1</v>
      </c>
      <c r="AO42" s="191">
        <v>4</v>
      </c>
      <c r="AP42" s="191">
        <v>8</v>
      </c>
      <c r="AQ42" s="191">
        <v>6</v>
      </c>
      <c r="AR42" s="191"/>
      <c r="AS42" s="191"/>
      <c r="AT42" s="191"/>
      <c r="AU42" s="191"/>
      <c r="AV42" s="191"/>
      <c r="AW42" s="191"/>
      <c r="AX42" s="191"/>
      <c r="AY42" s="191"/>
      <c r="AZ42" s="191"/>
      <c r="BA42" s="191"/>
      <c r="BB42" s="191"/>
      <c r="BC42" s="191"/>
      <c r="BD42" s="191"/>
      <c r="BE42" s="26"/>
      <c r="BF42" s="26" t="s">
        <v>250</v>
      </c>
      <c r="BG42" s="26" t="str">
        <f t="shared" si="90"/>
        <v>Sales Marketing Generated Opps.</v>
      </c>
      <c r="BH42" s="195">
        <f t="shared" si="110"/>
        <v>0</v>
      </c>
      <c r="BI42" s="195">
        <f t="shared" si="111"/>
        <v>0</v>
      </c>
      <c r="BJ42" s="195">
        <f t="shared" si="112"/>
        <v>0</v>
      </c>
      <c r="BK42" s="304">
        <f t="shared" si="113"/>
        <v>0</v>
      </c>
      <c r="BL42" s="195">
        <f ca="1">IF(BF42="EoP",OFFSET(AR42,0,MONTH('2024 Control'!$C$4)-1),SUM(AR42:OFFSET(AR42,0,MONTH('2024 Control'!$C$4)-1))/IF(BF42="Sum",1,MONTH('2024 Control'!$C$4)))</f>
        <v>0</v>
      </c>
      <c r="BM42" s="304">
        <f t="shared" si="43"/>
        <v>48</v>
      </c>
    </row>
    <row r="43" spans="2:65">
      <c r="B43" s="26" t="s">
        <v>65</v>
      </c>
      <c r="C43" s="26" t="s">
        <v>68</v>
      </c>
      <c r="D43" s="204" t="str">
        <f t="shared" si="114"/>
        <v>Sales Referral Generated Opps.</v>
      </c>
      <c r="E43" s="26" t="s">
        <v>71</v>
      </c>
      <c r="F43" s="183" t="s">
        <v>247</v>
      </c>
      <c r="G43" s="183" t="s">
        <v>65</v>
      </c>
      <c r="H43" s="160">
        <v>2</v>
      </c>
      <c r="I43" s="191">
        <v>0</v>
      </c>
      <c r="J43" s="191">
        <v>2</v>
      </c>
      <c r="K43" s="191">
        <v>0</v>
      </c>
      <c r="L43" s="191">
        <v>3</v>
      </c>
      <c r="M43" s="191">
        <v>1</v>
      </c>
      <c r="N43" s="191">
        <v>3</v>
      </c>
      <c r="O43" s="191">
        <f>1+1</f>
        <v>2</v>
      </c>
      <c r="P43" s="191">
        <v>0</v>
      </c>
      <c r="Q43" s="191">
        <v>1</v>
      </c>
      <c r="R43" s="191"/>
      <c r="S43" s="191"/>
      <c r="T43" s="191"/>
      <c r="U43" s="191"/>
      <c r="V43" s="191"/>
      <c r="W43" s="191"/>
      <c r="X43" s="191"/>
      <c r="Y43" s="191"/>
      <c r="Z43" s="191"/>
      <c r="AA43" s="191"/>
      <c r="AB43" s="191"/>
      <c r="AC43" s="191"/>
      <c r="AD43" s="191"/>
      <c r="AE43" s="191"/>
      <c r="AF43" s="191"/>
      <c r="AG43" s="191"/>
      <c r="AH43" s="160"/>
      <c r="AI43" s="191"/>
      <c r="AJ43" s="191"/>
      <c r="AK43" s="191"/>
      <c r="AL43" s="191"/>
      <c r="AM43" s="191"/>
      <c r="AN43" s="191"/>
      <c r="AO43" s="191"/>
      <c r="AP43" s="191"/>
      <c r="AQ43" s="191">
        <v>61</v>
      </c>
      <c r="AR43" s="191"/>
      <c r="AS43" s="191"/>
      <c r="AT43" s="191"/>
      <c r="AU43" s="191"/>
      <c r="AV43" s="191"/>
      <c r="AW43" s="191"/>
      <c r="AX43" s="191"/>
      <c r="AY43" s="191"/>
      <c r="AZ43" s="191"/>
      <c r="BA43" s="191"/>
      <c r="BB43" s="191"/>
      <c r="BC43" s="191"/>
      <c r="BD43" s="191"/>
      <c r="BE43" s="26"/>
      <c r="BF43" s="26" t="s">
        <v>250</v>
      </c>
      <c r="BG43" s="26" t="str">
        <f t="shared" si="90"/>
        <v>Sales Referral Generated Opps.</v>
      </c>
      <c r="BH43" s="195">
        <f t="shared" si="110"/>
        <v>0</v>
      </c>
      <c r="BI43" s="195">
        <f t="shared" si="111"/>
        <v>0</v>
      </c>
      <c r="BJ43" s="195">
        <f t="shared" si="112"/>
        <v>0</v>
      </c>
      <c r="BK43" s="304">
        <f t="shared" si="113"/>
        <v>0</v>
      </c>
      <c r="BL43" s="195">
        <f ca="1">IF(BF43="EoP",OFFSET(AR43,0,MONTH('2024 Control'!$C$4)-1),SUM(AR43:OFFSET(AR43,0,MONTH('2024 Control'!$C$4)-1))/IF(BF43="Sum",1,MONTH('2024 Control'!$C$4)))</f>
        <v>0</v>
      </c>
      <c r="BM43" s="304">
        <f t="shared" si="43"/>
        <v>61</v>
      </c>
    </row>
    <row r="44" spans="2:65">
      <c r="B44" s="26" t="s">
        <v>65</v>
      </c>
      <c r="C44" s="26" t="s">
        <v>68</v>
      </c>
      <c r="D44" s="204" t="str">
        <f t="shared" si="114"/>
        <v>Sales New Pipeline Opportunities</v>
      </c>
      <c r="E44" s="26" t="s">
        <v>72</v>
      </c>
      <c r="F44" s="183" t="s">
        <v>247</v>
      </c>
      <c r="G44" s="183" t="s">
        <v>65</v>
      </c>
      <c r="H44" s="161">
        <f t="shared" ref="H44:BD44" si="115">SUM(H41:H43)</f>
        <v>10</v>
      </c>
      <c r="I44" s="161">
        <f t="shared" si="115"/>
        <v>2</v>
      </c>
      <c r="J44" s="161">
        <f t="shared" si="115"/>
        <v>6</v>
      </c>
      <c r="K44" s="161">
        <f t="shared" si="115"/>
        <v>7</v>
      </c>
      <c r="L44" s="161">
        <f t="shared" si="115"/>
        <v>18</v>
      </c>
      <c r="M44" s="161">
        <f t="shared" si="115"/>
        <v>11</v>
      </c>
      <c r="N44" s="161">
        <f t="shared" si="115"/>
        <v>12</v>
      </c>
      <c r="O44" s="161">
        <f t="shared" si="115"/>
        <v>8</v>
      </c>
      <c r="P44" s="161">
        <f t="shared" si="115"/>
        <v>4</v>
      </c>
      <c r="Q44" s="161">
        <f t="shared" si="115"/>
        <v>4</v>
      </c>
      <c r="R44" s="161">
        <f t="shared" si="115"/>
        <v>0</v>
      </c>
      <c r="S44" s="161">
        <f t="shared" si="115"/>
        <v>0</v>
      </c>
      <c r="T44" s="161">
        <f t="shared" si="115"/>
        <v>0</v>
      </c>
      <c r="U44" s="161">
        <f t="shared" si="115"/>
        <v>0</v>
      </c>
      <c r="V44" s="161">
        <f t="shared" si="115"/>
        <v>0</v>
      </c>
      <c r="W44" s="161">
        <f t="shared" si="115"/>
        <v>0</v>
      </c>
      <c r="X44" s="161">
        <f t="shared" si="115"/>
        <v>0</v>
      </c>
      <c r="Y44" s="161">
        <f t="shared" si="115"/>
        <v>0</v>
      </c>
      <c r="Z44" s="161">
        <f t="shared" si="115"/>
        <v>0</v>
      </c>
      <c r="AA44" s="161">
        <f t="shared" si="115"/>
        <v>0</v>
      </c>
      <c r="AB44" s="161">
        <f t="shared" si="115"/>
        <v>0</v>
      </c>
      <c r="AC44" s="161">
        <f t="shared" si="115"/>
        <v>0</v>
      </c>
      <c r="AD44" s="161">
        <f t="shared" si="115"/>
        <v>0</v>
      </c>
      <c r="AE44" s="161">
        <f t="shared" si="115"/>
        <v>0</v>
      </c>
      <c r="AF44" s="161">
        <f t="shared" ref="AF44:AQ44" si="116">SUM(AF41:AF43)</f>
        <v>0</v>
      </c>
      <c r="AG44" s="161">
        <f t="shared" si="116"/>
        <v>2</v>
      </c>
      <c r="AH44" s="161">
        <f t="shared" si="116"/>
        <v>2</v>
      </c>
      <c r="AI44" s="161">
        <f t="shared" si="116"/>
        <v>2</v>
      </c>
      <c r="AJ44" s="161">
        <f t="shared" si="116"/>
        <v>3</v>
      </c>
      <c r="AK44" s="161">
        <f t="shared" si="116"/>
        <v>13</v>
      </c>
      <c r="AL44" s="161">
        <f t="shared" si="116"/>
        <v>4</v>
      </c>
      <c r="AM44" s="161">
        <f t="shared" si="116"/>
        <v>3</v>
      </c>
      <c r="AN44" s="161">
        <f t="shared" si="116"/>
        <v>1</v>
      </c>
      <c r="AO44" s="161">
        <f t="shared" si="116"/>
        <v>4</v>
      </c>
      <c r="AP44" s="161">
        <f t="shared" si="116"/>
        <v>8</v>
      </c>
      <c r="AQ44" s="161">
        <f t="shared" si="116"/>
        <v>131</v>
      </c>
      <c r="AR44" s="161">
        <f t="shared" si="115"/>
        <v>0</v>
      </c>
      <c r="AS44" s="161">
        <f t="shared" si="115"/>
        <v>0</v>
      </c>
      <c r="AT44" s="161">
        <f t="shared" si="115"/>
        <v>0</v>
      </c>
      <c r="AU44" s="161">
        <f t="shared" si="115"/>
        <v>0</v>
      </c>
      <c r="AV44" s="161">
        <f t="shared" si="115"/>
        <v>0</v>
      </c>
      <c r="AW44" s="161">
        <f t="shared" si="115"/>
        <v>0</v>
      </c>
      <c r="AX44" s="161">
        <f t="shared" si="115"/>
        <v>0</v>
      </c>
      <c r="AY44" s="161">
        <f t="shared" si="115"/>
        <v>0</v>
      </c>
      <c r="AZ44" s="161">
        <f t="shared" si="115"/>
        <v>0</v>
      </c>
      <c r="BA44" s="161">
        <f t="shared" si="115"/>
        <v>0</v>
      </c>
      <c r="BB44" s="161">
        <f t="shared" si="115"/>
        <v>0</v>
      </c>
      <c r="BC44" s="161">
        <f t="shared" si="115"/>
        <v>0</v>
      </c>
      <c r="BD44" s="161">
        <f t="shared" si="115"/>
        <v>0</v>
      </c>
      <c r="BE44" s="26"/>
      <c r="BF44" s="26" t="s">
        <v>250</v>
      </c>
      <c r="BG44" s="26" t="str">
        <f t="shared" si="90"/>
        <v>Sales New Pipeline Opportunities</v>
      </c>
      <c r="BH44" s="195">
        <f t="shared" si="110"/>
        <v>0</v>
      </c>
      <c r="BI44" s="195">
        <f t="shared" si="111"/>
        <v>0</v>
      </c>
      <c r="BJ44" s="195">
        <f t="shared" si="112"/>
        <v>0</v>
      </c>
      <c r="BK44" s="304">
        <f t="shared" si="113"/>
        <v>0</v>
      </c>
      <c r="BL44" s="195">
        <f ca="1">IF(BF44="EoP",OFFSET(AR44,0,MONTH('2024 Control'!$C$4)-1),SUM(AR44:OFFSET(AR44,0,MONTH('2024 Control'!$C$4)-1))/IF(BF44="Sum",1,MONTH('2024 Control'!$C$4)))</f>
        <v>0</v>
      </c>
      <c r="BM44" s="304">
        <f t="shared" si="43"/>
        <v>173</v>
      </c>
    </row>
    <row r="45" spans="2:65">
      <c r="B45" s="26" t="s">
        <v>65</v>
      </c>
      <c r="C45" s="26" t="s">
        <v>68</v>
      </c>
      <c r="D45" s="204" t="str">
        <f t="shared" si="114"/>
        <v>Sales Won</v>
      </c>
      <c r="E45" s="26" t="s">
        <v>73</v>
      </c>
      <c r="F45" s="183" t="s">
        <v>247</v>
      </c>
      <c r="G45" s="183" t="s">
        <v>65</v>
      </c>
      <c r="H45" s="160">
        <v>1</v>
      </c>
      <c r="I45" s="191">
        <v>0</v>
      </c>
      <c r="J45" s="191">
        <v>1</v>
      </c>
      <c r="K45" s="191">
        <v>0</v>
      </c>
      <c r="L45" s="191">
        <v>0</v>
      </c>
      <c r="M45" s="191">
        <v>1</v>
      </c>
      <c r="N45" s="191">
        <v>0</v>
      </c>
      <c r="O45" s="191">
        <v>2</v>
      </c>
      <c r="P45" s="191">
        <v>0</v>
      </c>
      <c r="Q45" s="191">
        <v>0</v>
      </c>
      <c r="R45" s="191"/>
      <c r="S45" s="191"/>
      <c r="T45" s="191"/>
      <c r="U45" s="191"/>
      <c r="V45" s="191"/>
      <c r="W45" s="191"/>
      <c r="X45" s="191"/>
      <c r="Y45" s="191"/>
      <c r="Z45" s="191"/>
      <c r="AA45" s="191"/>
      <c r="AB45" s="191"/>
      <c r="AC45" s="191"/>
      <c r="AD45" s="191"/>
      <c r="AE45" s="191"/>
      <c r="AF45" s="191">
        <v>0</v>
      </c>
      <c r="AG45" s="191">
        <v>0</v>
      </c>
      <c r="AH45" s="160">
        <v>0</v>
      </c>
      <c r="AI45" s="191">
        <v>0</v>
      </c>
      <c r="AJ45" s="191">
        <v>0</v>
      </c>
      <c r="AK45" s="191">
        <v>4</v>
      </c>
      <c r="AL45" s="191">
        <v>4</v>
      </c>
      <c r="AM45" s="191">
        <v>3</v>
      </c>
      <c r="AN45" s="191">
        <v>2</v>
      </c>
      <c r="AO45" s="191">
        <v>1</v>
      </c>
      <c r="AP45" s="191">
        <v>2</v>
      </c>
      <c r="AQ45" s="191">
        <v>6</v>
      </c>
      <c r="AR45" s="191"/>
      <c r="AS45" s="191"/>
      <c r="AT45" s="191"/>
      <c r="AU45" s="191"/>
      <c r="AV45" s="191"/>
      <c r="AW45" s="191"/>
      <c r="AX45" s="191"/>
      <c r="AY45" s="191"/>
      <c r="AZ45" s="191"/>
      <c r="BA45" s="191"/>
      <c r="BB45" s="191"/>
      <c r="BC45" s="191"/>
      <c r="BD45" s="191"/>
      <c r="BE45" s="26"/>
      <c r="BF45" s="26" t="s">
        <v>250</v>
      </c>
      <c r="BG45" s="26" t="str">
        <f t="shared" si="90"/>
        <v>Sales Won</v>
      </c>
      <c r="BH45" s="195">
        <f t="shared" si="110"/>
        <v>0</v>
      </c>
      <c r="BI45" s="195">
        <f t="shared" si="111"/>
        <v>0</v>
      </c>
      <c r="BJ45" s="195">
        <f t="shared" si="112"/>
        <v>0</v>
      </c>
      <c r="BK45" s="304">
        <f t="shared" si="113"/>
        <v>0</v>
      </c>
      <c r="BL45" s="195">
        <f ca="1">IF(BF45="EoP",OFFSET(AR45,0,MONTH('2024 Control'!$C$4)-1),SUM(AR45:OFFSET(AR45,0,MONTH('2024 Control'!$C$4)-1))/IF(BF45="Sum",1,MONTH('2024 Control'!$C$4)))</f>
        <v>0</v>
      </c>
      <c r="BM45" s="304">
        <f t="shared" si="43"/>
        <v>22</v>
      </c>
    </row>
    <row r="46" spans="2:65">
      <c r="B46" s="26" t="s">
        <v>65</v>
      </c>
      <c r="C46" s="26" t="s">
        <v>68</v>
      </c>
      <c r="D46" s="204" t="str">
        <f t="shared" si="114"/>
        <v>Sales Lost + Nurture</v>
      </c>
      <c r="E46" s="26" t="s">
        <v>74</v>
      </c>
      <c r="F46" s="183" t="s">
        <v>247</v>
      </c>
      <c r="G46" s="183" t="s">
        <v>65</v>
      </c>
      <c r="H46" s="160">
        <v>4</v>
      </c>
      <c r="I46" s="160">
        <v>8</v>
      </c>
      <c r="J46" s="160">
        <v>19</v>
      </c>
      <c r="K46" s="160">
        <v>3</v>
      </c>
      <c r="L46" s="160">
        <v>3</v>
      </c>
      <c r="M46" s="160">
        <v>11</v>
      </c>
      <c r="N46" s="191">
        <v>6</v>
      </c>
      <c r="O46" s="160">
        <f>7+4</f>
        <v>11</v>
      </c>
      <c r="P46" s="160">
        <v>6</v>
      </c>
      <c r="Q46" s="160">
        <v>18</v>
      </c>
      <c r="R46" s="160"/>
      <c r="S46" s="160"/>
      <c r="T46" s="160"/>
      <c r="U46" s="160"/>
      <c r="V46" s="160"/>
      <c r="W46" s="160"/>
      <c r="X46" s="160"/>
      <c r="Y46" s="160"/>
      <c r="Z46" s="160"/>
      <c r="AA46" s="160"/>
      <c r="AB46" s="160"/>
      <c r="AC46" s="160"/>
      <c r="AD46" s="160"/>
      <c r="AE46" s="160"/>
      <c r="AF46" s="160">
        <v>19</v>
      </c>
      <c r="AG46" s="160">
        <v>11</v>
      </c>
      <c r="AH46" s="160">
        <v>2</v>
      </c>
      <c r="AI46" s="160">
        <v>0</v>
      </c>
      <c r="AJ46" s="160">
        <v>2</v>
      </c>
      <c r="AK46" s="160">
        <v>4</v>
      </c>
      <c r="AL46" s="160">
        <v>0</v>
      </c>
      <c r="AM46" s="160">
        <v>0</v>
      </c>
      <c r="AN46" s="191">
        <v>2</v>
      </c>
      <c r="AO46" s="160">
        <v>2</v>
      </c>
      <c r="AP46" s="160">
        <v>3</v>
      </c>
      <c r="AQ46" s="160">
        <v>1</v>
      </c>
      <c r="AR46" s="160"/>
      <c r="AS46" s="160"/>
      <c r="AT46" s="160"/>
      <c r="AU46" s="160"/>
      <c r="AV46" s="160"/>
      <c r="AW46" s="160"/>
      <c r="AX46" s="160"/>
      <c r="AY46" s="160"/>
      <c r="AZ46" s="160"/>
      <c r="BA46" s="160"/>
      <c r="BB46" s="160"/>
      <c r="BC46" s="160"/>
      <c r="BD46" s="160"/>
      <c r="BE46" s="26"/>
      <c r="BF46" s="26" t="s">
        <v>250</v>
      </c>
      <c r="BG46" s="26" t="str">
        <f t="shared" si="90"/>
        <v>Sales Lost + Nurture</v>
      </c>
      <c r="BH46" s="195">
        <f t="shared" si="110"/>
        <v>0</v>
      </c>
      <c r="BI46" s="195">
        <f t="shared" si="111"/>
        <v>0</v>
      </c>
      <c r="BJ46" s="195">
        <f t="shared" si="112"/>
        <v>0</v>
      </c>
      <c r="BK46" s="304">
        <f t="shared" si="113"/>
        <v>0</v>
      </c>
      <c r="BL46" s="195">
        <f ca="1">IF(BF46="EoP",OFFSET(AR46,0,MONTH('2024 Control'!$C$4)-1),SUM(AR46:OFFSET(AR46,0,MONTH('2024 Control'!$C$4)-1))/IF(BF46="Sum",1,MONTH('2024 Control'!$C$4)))</f>
        <v>0</v>
      </c>
      <c r="BM46" s="304">
        <f t="shared" si="43"/>
        <v>27</v>
      </c>
    </row>
    <row r="47" spans="2:65">
      <c r="B47" s="26" t="s">
        <v>65</v>
      </c>
      <c r="C47" s="26" t="s">
        <v>68</v>
      </c>
      <c r="D47" s="204" t="str">
        <f t="shared" si="114"/>
        <v>Sales Win rate: Total</v>
      </c>
      <c r="E47" s="26" t="s">
        <v>75</v>
      </c>
      <c r="F47" s="183" t="s">
        <v>247</v>
      </c>
      <c r="G47" s="183" t="s">
        <v>65</v>
      </c>
      <c r="H47" s="244">
        <f t="shared" ref="H47:BD47" si="117">H45/H46</f>
        <v>0.25</v>
      </c>
      <c r="I47" s="244">
        <f t="shared" si="117"/>
        <v>0</v>
      </c>
      <c r="J47" s="244">
        <f t="shared" si="117"/>
        <v>5.2631578947368418E-2</v>
      </c>
      <c r="K47" s="244">
        <f t="shared" si="117"/>
        <v>0</v>
      </c>
      <c r="L47" s="244">
        <f t="shared" si="117"/>
        <v>0</v>
      </c>
      <c r="M47" s="244">
        <f t="shared" si="117"/>
        <v>9.0909090909090912E-2</v>
      </c>
      <c r="N47" s="244">
        <f t="shared" si="117"/>
        <v>0</v>
      </c>
      <c r="O47" s="244">
        <f t="shared" si="117"/>
        <v>0.18181818181818182</v>
      </c>
      <c r="P47" s="244">
        <f t="shared" si="117"/>
        <v>0</v>
      </c>
      <c r="Q47" s="244">
        <f t="shared" si="117"/>
        <v>0</v>
      </c>
      <c r="R47" s="244"/>
      <c r="S47" s="244"/>
      <c r="T47" s="244"/>
      <c r="U47" s="244"/>
      <c r="V47" s="244"/>
      <c r="W47" s="244"/>
      <c r="X47" s="244"/>
      <c r="Y47" s="244"/>
      <c r="Z47" s="244"/>
      <c r="AA47" s="244"/>
      <c r="AB47" s="244"/>
      <c r="AC47" s="244"/>
      <c r="AD47" s="244"/>
      <c r="AE47" s="244"/>
      <c r="AF47" s="244">
        <f t="shared" si="117"/>
        <v>0</v>
      </c>
      <c r="AG47" s="244">
        <f t="shared" si="117"/>
        <v>0</v>
      </c>
      <c r="AH47" s="244">
        <f t="shared" si="117"/>
        <v>0</v>
      </c>
      <c r="AI47" s="244" t="e">
        <f t="shared" si="117"/>
        <v>#DIV/0!</v>
      </c>
      <c r="AJ47" s="244">
        <f t="shared" si="117"/>
        <v>0</v>
      </c>
      <c r="AK47" s="244">
        <f t="shared" si="117"/>
        <v>1</v>
      </c>
      <c r="AL47" s="244" t="e">
        <f t="shared" si="117"/>
        <v>#DIV/0!</v>
      </c>
      <c r="AM47" s="244" t="e">
        <f t="shared" si="117"/>
        <v>#DIV/0!</v>
      </c>
      <c r="AN47" s="244">
        <f t="shared" si="117"/>
        <v>1</v>
      </c>
      <c r="AO47" s="244">
        <f t="shared" si="117"/>
        <v>0.5</v>
      </c>
      <c r="AP47" s="244">
        <f t="shared" si="117"/>
        <v>0.66666666666666663</v>
      </c>
      <c r="AQ47" s="244">
        <f t="shared" si="117"/>
        <v>6</v>
      </c>
      <c r="AR47" s="244" t="e">
        <f t="shared" si="117"/>
        <v>#DIV/0!</v>
      </c>
      <c r="AS47" s="244" t="e">
        <f t="shared" si="117"/>
        <v>#DIV/0!</v>
      </c>
      <c r="AT47" s="244" t="e">
        <f t="shared" si="117"/>
        <v>#DIV/0!</v>
      </c>
      <c r="AU47" s="244" t="e">
        <f t="shared" si="117"/>
        <v>#DIV/0!</v>
      </c>
      <c r="AV47" s="244" t="e">
        <f t="shared" si="117"/>
        <v>#DIV/0!</v>
      </c>
      <c r="AW47" s="244" t="e">
        <f t="shared" si="117"/>
        <v>#DIV/0!</v>
      </c>
      <c r="AX47" s="244" t="e">
        <f t="shared" si="117"/>
        <v>#DIV/0!</v>
      </c>
      <c r="AY47" s="244" t="e">
        <f t="shared" si="117"/>
        <v>#DIV/0!</v>
      </c>
      <c r="AZ47" s="244" t="e">
        <f t="shared" si="117"/>
        <v>#DIV/0!</v>
      </c>
      <c r="BA47" s="244" t="e">
        <f t="shared" si="117"/>
        <v>#DIV/0!</v>
      </c>
      <c r="BB47" s="244" t="e">
        <f t="shared" si="117"/>
        <v>#DIV/0!</v>
      </c>
      <c r="BC47" s="244" t="e">
        <f t="shared" si="117"/>
        <v>#DIV/0!</v>
      </c>
      <c r="BD47" s="244" t="e">
        <f t="shared" si="117"/>
        <v>#DIV/0!</v>
      </c>
      <c r="BE47" s="26"/>
      <c r="BF47" s="26" t="s">
        <v>249</v>
      </c>
      <c r="BG47" s="26" t="str">
        <f t="shared" si="90"/>
        <v>Sales Win rate: Total</v>
      </c>
      <c r="BH47" s="195" t="str">
        <f t="shared" si="110"/>
        <v>-</v>
      </c>
      <c r="BI47" s="195" t="str">
        <f t="shared" si="111"/>
        <v>-</v>
      </c>
      <c r="BJ47" s="195" t="str">
        <f t="shared" si="112"/>
        <v>-</v>
      </c>
      <c r="BK47" s="304" t="str">
        <f t="shared" si="113"/>
        <v>-</v>
      </c>
      <c r="BL47" s="195" t="e">
        <f ca="1">IF(BF47="EoP",OFFSET(AR47,0,MONTH('2024 Control'!$C$4)-1),SUM(AR47:OFFSET(AR47,0,MONTH('2024 Control'!$C$4)-1))/IF(BF47="Sum",1,MONTH('2024 Control'!$C$4)))</f>
        <v>#DIV/0!</v>
      </c>
      <c r="BM47" s="304" t="e">
        <f t="shared" si="43"/>
        <v>#DIV/0!</v>
      </c>
    </row>
    <row r="48" spans="2:65">
      <c r="B48" s="26" t="s">
        <v>65</v>
      </c>
      <c r="C48" s="26" t="s">
        <v>68</v>
      </c>
      <c r="D48" s="204" t="str">
        <f t="shared" si="114"/>
        <v>Sales Avg ACV</v>
      </c>
      <c r="E48" s="26" t="s">
        <v>76</v>
      </c>
      <c r="F48" s="183" t="s">
        <v>247</v>
      </c>
      <c r="G48" s="183" t="s">
        <v>65</v>
      </c>
      <c r="H48" s="225">
        <v>49000</v>
      </c>
      <c r="I48" s="225">
        <v>0</v>
      </c>
      <c r="J48" s="225">
        <v>67000</v>
      </c>
      <c r="K48" s="225">
        <v>6250</v>
      </c>
      <c r="L48" s="192">
        <v>0</v>
      </c>
      <c r="M48" s="225">
        <v>198625</v>
      </c>
      <c r="N48" s="192">
        <v>0</v>
      </c>
      <c r="O48" s="225">
        <v>181300</v>
      </c>
      <c r="P48" s="192">
        <v>0</v>
      </c>
      <c r="Q48" s="192">
        <v>0</v>
      </c>
      <c r="R48" s="192"/>
      <c r="S48" s="192"/>
      <c r="T48" s="192"/>
      <c r="U48" s="192"/>
      <c r="V48" s="192"/>
      <c r="W48" s="192"/>
      <c r="X48" s="192"/>
      <c r="Y48" s="192"/>
      <c r="Z48" s="192"/>
      <c r="AA48" s="192"/>
      <c r="AB48" s="192"/>
      <c r="AC48" s="192"/>
      <c r="AD48" s="192"/>
      <c r="AE48" s="192"/>
      <c r="AF48" s="192"/>
      <c r="AG48" s="225"/>
      <c r="AH48" s="225"/>
      <c r="AI48" s="225"/>
      <c r="AJ48" s="225"/>
      <c r="AK48" s="225"/>
      <c r="AL48" s="225"/>
      <c r="AM48" s="225"/>
      <c r="AN48" s="192"/>
      <c r="AO48" s="225"/>
      <c r="AP48" s="192"/>
      <c r="AQ48" s="192"/>
      <c r="AR48" s="192"/>
      <c r="AS48" s="192"/>
      <c r="AT48" s="192"/>
      <c r="AU48" s="192"/>
      <c r="AV48" s="192"/>
      <c r="AW48" s="192"/>
      <c r="AX48" s="192"/>
      <c r="AY48" s="192"/>
      <c r="AZ48" s="192"/>
      <c r="BA48" s="192"/>
      <c r="BB48" s="192"/>
      <c r="BC48" s="192"/>
      <c r="BD48" s="225"/>
      <c r="BE48" s="26"/>
      <c r="BG48" s="26" t="str">
        <f t="shared" si="90"/>
        <v>Sales Avg ACV</v>
      </c>
      <c r="BH48" s="278" t="str">
        <f>IF(BH45=0,"-",BH40/BH45)</f>
        <v>-</v>
      </c>
      <c r="BI48" s="278" t="str">
        <f t="shared" ref="BI48:BL48" si="118">IF(BI45=0,"-",BI40/BI45)</f>
        <v>-</v>
      </c>
      <c r="BJ48" s="278" t="str">
        <f t="shared" si="118"/>
        <v>-</v>
      </c>
      <c r="BK48" s="278" t="str">
        <f t="shared" si="118"/>
        <v>-</v>
      </c>
      <c r="BL48" s="278" t="str">
        <f t="shared" ca="1" si="118"/>
        <v>-</v>
      </c>
      <c r="BM48" s="304" t="str">
        <f t="shared" si="43"/>
        <v/>
      </c>
    </row>
    <row r="49" spans="2:65">
      <c r="B49" s="26" t="s">
        <v>65</v>
      </c>
      <c r="C49" s="26" t="s">
        <v>68</v>
      </c>
      <c r="D49" s="204" t="str">
        <f t="shared" si="114"/>
        <v>Sales Avg Age of Opps Won in Period</v>
      </c>
      <c r="E49" s="26" t="s">
        <v>77</v>
      </c>
      <c r="F49" s="183" t="s">
        <v>247</v>
      </c>
      <c r="G49" s="183" t="s">
        <v>65</v>
      </c>
      <c r="H49" s="277">
        <f>90/7</f>
        <v>12.857142857142858</v>
      </c>
      <c r="I49" s="191"/>
      <c r="J49" s="191">
        <f>151/7</f>
        <v>21.571428571428573</v>
      </c>
      <c r="K49" s="191"/>
      <c r="L49" s="191"/>
      <c r="M49" s="191">
        <f>241/7</f>
        <v>34.428571428571431</v>
      </c>
      <c r="N49" s="191"/>
      <c r="O49" s="191">
        <f>113/7</f>
        <v>16.142857142857142</v>
      </c>
      <c r="P49" s="191"/>
      <c r="Q49" s="191">
        <v>0</v>
      </c>
      <c r="R49" s="191"/>
      <c r="S49" s="191"/>
      <c r="T49" s="191"/>
      <c r="U49" s="191"/>
      <c r="V49" s="191"/>
      <c r="W49" s="191"/>
      <c r="X49" s="191"/>
      <c r="Y49" s="191"/>
      <c r="Z49" s="191"/>
      <c r="AA49" s="191"/>
      <c r="AB49" s="191"/>
      <c r="AC49" s="191"/>
      <c r="AD49" s="191"/>
      <c r="AE49" s="191"/>
      <c r="AF49" s="191"/>
      <c r="AG49" s="191"/>
      <c r="AH49" s="277"/>
      <c r="AI49" s="191"/>
      <c r="AJ49" s="191"/>
      <c r="AK49" s="191">
        <v>163.75</v>
      </c>
      <c r="AL49" s="191">
        <v>26.25</v>
      </c>
      <c r="AM49" s="191">
        <v>133.33000000000001</v>
      </c>
      <c r="AN49" s="191">
        <v>94.5</v>
      </c>
      <c r="AO49" s="191">
        <v>127</v>
      </c>
      <c r="AP49" s="191">
        <v>41.5</v>
      </c>
      <c r="AQ49" s="191">
        <v>40.17</v>
      </c>
      <c r="AR49" s="191"/>
      <c r="AS49" s="191"/>
      <c r="AT49" s="191"/>
      <c r="AU49" s="191"/>
      <c r="AV49" s="191"/>
      <c r="AW49" s="191"/>
      <c r="AX49" s="191"/>
      <c r="AY49" s="191"/>
      <c r="AZ49" s="191"/>
      <c r="BA49" s="191"/>
      <c r="BB49" s="191"/>
      <c r="BC49" s="191"/>
      <c r="BD49" s="191"/>
      <c r="BE49" s="26"/>
      <c r="BF49" s="26" t="s">
        <v>249</v>
      </c>
      <c r="BG49" s="26" t="str">
        <f t="shared" si="90"/>
        <v>Sales Avg Age of Opps Won in Period</v>
      </c>
      <c r="BH49" s="195" t="str">
        <f t="shared" ref="BH49:BH66" si="119">IF($BF49="Sum",SUM(AR49:AT49),IF($BF49="Average",IFERROR(AVERAGE(AR49:AT49),"-"),IF($BF49="EoP",AT49,"ERROR")))</f>
        <v>-</v>
      </c>
      <c r="BI49" s="195" t="str">
        <f t="shared" ref="BI49:BI66" si="120">IF($BF49="Sum",SUM(AU49:AW49),IF($BF49="Average",IFERROR(AVERAGE(AU49:AW49),"-"),IF($BF49="EoP",AW49,"ERROR")))</f>
        <v>-</v>
      </c>
      <c r="BJ49" s="195" t="str">
        <f t="shared" ref="BJ49:BJ66" si="121">IF($BF49="Sum",SUM(AX49:AZ49),IF($BF49="Average",IFERROR(AVERAGE(AX49:AZ49),"-"),IF($BF49="EoP",AZ49,"ERROR")))</f>
        <v>-</v>
      </c>
      <c r="BK49" s="304" t="str">
        <f t="shared" ref="BK49:BK66" si="122">IF($BF49="Sum",SUM(BA49:BC49),IF($BF49="Average",IFERROR(AVERAGE(BA49:BC49),"-"),IF($BF49="EoP",BC49,"ERROR")))</f>
        <v>-</v>
      </c>
      <c r="BL49" s="195">
        <f ca="1">IF(BF49="EoP",OFFSET(AR49,0,MONTH('2024 Control'!$C$4)-1),SUM(AR49:OFFSET(AR49,0,MONTH('2024 Control'!$C$4)-1))/IF(BF49="Sum",1,MONTH('2024 Control'!$C$4)))</f>
        <v>0</v>
      </c>
      <c r="BM49" s="304">
        <f t="shared" si="43"/>
        <v>89.5</v>
      </c>
    </row>
    <row r="50" spans="2:65">
      <c r="B50" s="26" t="s">
        <v>65</v>
      </c>
      <c r="C50" s="26" t="s">
        <v>78</v>
      </c>
      <c r="D50" s="204" t="str">
        <f t="shared" si="114"/>
        <v>Sales EoP Value - Early Stage</v>
      </c>
      <c r="E50" s="26" t="s">
        <v>79</v>
      </c>
      <c r="F50" s="183" t="s">
        <v>247</v>
      </c>
      <c r="G50" s="183" t="s">
        <v>65</v>
      </c>
      <c r="H50" s="225">
        <v>2375783</v>
      </c>
      <c r="I50" s="225">
        <v>1779783</v>
      </c>
      <c r="J50" s="225">
        <v>1400000</v>
      </c>
      <c r="K50" s="225">
        <v>1711000</v>
      </c>
      <c r="L50" s="225">
        <v>1984000</v>
      </c>
      <c r="M50" s="225">
        <v>1760000</v>
      </c>
      <c r="N50" s="225">
        <v>2232000</v>
      </c>
      <c r="O50" s="225">
        <v>2250000</v>
      </c>
      <c r="P50" s="225">
        <v>1942000</v>
      </c>
      <c r="Q50" s="225">
        <v>1063000</v>
      </c>
      <c r="R50" s="225"/>
      <c r="S50" s="225"/>
      <c r="T50" s="225"/>
      <c r="U50" s="225"/>
      <c r="V50" s="225"/>
      <c r="W50" s="225"/>
      <c r="X50" s="225"/>
      <c r="Y50" s="225"/>
      <c r="Z50" s="225"/>
      <c r="AA50" s="225"/>
      <c r="AB50" s="225"/>
      <c r="AC50" s="225"/>
      <c r="AD50" s="225"/>
      <c r="AE50" s="225"/>
      <c r="AF50" s="225"/>
      <c r="AG50" s="225"/>
      <c r="AH50" s="225"/>
      <c r="AI50" s="225"/>
      <c r="AJ50" s="225"/>
      <c r="AK50" s="225"/>
      <c r="AL50" s="225">
        <v>1160000</v>
      </c>
      <c r="AM50" s="225">
        <v>1160000</v>
      </c>
      <c r="AN50" s="225">
        <v>1160000</v>
      </c>
      <c r="AO50" s="225"/>
      <c r="AP50" s="225">
        <v>1150000</v>
      </c>
      <c r="AQ50" s="225">
        <v>87000</v>
      </c>
      <c r="AR50" s="225"/>
      <c r="AS50" s="225"/>
      <c r="AT50" s="225"/>
      <c r="AU50" s="225"/>
      <c r="AV50" s="225"/>
      <c r="AW50" s="225"/>
      <c r="AX50" s="225"/>
      <c r="AY50" s="225"/>
      <c r="AZ50" s="225"/>
      <c r="BA50" s="225"/>
      <c r="BB50" s="225"/>
      <c r="BC50" s="225"/>
      <c r="BD50" s="225"/>
      <c r="BE50" s="26"/>
      <c r="BF50" s="26" t="s">
        <v>47</v>
      </c>
      <c r="BG50" s="26" t="str">
        <f t="shared" si="90"/>
        <v>Sales EoP Value - Early Stage</v>
      </c>
      <c r="BH50" s="195">
        <f t="shared" si="119"/>
        <v>0</v>
      </c>
      <c r="BI50" s="195">
        <f t="shared" si="120"/>
        <v>0</v>
      </c>
      <c r="BJ50" s="195">
        <f t="shared" si="121"/>
        <v>0</v>
      </c>
      <c r="BK50" s="304">
        <f t="shared" si="122"/>
        <v>0</v>
      </c>
      <c r="BL50" s="195">
        <f ca="1">IF(BF50="EoP",OFFSET(AR50,0,MONTH('2024 Control'!$C$4)-1),SUM(AR50:OFFSET(AR50,0,MONTH('2024 Control'!$C$4)-1))/IF(BF50="Sum",1,MONTH('2024 Control'!$C$4)))</f>
        <v>0</v>
      </c>
      <c r="BM50" s="304">
        <f t="shared" si="43"/>
        <v>0</v>
      </c>
    </row>
    <row r="51" spans="2:65">
      <c r="B51" s="26" t="s">
        <v>65</v>
      </c>
      <c r="C51" s="26" t="s">
        <v>78</v>
      </c>
      <c r="D51" s="204" t="str">
        <f t="shared" si="114"/>
        <v>Sales EoP Value - Intermediate Stage</v>
      </c>
      <c r="E51" s="26" t="s">
        <v>80</v>
      </c>
      <c r="F51" s="183" t="s">
        <v>247</v>
      </c>
      <c r="G51" s="183" t="s">
        <v>65</v>
      </c>
      <c r="H51" s="225">
        <v>1334000</v>
      </c>
      <c r="I51" s="225">
        <v>1114000</v>
      </c>
      <c r="J51" s="225">
        <v>644000</v>
      </c>
      <c r="K51" s="225">
        <v>616000</v>
      </c>
      <c r="L51" s="225">
        <v>766000</v>
      </c>
      <c r="M51" s="225">
        <v>1049000</v>
      </c>
      <c r="N51" s="225">
        <v>1084600</v>
      </c>
      <c r="O51" s="225">
        <v>523000</v>
      </c>
      <c r="P51" s="225">
        <v>1540500</v>
      </c>
      <c r="Q51" s="225">
        <v>1470000</v>
      </c>
      <c r="R51" s="225"/>
      <c r="S51" s="225"/>
      <c r="T51" s="225"/>
      <c r="U51" s="225"/>
      <c r="V51" s="225"/>
      <c r="W51" s="225"/>
      <c r="X51" s="225"/>
      <c r="Y51" s="225"/>
      <c r="Z51" s="225"/>
      <c r="AA51" s="225"/>
      <c r="AB51" s="225"/>
      <c r="AC51" s="225"/>
      <c r="AD51" s="225"/>
      <c r="AE51" s="225"/>
      <c r="AF51" s="225"/>
      <c r="AG51" s="225"/>
      <c r="AH51" s="225"/>
      <c r="AI51" s="225"/>
      <c r="AJ51" s="225"/>
      <c r="AK51" s="225"/>
      <c r="AL51" s="225">
        <v>295000</v>
      </c>
      <c r="AM51" s="225">
        <v>295000</v>
      </c>
      <c r="AN51" s="225">
        <v>295000</v>
      </c>
      <c r="AO51" s="225"/>
      <c r="AP51" s="225">
        <v>1127000</v>
      </c>
      <c r="AQ51" s="225">
        <v>42500</v>
      </c>
      <c r="AR51" s="225"/>
      <c r="AS51" s="225"/>
      <c r="AT51" s="225"/>
      <c r="AU51" s="225"/>
      <c r="AV51" s="225"/>
      <c r="AW51" s="225"/>
      <c r="AX51" s="225"/>
      <c r="AY51" s="225"/>
      <c r="AZ51" s="225"/>
      <c r="BA51" s="225"/>
      <c r="BB51" s="225"/>
      <c r="BC51" s="225"/>
      <c r="BD51" s="225"/>
      <c r="BE51" s="26"/>
      <c r="BF51" s="26" t="s">
        <v>47</v>
      </c>
      <c r="BG51" s="26" t="str">
        <f t="shared" si="90"/>
        <v>Sales EoP Value - Intermediate Stage</v>
      </c>
      <c r="BH51" s="195">
        <f t="shared" si="119"/>
        <v>0</v>
      </c>
      <c r="BI51" s="195">
        <f t="shared" si="120"/>
        <v>0</v>
      </c>
      <c r="BJ51" s="195">
        <f t="shared" si="121"/>
        <v>0</v>
      </c>
      <c r="BK51" s="304">
        <f t="shared" si="122"/>
        <v>0</v>
      </c>
      <c r="BL51" s="195">
        <f ca="1">IF(BF51="EoP",OFFSET(AR51,0,MONTH('2024 Control'!$C$4)-1),SUM(AR51:OFFSET(AR51,0,MONTH('2024 Control'!$C$4)-1))/IF(BF51="Sum",1,MONTH('2024 Control'!$C$4)))</f>
        <v>0</v>
      </c>
      <c r="BM51" s="304">
        <f t="shared" si="43"/>
        <v>0</v>
      </c>
    </row>
    <row r="52" spans="2:65">
      <c r="B52" s="26" t="s">
        <v>65</v>
      </c>
      <c r="C52" s="26" t="s">
        <v>78</v>
      </c>
      <c r="D52" s="204" t="str">
        <f t="shared" si="114"/>
        <v>Sales EoP Value - Advanced Stage</v>
      </c>
      <c r="E52" s="26" t="s">
        <v>81</v>
      </c>
      <c r="F52" s="183" t="s">
        <v>247</v>
      </c>
      <c r="G52" s="183" t="s">
        <v>65</v>
      </c>
      <c r="H52" s="225">
        <v>314000</v>
      </c>
      <c r="I52" s="225">
        <v>396000</v>
      </c>
      <c r="J52" s="225">
        <v>396000</v>
      </c>
      <c r="K52" s="225">
        <v>182000</v>
      </c>
      <c r="L52" s="225">
        <v>198625</v>
      </c>
      <c r="M52" s="225">
        <v>0</v>
      </c>
      <c r="N52" s="190">
        <v>0</v>
      </c>
      <c r="O52" s="225">
        <v>148000</v>
      </c>
      <c r="P52" s="225">
        <v>148000</v>
      </c>
      <c r="Q52" s="225">
        <v>323000</v>
      </c>
      <c r="R52" s="225"/>
      <c r="S52" s="225"/>
      <c r="T52" s="225"/>
      <c r="U52" s="225"/>
      <c r="V52" s="225"/>
      <c r="W52" s="225"/>
      <c r="X52" s="225"/>
      <c r="Y52" s="225"/>
      <c r="Z52" s="225"/>
      <c r="AA52" s="225"/>
      <c r="AB52" s="225"/>
      <c r="AC52" s="225"/>
      <c r="AD52" s="225"/>
      <c r="AE52" s="225"/>
      <c r="AF52" s="225"/>
      <c r="AG52" s="225"/>
      <c r="AH52" s="225"/>
      <c r="AI52" s="225"/>
      <c r="AJ52" s="225"/>
      <c r="AK52" s="225"/>
      <c r="AL52" s="225">
        <v>80000</v>
      </c>
      <c r="AM52" s="225">
        <v>80000</v>
      </c>
      <c r="AN52" s="190">
        <v>80000</v>
      </c>
      <c r="AO52" s="225"/>
      <c r="AP52" s="225">
        <v>235000</v>
      </c>
      <c r="AQ52" s="225">
        <v>199500</v>
      </c>
      <c r="AR52" s="225"/>
      <c r="AS52" s="225"/>
      <c r="AT52" s="225"/>
      <c r="AU52" s="225"/>
      <c r="AV52" s="225"/>
      <c r="AW52" s="225"/>
      <c r="AX52" s="225"/>
      <c r="AY52" s="225"/>
      <c r="AZ52" s="225"/>
      <c r="BA52" s="225"/>
      <c r="BB52" s="225"/>
      <c r="BC52" s="225"/>
      <c r="BD52" s="225"/>
      <c r="BE52" s="26"/>
      <c r="BF52" s="26" t="s">
        <v>47</v>
      </c>
      <c r="BG52" s="26" t="str">
        <f t="shared" si="90"/>
        <v>Sales EoP Value - Advanced Stage</v>
      </c>
      <c r="BH52" s="195">
        <f t="shared" si="119"/>
        <v>0</v>
      </c>
      <c r="BI52" s="195">
        <f t="shared" si="120"/>
        <v>0</v>
      </c>
      <c r="BJ52" s="195">
        <f t="shared" si="121"/>
        <v>0</v>
      </c>
      <c r="BK52" s="304">
        <f t="shared" si="122"/>
        <v>0</v>
      </c>
      <c r="BL52" s="195">
        <f ca="1">IF(BF52="EoP",OFFSET(AR52,0,MONTH('2024 Control'!$C$4)-1),SUM(AR52:OFFSET(AR52,0,MONTH('2024 Control'!$C$4)-1))/IF(BF52="Sum",1,MONTH('2024 Control'!$C$4)))</f>
        <v>0</v>
      </c>
      <c r="BM52" s="304">
        <f t="shared" si="43"/>
        <v>0</v>
      </c>
    </row>
    <row r="53" spans="2:65">
      <c r="B53" s="26" t="s">
        <v>65</v>
      </c>
      <c r="C53" s="26" t="s">
        <v>78</v>
      </c>
      <c r="D53" s="204" t="str">
        <f t="shared" si="114"/>
        <v>Sales EoP Value - Total</v>
      </c>
      <c r="E53" s="26" t="s">
        <v>82</v>
      </c>
      <c r="F53" s="183" t="s">
        <v>247</v>
      </c>
      <c r="G53" s="183" t="s">
        <v>65</v>
      </c>
      <c r="H53" s="246">
        <f>SUM(H50:H52)</f>
        <v>4023783</v>
      </c>
      <c r="I53" s="246">
        <f t="shared" ref="I53:BD53" si="123">SUM(I50:I52)</f>
        <v>3289783</v>
      </c>
      <c r="J53" s="246">
        <f t="shared" si="123"/>
        <v>2440000</v>
      </c>
      <c r="K53" s="246">
        <f t="shared" si="123"/>
        <v>2509000</v>
      </c>
      <c r="L53" s="246">
        <f t="shared" si="123"/>
        <v>2948625</v>
      </c>
      <c r="M53" s="246">
        <f t="shared" si="123"/>
        <v>2809000</v>
      </c>
      <c r="N53" s="252">
        <f t="shared" si="123"/>
        <v>3316600</v>
      </c>
      <c r="O53" s="252">
        <f t="shared" si="123"/>
        <v>2921000</v>
      </c>
      <c r="P53" s="252">
        <f t="shared" si="123"/>
        <v>3630500</v>
      </c>
      <c r="Q53" s="252">
        <f t="shared" si="123"/>
        <v>2856000</v>
      </c>
      <c r="R53" s="252">
        <f t="shared" si="123"/>
        <v>0</v>
      </c>
      <c r="S53" s="252">
        <f t="shared" si="123"/>
        <v>0</v>
      </c>
      <c r="T53" s="252">
        <f t="shared" si="123"/>
        <v>0</v>
      </c>
      <c r="U53" s="252">
        <f t="shared" si="123"/>
        <v>0</v>
      </c>
      <c r="V53" s="252">
        <f t="shared" si="123"/>
        <v>0</v>
      </c>
      <c r="W53" s="252">
        <f t="shared" si="123"/>
        <v>0</v>
      </c>
      <c r="X53" s="252">
        <f t="shared" si="123"/>
        <v>0</v>
      </c>
      <c r="Y53" s="252">
        <f t="shared" si="123"/>
        <v>0</v>
      </c>
      <c r="Z53" s="252">
        <f t="shared" si="123"/>
        <v>0</v>
      </c>
      <c r="AA53" s="252">
        <f t="shared" si="123"/>
        <v>0</v>
      </c>
      <c r="AB53" s="252">
        <f t="shared" si="123"/>
        <v>0</v>
      </c>
      <c r="AC53" s="252">
        <f t="shared" si="123"/>
        <v>0</v>
      </c>
      <c r="AD53" s="252">
        <f t="shared" si="123"/>
        <v>0</v>
      </c>
      <c r="AE53" s="252">
        <f t="shared" si="123"/>
        <v>0</v>
      </c>
      <c r="AF53" s="252">
        <f t="shared" si="123"/>
        <v>0</v>
      </c>
      <c r="AG53" s="252">
        <f t="shared" si="123"/>
        <v>0</v>
      </c>
      <c r="AH53" s="252">
        <f t="shared" si="123"/>
        <v>0</v>
      </c>
      <c r="AI53" s="252">
        <f t="shared" si="123"/>
        <v>0</v>
      </c>
      <c r="AJ53" s="252">
        <f t="shared" si="123"/>
        <v>0</v>
      </c>
      <c r="AK53" s="252">
        <f t="shared" si="123"/>
        <v>0</v>
      </c>
      <c r="AL53" s="252">
        <f t="shared" si="123"/>
        <v>1535000</v>
      </c>
      <c r="AM53" s="252">
        <f t="shared" si="123"/>
        <v>1535000</v>
      </c>
      <c r="AN53" s="252">
        <f t="shared" si="123"/>
        <v>1535000</v>
      </c>
      <c r="AO53" s="252">
        <f t="shared" si="123"/>
        <v>0</v>
      </c>
      <c r="AP53" s="252">
        <f t="shared" si="123"/>
        <v>2512000</v>
      </c>
      <c r="AQ53" s="252">
        <f t="shared" si="123"/>
        <v>329000</v>
      </c>
      <c r="AR53" s="252">
        <f t="shared" si="123"/>
        <v>0</v>
      </c>
      <c r="AS53" s="252">
        <f t="shared" si="123"/>
        <v>0</v>
      </c>
      <c r="AT53" s="252">
        <f t="shared" si="123"/>
        <v>0</v>
      </c>
      <c r="AU53" s="252">
        <f t="shared" si="123"/>
        <v>0</v>
      </c>
      <c r="AV53" s="252">
        <f t="shared" si="123"/>
        <v>0</v>
      </c>
      <c r="AW53" s="252">
        <f t="shared" si="123"/>
        <v>0</v>
      </c>
      <c r="AX53" s="252">
        <f t="shared" si="123"/>
        <v>0</v>
      </c>
      <c r="AY53" s="252">
        <f t="shared" si="123"/>
        <v>0</v>
      </c>
      <c r="AZ53" s="252">
        <f t="shared" si="123"/>
        <v>0</v>
      </c>
      <c r="BA53" s="252">
        <f t="shared" si="123"/>
        <v>0</v>
      </c>
      <c r="BB53" s="252">
        <f t="shared" si="123"/>
        <v>0</v>
      </c>
      <c r="BC53" s="252">
        <f t="shared" si="123"/>
        <v>0</v>
      </c>
      <c r="BD53" s="252">
        <f t="shared" si="123"/>
        <v>0</v>
      </c>
      <c r="BE53" s="26"/>
      <c r="BF53" s="26" t="s">
        <v>47</v>
      </c>
      <c r="BG53" s="26" t="str">
        <f t="shared" si="90"/>
        <v>Sales EoP Value - Total</v>
      </c>
      <c r="BH53" s="195">
        <f t="shared" si="119"/>
        <v>0</v>
      </c>
      <c r="BI53" s="195">
        <f t="shared" si="120"/>
        <v>0</v>
      </c>
      <c r="BJ53" s="195">
        <f t="shared" si="121"/>
        <v>0</v>
      </c>
      <c r="BK53" s="304">
        <f t="shared" si="122"/>
        <v>0</v>
      </c>
      <c r="BL53" s="195">
        <f ca="1">IF(BF53="EoP",OFFSET(AR53,0,MONTH('2024 Control'!$C$4)-1),SUM(AR53:OFFSET(AR53,0,MONTH('2024 Control'!$C$4)-1))/IF(BF53="Sum",1,MONTH('2024 Control'!$C$4)))</f>
        <v>0</v>
      </c>
      <c r="BM53" s="304">
        <f t="shared" si="43"/>
        <v>0</v>
      </c>
    </row>
    <row r="54" spans="2:65">
      <c r="B54" s="26" t="s">
        <v>65</v>
      </c>
      <c r="C54" s="26" t="s">
        <v>83</v>
      </c>
      <c r="D54" s="204" t="str">
        <f t="shared" si="114"/>
        <v>Sales EoP Count - Early Stage</v>
      </c>
      <c r="E54" s="26" t="s">
        <v>84</v>
      </c>
      <c r="F54" s="183" t="s">
        <v>247</v>
      </c>
      <c r="G54" s="183" t="s">
        <v>65</v>
      </c>
      <c r="H54" s="160">
        <v>45</v>
      </c>
      <c r="I54" s="191">
        <v>40</v>
      </c>
      <c r="J54" s="191">
        <v>28</v>
      </c>
      <c r="K54" s="191">
        <v>34</v>
      </c>
      <c r="L54" s="191">
        <v>48</v>
      </c>
      <c r="M54" s="191">
        <v>41</v>
      </c>
      <c r="N54" s="191">
        <v>50</v>
      </c>
      <c r="O54" s="191">
        <v>48</v>
      </c>
      <c r="P54" s="226">
        <v>44</v>
      </c>
      <c r="Q54" s="191">
        <v>28</v>
      </c>
      <c r="R54" s="191"/>
      <c r="S54" s="191"/>
      <c r="T54" s="191"/>
      <c r="U54" s="191"/>
      <c r="V54" s="191"/>
      <c r="W54" s="191"/>
      <c r="X54" s="191"/>
      <c r="Y54" s="191"/>
      <c r="Z54" s="191"/>
      <c r="AA54" s="191"/>
      <c r="AB54" s="191"/>
      <c r="AC54" s="191"/>
      <c r="AD54" s="191"/>
      <c r="AE54" s="191"/>
      <c r="AF54" s="191"/>
      <c r="AG54" s="191"/>
      <c r="AH54" s="160"/>
      <c r="AI54" s="191"/>
      <c r="AJ54" s="191"/>
      <c r="AK54" s="191"/>
      <c r="AL54" s="191">
        <v>26</v>
      </c>
      <c r="AM54" s="191">
        <v>26</v>
      </c>
      <c r="AN54" s="191">
        <v>26</v>
      </c>
      <c r="AO54" s="191"/>
      <c r="AP54" s="226">
        <v>34</v>
      </c>
      <c r="AQ54" s="191">
        <v>7</v>
      </c>
      <c r="AR54" s="191"/>
      <c r="AS54" s="191"/>
      <c r="AT54" s="191"/>
      <c r="AU54" s="191"/>
      <c r="AV54" s="191"/>
      <c r="AW54" s="191"/>
      <c r="AX54" s="191"/>
      <c r="AY54" s="191"/>
      <c r="AZ54" s="191"/>
      <c r="BA54" s="191"/>
      <c r="BB54" s="191"/>
      <c r="BC54" s="191"/>
      <c r="BD54" s="191"/>
      <c r="BE54" s="26"/>
      <c r="BF54" s="26" t="s">
        <v>47</v>
      </c>
      <c r="BG54" s="26" t="str">
        <f t="shared" si="90"/>
        <v>Sales EoP Count - Early Stage</v>
      </c>
      <c r="BH54" s="195">
        <f t="shared" si="119"/>
        <v>0</v>
      </c>
      <c r="BI54" s="195">
        <f t="shared" si="120"/>
        <v>0</v>
      </c>
      <c r="BJ54" s="195">
        <f t="shared" si="121"/>
        <v>0</v>
      </c>
      <c r="BK54" s="304">
        <f t="shared" si="122"/>
        <v>0</v>
      </c>
      <c r="BL54" s="195">
        <f ca="1">IF(BF54="EoP",OFFSET(AR54,0,MONTH('2024 Control'!$C$4)-1),SUM(AR54:OFFSET(AR54,0,MONTH('2024 Control'!$C$4)-1))/IF(BF54="Sum",1,MONTH('2024 Control'!$C$4)))</f>
        <v>0</v>
      </c>
      <c r="BM54" s="304">
        <f t="shared" si="43"/>
        <v>0</v>
      </c>
    </row>
    <row r="55" spans="2:65">
      <c r="B55" s="26" t="s">
        <v>65</v>
      </c>
      <c r="C55" s="26" t="s">
        <v>83</v>
      </c>
      <c r="D55" s="204" t="str">
        <f t="shared" si="114"/>
        <v>Sales EoP Count - Intermediate Stage</v>
      </c>
      <c r="E55" s="26" t="s">
        <v>85</v>
      </c>
      <c r="F55" s="183" t="s">
        <v>247</v>
      </c>
      <c r="G55" s="183" t="s">
        <v>65</v>
      </c>
      <c r="H55" s="160">
        <v>14</v>
      </c>
      <c r="I55" s="191">
        <v>10</v>
      </c>
      <c r="J55" s="191">
        <v>6</v>
      </c>
      <c r="K55" s="191">
        <v>5</v>
      </c>
      <c r="L55" s="191">
        <v>6</v>
      </c>
      <c r="M55" s="191">
        <v>13</v>
      </c>
      <c r="N55" s="191">
        <v>10</v>
      </c>
      <c r="O55" s="191">
        <v>6</v>
      </c>
      <c r="P55" s="226">
        <v>8</v>
      </c>
      <c r="Q55" s="191">
        <v>9</v>
      </c>
      <c r="R55" s="191"/>
      <c r="S55" s="191"/>
      <c r="T55" s="191"/>
      <c r="U55" s="191"/>
      <c r="V55" s="191"/>
      <c r="W55" s="191"/>
      <c r="X55" s="191"/>
      <c r="Y55" s="191"/>
      <c r="Z55" s="191"/>
      <c r="AA55" s="191"/>
      <c r="AB55" s="191"/>
      <c r="AC55" s="191"/>
      <c r="AD55" s="191"/>
      <c r="AE55" s="191"/>
      <c r="AF55" s="191"/>
      <c r="AG55" s="191"/>
      <c r="AH55" s="160"/>
      <c r="AI55" s="191"/>
      <c r="AJ55" s="191"/>
      <c r="AK55" s="191"/>
      <c r="AL55" s="191">
        <v>8</v>
      </c>
      <c r="AM55" s="191">
        <v>8</v>
      </c>
      <c r="AN55" s="191">
        <v>8</v>
      </c>
      <c r="AO55" s="191"/>
      <c r="AP55" s="226">
        <v>11</v>
      </c>
      <c r="AQ55" s="191">
        <v>2</v>
      </c>
      <c r="AR55" s="191"/>
      <c r="AS55" s="191"/>
      <c r="AT55" s="191"/>
      <c r="AU55" s="191"/>
      <c r="AV55" s="191"/>
      <c r="AW55" s="191"/>
      <c r="AX55" s="191"/>
      <c r="AY55" s="191"/>
      <c r="AZ55" s="191"/>
      <c r="BA55" s="191"/>
      <c r="BB55" s="191"/>
      <c r="BC55" s="191"/>
      <c r="BD55" s="191"/>
      <c r="BE55" s="26"/>
      <c r="BF55" s="26" t="s">
        <v>47</v>
      </c>
      <c r="BG55" s="26" t="str">
        <f t="shared" si="90"/>
        <v>Sales EoP Count - Intermediate Stage</v>
      </c>
      <c r="BH55" s="195">
        <f t="shared" si="119"/>
        <v>0</v>
      </c>
      <c r="BI55" s="195">
        <f t="shared" si="120"/>
        <v>0</v>
      </c>
      <c r="BJ55" s="195">
        <f t="shared" si="121"/>
        <v>0</v>
      </c>
      <c r="BK55" s="304">
        <f t="shared" si="122"/>
        <v>0</v>
      </c>
      <c r="BL55" s="195">
        <f ca="1">IF(BF55="EoP",OFFSET(AR55,0,MONTH('2024 Control'!$C$4)-1),SUM(AR55:OFFSET(AR55,0,MONTH('2024 Control'!$C$4)-1))/IF(BF55="Sum",1,MONTH('2024 Control'!$C$4)))</f>
        <v>0</v>
      </c>
      <c r="BM55" s="304">
        <f t="shared" si="43"/>
        <v>0</v>
      </c>
    </row>
    <row r="56" spans="2:65">
      <c r="B56" s="26" t="s">
        <v>65</v>
      </c>
      <c r="C56" s="26" t="s">
        <v>83</v>
      </c>
      <c r="D56" s="204" t="str">
        <f t="shared" si="114"/>
        <v>Sales EoP Count - Advanced Stage</v>
      </c>
      <c r="E56" s="26" t="s">
        <v>86</v>
      </c>
      <c r="F56" s="183" t="s">
        <v>247</v>
      </c>
      <c r="G56" s="183" t="s">
        <v>65</v>
      </c>
      <c r="H56" s="160">
        <v>2</v>
      </c>
      <c r="I56" s="191">
        <v>3</v>
      </c>
      <c r="J56" s="191">
        <v>4</v>
      </c>
      <c r="K56" s="191">
        <v>1</v>
      </c>
      <c r="L56" s="191">
        <v>1</v>
      </c>
      <c r="M56" s="191">
        <v>0</v>
      </c>
      <c r="N56" s="190">
        <v>0</v>
      </c>
      <c r="O56" s="191">
        <v>1</v>
      </c>
      <c r="P56" s="226">
        <v>1</v>
      </c>
      <c r="Q56" s="191">
        <v>2</v>
      </c>
      <c r="R56" s="191"/>
      <c r="S56" s="191"/>
      <c r="T56" s="191"/>
      <c r="U56" s="191"/>
      <c r="V56" s="191"/>
      <c r="W56" s="191"/>
      <c r="X56" s="191"/>
      <c r="Y56" s="191"/>
      <c r="Z56" s="191"/>
      <c r="AA56" s="191"/>
      <c r="AB56" s="191"/>
      <c r="AC56" s="191"/>
      <c r="AD56" s="191"/>
      <c r="AE56" s="191"/>
      <c r="AF56" s="191"/>
      <c r="AG56" s="191"/>
      <c r="AH56" s="160"/>
      <c r="AI56" s="191"/>
      <c r="AJ56" s="191"/>
      <c r="AK56" s="191"/>
      <c r="AL56" s="191">
        <v>5</v>
      </c>
      <c r="AM56" s="191">
        <v>5</v>
      </c>
      <c r="AN56" s="190">
        <v>5</v>
      </c>
      <c r="AO56" s="191"/>
      <c r="AP56" s="226">
        <v>7</v>
      </c>
      <c r="AQ56" s="191">
        <v>7</v>
      </c>
      <c r="AR56" s="191"/>
      <c r="AS56" s="191"/>
      <c r="AT56" s="191"/>
      <c r="AU56" s="191"/>
      <c r="AV56" s="191"/>
      <c r="AW56" s="191"/>
      <c r="AX56" s="191"/>
      <c r="AY56" s="191"/>
      <c r="AZ56" s="191"/>
      <c r="BA56" s="191"/>
      <c r="BB56" s="191"/>
      <c r="BC56" s="191"/>
      <c r="BD56" s="191"/>
      <c r="BE56" s="26"/>
      <c r="BF56" s="26" t="s">
        <v>47</v>
      </c>
      <c r="BG56" s="26" t="str">
        <f t="shared" si="90"/>
        <v>Sales EoP Count - Advanced Stage</v>
      </c>
      <c r="BH56" s="195">
        <f t="shared" si="119"/>
        <v>0</v>
      </c>
      <c r="BI56" s="195">
        <f t="shared" si="120"/>
        <v>0</v>
      </c>
      <c r="BJ56" s="195">
        <f t="shared" si="121"/>
        <v>0</v>
      </c>
      <c r="BK56" s="304">
        <f t="shared" si="122"/>
        <v>0</v>
      </c>
      <c r="BL56" s="195">
        <f ca="1">IF(BF56="EoP",OFFSET(AR56,0,MONTH('2024 Control'!$C$4)-1),SUM(AR56:OFFSET(AR56,0,MONTH('2024 Control'!$C$4)-1))/IF(BF56="Sum",1,MONTH('2024 Control'!$C$4)))</f>
        <v>0</v>
      </c>
      <c r="BM56" s="304">
        <f t="shared" si="43"/>
        <v>0</v>
      </c>
    </row>
    <row r="57" spans="2:65">
      <c r="B57" s="26" t="s">
        <v>65</v>
      </c>
      <c r="C57" s="26" t="s">
        <v>83</v>
      </c>
      <c r="D57" s="204" t="str">
        <f t="shared" si="114"/>
        <v>Sales EoP Count - Total</v>
      </c>
      <c r="E57" s="26" t="s">
        <v>87</v>
      </c>
      <c r="F57" s="183" t="s">
        <v>247</v>
      </c>
      <c r="G57" s="183" t="s">
        <v>65</v>
      </c>
      <c r="H57" s="161">
        <f>SUM(H54:H56)</f>
        <v>61</v>
      </c>
      <c r="I57" s="161">
        <f t="shared" ref="I57:BD57" si="124">SUM(I54:I56)</f>
        <v>53</v>
      </c>
      <c r="J57" s="161">
        <f t="shared" si="124"/>
        <v>38</v>
      </c>
      <c r="K57" s="161">
        <f t="shared" si="124"/>
        <v>40</v>
      </c>
      <c r="L57" s="161">
        <f t="shared" si="124"/>
        <v>55</v>
      </c>
      <c r="M57" s="161">
        <f t="shared" si="124"/>
        <v>54</v>
      </c>
      <c r="N57" s="161">
        <f t="shared" si="124"/>
        <v>60</v>
      </c>
      <c r="O57" s="161">
        <f t="shared" si="124"/>
        <v>55</v>
      </c>
      <c r="P57" s="161">
        <f t="shared" si="124"/>
        <v>53</v>
      </c>
      <c r="Q57" s="161">
        <f t="shared" si="124"/>
        <v>39</v>
      </c>
      <c r="R57" s="161">
        <f t="shared" si="124"/>
        <v>0</v>
      </c>
      <c r="S57" s="161">
        <f t="shared" si="124"/>
        <v>0</v>
      </c>
      <c r="T57" s="161">
        <f t="shared" si="124"/>
        <v>0</v>
      </c>
      <c r="U57" s="161">
        <f t="shared" si="124"/>
        <v>0</v>
      </c>
      <c r="V57" s="161">
        <f t="shared" si="124"/>
        <v>0</v>
      </c>
      <c r="W57" s="161">
        <f t="shared" si="124"/>
        <v>0</v>
      </c>
      <c r="X57" s="161">
        <f t="shared" si="124"/>
        <v>0</v>
      </c>
      <c r="Y57" s="161">
        <f t="shared" si="124"/>
        <v>0</v>
      </c>
      <c r="Z57" s="161">
        <f t="shared" si="124"/>
        <v>0</v>
      </c>
      <c r="AA57" s="161">
        <f t="shared" si="124"/>
        <v>0</v>
      </c>
      <c r="AB57" s="161">
        <f t="shared" si="124"/>
        <v>0</v>
      </c>
      <c r="AC57" s="161">
        <f t="shared" si="124"/>
        <v>0</v>
      </c>
      <c r="AD57" s="161">
        <f t="shared" si="124"/>
        <v>0</v>
      </c>
      <c r="AE57" s="161">
        <f t="shared" si="124"/>
        <v>0</v>
      </c>
      <c r="AF57" s="161">
        <f t="shared" si="124"/>
        <v>0</v>
      </c>
      <c r="AG57" s="161">
        <f t="shared" si="124"/>
        <v>0</v>
      </c>
      <c r="AH57" s="161">
        <f t="shared" si="124"/>
        <v>0</v>
      </c>
      <c r="AI57" s="161">
        <f t="shared" si="124"/>
        <v>0</v>
      </c>
      <c r="AJ57" s="161">
        <f t="shared" si="124"/>
        <v>0</v>
      </c>
      <c r="AK57" s="161">
        <f t="shared" si="124"/>
        <v>0</v>
      </c>
      <c r="AL57" s="161">
        <f t="shared" si="124"/>
        <v>39</v>
      </c>
      <c r="AM57" s="161">
        <f t="shared" si="124"/>
        <v>39</v>
      </c>
      <c r="AN57" s="161">
        <f t="shared" si="124"/>
        <v>39</v>
      </c>
      <c r="AO57" s="161">
        <f t="shared" si="124"/>
        <v>0</v>
      </c>
      <c r="AP57" s="161">
        <f t="shared" si="124"/>
        <v>52</v>
      </c>
      <c r="AQ57" s="161">
        <f t="shared" si="124"/>
        <v>16</v>
      </c>
      <c r="AR57" s="161">
        <f t="shared" si="124"/>
        <v>0</v>
      </c>
      <c r="AS57" s="161">
        <f t="shared" si="124"/>
        <v>0</v>
      </c>
      <c r="AT57" s="161">
        <f t="shared" si="124"/>
        <v>0</v>
      </c>
      <c r="AU57" s="161">
        <f t="shared" si="124"/>
        <v>0</v>
      </c>
      <c r="AV57" s="161">
        <f t="shared" si="124"/>
        <v>0</v>
      </c>
      <c r="AW57" s="161">
        <f t="shared" si="124"/>
        <v>0</v>
      </c>
      <c r="AX57" s="161">
        <f t="shared" si="124"/>
        <v>0</v>
      </c>
      <c r="AY57" s="161">
        <f t="shared" si="124"/>
        <v>0</v>
      </c>
      <c r="AZ57" s="161">
        <f t="shared" si="124"/>
        <v>0</v>
      </c>
      <c r="BA57" s="161">
        <f t="shared" si="124"/>
        <v>0</v>
      </c>
      <c r="BB57" s="161">
        <f t="shared" si="124"/>
        <v>0</v>
      </c>
      <c r="BC57" s="161">
        <f t="shared" si="124"/>
        <v>0</v>
      </c>
      <c r="BD57" s="161">
        <f t="shared" si="124"/>
        <v>0</v>
      </c>
      <c r="BE57" s="26"/>
      <c r="BF57" s="26" t="s">
        <v>47</v>
      </c>
      <c r="BG57" s="26" t="str">
        <f t="shared" si="90"/>
        <v>Sales EoP Count - Total</v>
      </c>
      <c r="BH57" s="195">
        <f t="shared" si="119"/>
        <v>0</v>
      </c>
      <c r="BI57" s="195">
        <f t="shared" si="120"/>
        <v>0</v>
      </c>
      <c r="BJ57" s="195">
        <f t="shared" si="121"/>
        <v>0</v>
      </c>
      <c r="BK57" s="304">
        <f t="shared" si="122"/>
        <v>0</v>
      </c>
      <c r="BL57" s="195">
        <f ca="1">IF(BF57="EoP",OFFSET(AR57,0,MONTH('2024 Control'!$C$4)-1),SUM(AR57:OFFSET(AR57,0,MONTH('2024 Control'!$C$4)-1))/IF(BF57="Sum",1,MONTH('2024 Control'!$C$4)))</f>
        <v>0</v>
      </c>
      <c r="BM57" s="304">
        <f t="shared" si="43"/>
        <v>0</v>
      </c>
    </row>
    <row r="58" spans="2:65">
      <c r="B58" s="26" t="s">
        <v>65</v>
      </c>
      <c r="C58" s="26" t="s">
        <v>88</v>
      </c>
      <c r="D58" s="204" t="str">
        <f t="shared" si="114"/>
        <v>Sales Pipeline Weeks - Early</v>
      </c>
      <c r="E58" s="26" t="s">
        <v>89</v>
      </c>
      <c r="F58" s="183" t="s">
        <v>247</v>
      </c>
      <c r="G58" s="183" t="s">
        <v>65</v>
      </c>
      <c r="H58" s="160">
        <v>15</v>
      </c>
      <c r="I58" s="191">
        <v>18</v>
      </c>
      <c r="J58" s="191"/>
      <c r="K58" s="191">
        <v>22</v>
      </c>
      <c r="L58" s="191">
        <f>130.6875/7</f>
        <v>18.669642857142858</v>
      </c>
      <c r="M58" s="191">
        <f>127.0976/7</f>
        <v>18.1568</v>
      </c>
      <c r="N58" s="191">
        <f>142.04/7</f>
        <v>20.291428571428572</v>
      </c>
      <c r="O58" s="191">
        <f>141.375/7</f>
        <v>20.196428571428573</v>
      </c>
      <c r="P58" s="191">
        <f>168.09/7</f>
        <v>24.012857142857143</v>
      </c>
      <c r="Q58" s="191">
        <f>186.75/7</f>
        <v>26.678571428571427</v>
      </c>
      <c r="R58" s="191"/>
      <c r="S58" s="191"/>
      <c r="T58" s="191"/>
      <c r="U58" s="191"/>
      <c r="V58" s="191"/>
      <c r="W58" s="191"/>
      <c r="X58" s="191"/>
      <c r="Y58" s="191"/>
      <c r="Z58" s="191"/>
      <c r="AA58" s="191"/>
      <c r="AB58" s="191"/>
      <c r="AC58" s="191"/>
      <c r="AD58" s="191"/>
      <c r="AE58" s="191"/>
      <c r="AF58" s="191"/>
      <c r="AG58" s="191"/>
      <c r="AH58" s="341"/>
      <c r="AI58" s="191"/>
      <c r="AJ58" s="191"/>
      <c r="AK58" s="191"/>
      <c r="AL58" s="191"/>
      <c r="AM58" s="191"/>
      <c r="AN58" s="191"/>
      <c r="AO58" s="191"/>
      <c r="AP58" s="191"/>
      <c r="AQ58" s="191"/>
      <c r="AR58" s="191"/>
      <c r="AS58" s="191"/>
      <c r="AT58" s="191"/>
      <c r="AU58" s="191"/>
      <c r="AV58" s="191"/>
      <c r="AW58" s="191"/>
      <c r="AX58" s="191"/>
      <c r="AY58" s="191"/>
      <c r="AZ58" s="191"/>
      <c r="BA58" s="191"/>
      <c r="BB58" s="191"/>
      <c r="BC58" s="191"/>
      <c r="BD58" s="191"/>
      <c r="BE58" s="26"/>
      <c r="BF58" s="26" t="s">
        <v>249</v>
      </c>
      <c r="BG58" s="26" t="str">
        <f t="shared" si="90"/>
        <v>Sales Pipeline Weeks - Early</v>
      </c>
      <c r="BH58" s="195" t="str">
        <f t="shared" si="119"/>
        <v>-</v>
      </c>
      <c r="BI58" s="195" t="str">
        <f t="shared" si="120"/>
        <v>-</v>
      </c>
      <c r="BJ58" s="195" t="str">
        <f t="shared" si="121"/>
        <v>-</v>
      </c>
      <c r="BK58" s="304" t="str">
        <f t="shared" si="122"/>
        <v>-</v>
      </c>
      <c r="BL58" s="195">
        <f ca="1">IF(BF58="EoP",OFFSET(AR58,0,MONTH('2024 Control'!$C$4)-1),SUM(AR58:OFFSET(AR58,0,MONTH('2024 Control'!$C$4)-1))/IF(BF58="Sum",1,MONTH('2024 Control'!$C$4)))</f>
        <v>0</v>
      </c>
      <c r="BM58" s="304" t="e">
        <f t="shared" si="43"/>
        <v>#DIV/0!</v>
      </c>
    </row>
    <row r="59" spans="2:65">
      <c r="B59" s="26" t="s">
        <v>65</v>
      </c>
      <c r="C59" s="26" t="s">
        <v>88</v>
      </c>
      <c r="D59" s="204" t="str">
        <f t="shared" si="114"/>
        <v>Sales Pipeline Weeks - Intermediate</v>
      </c>
      <c r="E59" s="26" t="s">
        <v>90</v>
      </c>
      <c r="F59" s="183" t="s">
        <v>247</v>
      </c>
      <c r="G59" s="183" t="s">
        <v>65</v>
      </c>
      <c r="H59" s="160">
        <v>25</v>
      </c>
      <c r="I59" s="191">
        <v>15</v>
      </c>
      <c r="J59" s="191"/>
      <c r="K59" s="191">
        <v>21</v>
      </c>
      <c r="L59" s="191">
        <f>160/7</f>
        <v>22.857142857142858</v>
      </c>
      <c r="M59" s="191">
        <f>121.4615/7</f>
        <v>17.351642857142856</v>
      </c>
      <c r="N59" s="191">
        <f>97/7</f>
        <v>13.857142857142858</v>
      </c>
      <c r="O59" s="191">
        <f>215.17/7</f>
        <v>30.738571428571426</v>
      </c>
      <c r="P59" s="191">
        <f>203.375/7</f>
        <v>29.053571428571427</v>
      </c>
      <c r="Q59" s="191">
        <f>225.44/7</f>
        <v>32.205714285714286</v>
      </c>
      <c r="R59" s="191"/>
      <c r="S59" s="191"/>
      <c r="T59" s="191"/>
      <c r="U59" s="191"/>
      <c r="V59" s="191"/>
      <c r="W59" s="191"/>
      <c r="X59" s="191"/>
      <c r="Y59" s="191"/>
      <c r="Z59" s="191"/>
      <c r="AA59" s="191"/>
      <c r="AB59" s="191"/>
      <c r="AC59" s="191"/>
      <c r="AD59" s="191"/>
      <c r="AE59" s="191"/>
      <c r="AF59" s="191"/>
      <c r="AG59" s="191"/>
      <c r="AH59" s="341"/>
      <c r="AI59" s="191"/>
      <c r="AJ59" s="191"/>
      <c r="AK59" s="191"/>
      <c r="AL59" s="191"/>
      <c r="AM59" s="191"/>
      <c r="AN59" s="191"/>
      <c r="AO59" s="191"/>
      <c r="AP59" s="191"/>
      <c r="AQ59" s="191"/>
      <c r="AR59" s="191"/>
      <c r="AS59" s="191"/>
      <c r="AT59" s="191"/>
      <c r="AU59" s="191"/>
      <c r="AV59" s="191"/>
      <c r="AW59" s="191"/>
      <c r="AX59" s="191"/>
      <c r="AY59" s="191"/>
      <c r="AZ59" s="191"/>
      <c r="BA59" s="191"/>
      <c r="BB59" s="191"/>
      <c r="BC59" s="191"/>
      <c r="BD59" s="191"/>
      <c r="BE59" s="26"/>
      <c r="BF59" s="26" t="s">
        <v>249</v>
      </c>
      <c r="BG59" s="26" t="str">
        <f t="shared" si="90"/>
        <v>Sales Pipeline Weeks - Intermediate</v>
      </c>
      <c r="BH59" s="195" t="str">
        <f t="shared" si="119"/>
        <v>-</v>
      </c>
      <c r="BI59" s="195" t="str">
        <f t="shared" si="120"/>
        <v>-</v>
      </c>
      <c r="BJ59" s="195" t="str">
        <f t="shared" si="121"/>
        <v>-</v>
      </c>
      <c r="BK59" s="304" t="str">
        <f t="shared" si="122"/>
        <v>-</v>
      </c>
      <c r="BL59" s="195">
        <f ca="1">IF(BF59="EoP",OFFSET(AR59,0,MONTH('2024 Control'!$C$4)-1),SUM(AR59:OFFSET(AR59,0,MONTH('2024 Control'!$C$4)-1))/IF(BF59="Sum",1,MONTH('2024 Control'!$C$4)))</f>
        <v>0</v>
      </c>
      <c r="BM59" s="304" t="e">
        <f t="shared" si="43"/>
        <v>#DIV/0!</v>
      </c>
    </row>
    <row r="60" spans="2:65">
      <c r="B60" s="26" t="s">
        <v>65</v>
      </c>
      <c r="C60" s="26" t="s">
        <v>88</v>
      </c>
      <c r="D60" s="204" t="str">
        <f t="shared" si="114"/>
        <v>Sales Pipeline Weeks - Advanced</v>
      </c>
      <c r="E60" s="26" t="s">
        <v>91</v>
      </c>
      <c r="F60" s="183" t="s">
        <v>247</v>
      </c>
      <c r="G60" s="183" t="s">
        <v>65</v>
      </c>
      <c r="H60" s="160">
        <v>30</v>
      </c>
      <c r="I60" s="191">
        <v>21</v>
      </c>
      <c r="J60" s="191"/>
      <c r="K60" s="191">
        <v>26</v>
      </c>
      <c r="L60" s="191">
        <f>211/7</f>
        <v>30.142857142857142</v>
      </c>
      <c r="M60" s="191">
        <v>0</v>
      </c>
      <c r="N60" s="191">
        <v>0</v>
      </c>
      <c r="O60" s="191">
        <f>80/7</f>
        <v>11.428571428571429</v>
      </c>
      <c r="P60" s="191">
        <f>110/7</f>
        <v>15.714285714285714</v>
      </c>
      <c r="Q60" s="191">
        <f>123.5/7</f>
        <v>17.642857142857142</v>
      </c>
      <c r="R60" s="191"/>
      <c r="S60" s="191"/>
      <c r="T60" s="191"/>
      <c r="U60" s="191"/>
      <c r="V60" s="191"/>
      <c r="W60" s="191"/>
      <c r="X60" s="191"/>
      <c r="Y60" s="191"/>
      <c r="Z60" s="191"/>
      <c r="AA60" s="191"/>
      <c r="AB60" s="191"/>
      <c r="AC60" s="191"/>
      <c r="AD60" s="191"/>
      <c r="AE60" s="191"/>
      <c r="AF60" s="191"/>
      <c r="AG60" s="191"/>
      <c r="AH60" s="341"/>
      <c r="AI60" s="191"/>
      <c r="AJ60" s="191"/>
      <c r="AK60" s="191"/>
      <c r="AL60" s="191"/>
      <c r="AM60" s="191"/>
      <c r="AN60" s="191"/>
      <c r="AO60" s="191"/>
      <c r="AP60" s="191"/>
      <c r="AQ60" s="191"/>
      <c r="AR60" s="191"/>
      <c r="AS60" s="191"/>
      <c r="AT60" s="191"/>
      <c r="AU60" s="191"/>
      <c r="AV60" s="191"/>
      <c r="AW60" s="191"/>
      <c r="AX60" s="191"/>
      <c r="AY60" s="191"/>
      <c r="AZ60" s="191"/>
      <c r="BA60" s="191"/>
      <c r="BB60" s="191"/>
      <c r="BC60" s="191"/>
      <c r="BD60" s="191"/>
      <c r="BE60" s="26"/>
      <c r="BF60" s="26" t="s">
        <v>249</v>
      </c>
      <c r="BG60" s="26" t="str">
        <f t="shared" si="90"/>
        <v>Sales Pipeline Weeks - Advanced</v>
      </c>
      <c r="BH60" s="195" t="str">
        <f t="shared" si="119"/>
        <v>-</v>
      </c>
      <c r="BI60" s="195" t="str">
        <f t="shared" si="120"/>
        <v>-</v>
      </c>
      <c r="BJ60" s="195" t="str">
        <f t="shared" si="121"/>
        <v>-</v>
      </c>
      <c r="BK60" s="304" t="str">
        <f t="shared" si="122"/>
        <v>-</v>
      </c>
      <c r="BL60" s="195">
        <f ca="1">IF(BF60="EoP",OFFSET(AR60,0,MONTH('2024 Control'!$C$4)-1),SUM(AR60:OFFSET(AR60,0,MONTH('2024 Control'!$C$4)-1))/IF(BF60="Sum",1,MONTH('2024 Control'!$C$4)))</f>
        <v>0</v>
      </c>
      <c r="BM60" s="304" t="e">
        <f t="shared" si="43"/>
        <v>#DIV/0!</v>
      </c>
    </row>
    <row r="61" spans="2:65">
      <c r="B61" s="26" t="s">
        <v>65</v>
      </c>
      <c r="C61" s="26" t="s">
        <v>92</v>
      </c>
      <c r="D61" s="204" t="str">
        <f t="shared" si="114"/>
        <v>Sales Lost + Nutured - Early</v>
      </c>
      <c r="E61" s="26" t="s">
        <v>93</v>
      </c>
      <c r="F61" s="183" t="s">
        <v>247</v>
      </c>
      <c r="G61" s="183" t="s">
        <v>65</v>
      </c>
      <c r="H61" s="160">
        <v>4</v>
      </c>
      <c r="I61" s="191">
        <v>6</v>
      </c>
      <c r="J61" s="191">
        <v>16</v>
      </c>
      <c r="K61" s="191">
        <v>1</v>
      </c>
      <c r="L61" s="191">
        <v>3</v>
      </c>
      <c r="M61" s="191">
        <v>11</v>
      </c>
      <c r="N61" s="191">
        <v>4</v>
      </c>
      <c r="O61" s="191">
        <f>5+4</f>
        <v>9</v>
      </c>
      <c r="P61" s="191">
        <v>6</v>
      </c>
      <c r="Q61" s="191">
        <v>16</v>
      </c>
      <c r="R61" s="191"/>
      <c r="S61" s="191"/>
      <c r="T61" s="191"/>
      <c r="U61" s="191"/>
      <c r="V61" s="191"/>
      <c r="W61" s="191"/>
      <c r="X61" s="191"/>
      <c r="Y61" s="191"/>
      <c r="Z61" s="191"/>
      <c r="AA61" s="191"/>
      <c r="AB61" s="191"/>
      <c r="AC61" s="191"/>
      <c r="AD61" s="191"/>
      <c r="AE61" s="191"/>
      <c r="AF61" s="191">
        <v>14</v>
      </c>
      <c r="AG61" s="191">
        <v>9</v>
      </c>
      <c r="AH61" s="341">
        <v>2</v>
      </c>
      <c r="AI61" s="191">
        <v>0</v>
      </c>
      <c r="AJ61" s="191">
        <v>2</v>
      </c>
      <c r="AK61" s="191">
        <v>2</v>
      </c>
      <c r="AL61" s="191"/>
      <c r="AM61" s="191"/>
      <c r="AN61" s="191">
        <v>2</v>
      </c>
      <c r="AO61" s="191">
        <v>1</v>
      </c>
      <c r="AP61" s="191">
        <v>3</v>
      </c>
      <c r="AQ61" s="191"/>
      <c r="AR61" s="191"/>
      <c r="AS61" s="191"/>
      <c r="AT61" s="191"/>
      <c r="AU61" s="191"/>
      <c r="AV61" s="191"/>
      <c r="AW61" s="191"/>
      <c r="AX61" s="191"/>
      <c r="AY61" s="191"/>
      <c r="AZ61" s="191"/>
      <c r="BA61" s="191"/>
      <c r="BB61" s="191"/>
      <c r="BC61" s="191"/>
      <c r="BD61" s="191"/>
      <c r="BE61" s="26"/>
      <c r="BF61" s="26" t="s">
        <v>250</v>
      </c>
      <c r="BG61" s="26" t="str">
        <f t="shared" si="90"/>
        <v>Sales Lost + Nutured - Early</v>
      </c>
      <c r="BH61" s="195">
        <f t="shared" si="119"/>
        <v>0</v>
      </c>
      <c r="BI61" s="195">
        <f t="shared" si="120"/>
        <v>0</v>
      </c>
      <c r="BJ61" s="195">
        <f t="shared" si="121"/>
        <v>0</v>
      </c>
      <c r="BK61" s="304">
        <f t="shared" si="122"/>
        <v>0</v>
      </c>
      <c r="BL61" s="195">
        <f ca="1">IF(BF61="EoP",OFFSET(AR61,0,MONTH('2024 Control'!$C$4)-1),SUM(AR61:OFFSET(AR61,0,MONTH('2024 Control'!$C$4)-1))/IF(BF61="Sum",1,MONTH('2024 Control'!$C$4)))</f>
        <v>0</v>
      </c>
      <c r="BM61" s="304">
        <f t="shared" si="43"/>
        <v>21</v>
      </c>
    </row>
    <row r="62" spans="2:65">
      <c r="B62" s="26" t="s">
        <v>65</v>
      </c>
      <c r="C62" s="26" t="s">
        <v>92</v>
      </c>
      <c r="D62" s="204" t="str">
        <f t="shared" si="114"/>
        <v>Sales Lost + Nutured - Intermediate</v>
      </c>
      <c r="E62" s="26" t="s">
        <v>94</v>
      </c>
      <c r="F62" s="183" t="s">
        <v>247</v>
      </c>
      <c r="G62" s="183" t="s">
        <v>65</v>
      </c>
      <c r="H62" s="160"/>
      <c r="I62" s="191">
        <v>4</v>
      </c>
      <c r="J62" s="191">
        <v>2</v>
      </c>
      <c r="K62" s="191">
        <v>1</v>
      </c>
      <c r="L62" s="191">
        <v>0</v>
      </c>
      <c r="M62" s="191">
        <v>0</v>
      </c>
      <c r="N62" s="191">
        <v>2</v>
      </c>
      <c r="O62" s="191">
        <v>2</v>
      </c>
      <c r="P62" s="191">
        <v>0</v>
      </c>
      <c r="Q62" s="191">
        <v>2</v>
      </c>
      <c r="R62" s="191"/>
      <c r="S62" s="191"/>
      <c r="T62" s="191"/>
      <c r="U62" s="191"/>
      <c r="V62" s="191"/>
      <c r="W62" s="191"/>
      <c r="X62" s="191"/>
      <c r="Y62" s="191"/>
      <c r="Z62" s="191"/>
      <c r="AA62" s="191"/>
      <c r="AB62" s="191"/>
      <c r="AC62" s="191"/>
      <c r="AD62" s="191"/>
      <c r="AE62" s="191"/>
      <c r="AF62" s="191">
        <v>6</v>
      </c>
      <c r="AG62" s="191">
        <v>2</v>
      </c>
      <c r="AH62" s="341"/>
      <c r="AI62" s="191"/>
      <c r="AJ62" s="191"/>
      <c r="AK62" s="191"/>
      <c r="AL62" s="191"/>
      <c r="AM62" s="191"/>
      <c r="AN62" s="191"/>
      <c r="AO62" s="191">
        <v>1</v>
      </c>
      <c r="AP62" s="191"/>
      <c r="AQ62" s="191">
        <v>1</v>
      </c>
      <c r="AR62" s="191"/>
      <c r="AS62" s="191"/>
      <c r="AT62" s="191"/>
      <c r="AU62" s="191"/>
      <c r="AV62" s="191"/>
      <c r="AW62" s="191"/>
      <c r="AX62" s="191"/>
      <c r="AY62" s="191"/>
      <c r="AZ62" s="191"/>
      <c r="BA62" s="191"/>
      <c r="BB62" s="191"/>
      <c r="BC62" s="191"/>
      <c r="BD62" s="191"/>
      <c r="BE62" s="26"/>
      <c r="BF62" s="26" t="s">
        <v>250</v>
      </c>
      <c r="BG62" s="26" t="str">
        <f t="shared" si="90"/>
        <v>Sales Lost + Nutured - Intermediate</v>
      </c>
      <c r="BH62" s="195">
        <f t="shared" si="119"/>
        <v>0</v>
      </c>
      <c r="BI62" s="195">
        <f t="shared" si="120"/>
        <v>0</v>
      </c>
      <c r="BJ62" s="195">
        <f t="shared" si="121"/>
        <v>0</v>
      </c>
      <c r="BK62" s="304">
        <f t="shared" si="122"/>
        <v>0</v>
      </c>
      <c r="BL62" s="195">
        <f ca="1">IF(BF62="EoP",OFFSET(AR62,0,MONTH('2024 Control'!$C$4)-1),SUM(AR62:OFFSET(AR62,0,MONTH('2024 Control'!$C$4)-1))/IF(BF62="Sum",1,MONTH('2024 Control'!$C$4)))</f>
        <v>0</v>
      </c>
      <c r="BM62" s="304">
        <f t="shared" si="43"/>
        <v>4</v>
      </c>
    </row>
    <row r="63" spans="2:65">
      <c r="B63" s="26" t="s">
        <v>65</v>
      </c>
      <c r="C63" s="26" t="s">
        <v>92</v>
      </c>
      <c r="D63" s="204" t="str">
        <f t="shared" si="114"/>
        <v>Sales Lost + Nutured - Advanced</v>
      </c>
      <c r="E63" s="26" t="s">
        <v>95</v>
      </c>
      <c r="F63" s="183" t="s">
        <v>247</v>
      </c>
      <c r="G63" s="183" t="s">
        <v>65</v>
      </c>
      <c r="H63" s="160">
        <v>2</v>
      </c>
      <c r="I63" s="191">
        <v>0</v>
      </c>
      <c r="J63" s="191">
        <v>1</v>
      </c>
      <c r="K63" s="191">
        <v>0</v>
      </c>
      <c r="L63" s="191">
        <v>0</v>
      </c>
      <c r="M63" s="191">
        <v>0</v>
      </c>
      <c r="N63" s="191">
        <v>0</v>
      </c>
      <c r="O63" s="191">
        <v>0</v>
      </c>
      <c r="P63" s="191">
        <v>0</v>
      </c>
      <c r="Q63" s="191"/>
      <c r="R63" s="191"/>
      <c r="S63" s="191"/>
      <c r="T63" s="191"/>
      <c r="U63" s="191"/>
      <c r="V63" s="191"/>
      <c r="W63" s="191"/>
      <c r="X63" s="191"/>
      <c r="Y63" s="191"/>
      <c r="Z63" s="191"/>
      <c r="AA63" s="191"/>
      <c r="AB63" s="191"/>
      <c r="AC63" s="191"/>
      <c r="AD63" s="191"/>
      <c r="AE63" s="191"/>
      <c r="AF63" s="191">
        <v>1</v>
      </c>
      <c r="AG63" s="191"/>
      <c r="AH63" s="341"/>
      <c r="AI63" s="191"/>
      <c r="AJ63" s="191"/>
      <c r="AK63" s="191">
        <v>1</v>
      </c>
      <c r="AL63" s="191"/>
      <c r="AM63" s="191"/>
      <c r="AN63" s="191"/>
      <c r="AO63" s="191"/>
      <c r="AP63" s="191"/>
      <c r="AQ63" s="191"/>
      <c r="AR63" s="191"/>
      <c r="AS63" s="191"/>
      <c r="AT63" s="191"/>
      <c r="AU63" s="191"/>
      <c r="AV63" s="191"/>
      <c r="AW63" s="191"/>
      <c r="AX63" s="191"/>
      <c r="AY63" s="191"/>
      <c r="AZ63" s="191"/>
      <c r="BA63" s="191"/>
      <c r="BB63" s="191"/>
      <c r="BC63" s="191"/>
      <c r="BD63" s="191"/>
      <c r="BE63" s="26"/>
      <c r="BF63" s="26" t="s">
        <v>250</v>
      </c>
      <c r="BG63" s="26" t="str">
        <f t="shared" si="90"/>
        <v>Sales Lost + Nutured - Advanced</v>
      </c>
      <c r="BH63" s="195">
        <f t="shared" si="119"/>
        <v>0</v>
      </c>
      <c r="BI63" s="195">
        <f t="shared" si="120"/>
        <v>0</v>
      </c>
      <c r="BJ63" s="195">
        <f t="shared" si="121"/>
        <v>0</v>
      </c>
      <c r="BK63" s="304">
        <f t="shared" si="122"/>
        <v>0</v>
      </c>
      <c r="BL63" s="195">
        <f ca="1">IF(BF63="EoP",OFFSET(AR63,0,MONTH('2024 Control'!$C$4)-1),SUM(AR63:OFFSET(AR63,0,MONTH('2024 Control'!$C$4)-1))/IF(BF63="Sum",1,MONTH('2024 Control'!$C$4)))</f>
        <v>0</v>
      </c>
      <c r="BM63" s="304">
        <f t="shared" si="43"/>
        <v>1</v>
      </c>
    </row>
    <row r="64" spans="2:65">
      <c r="B64" s="26" t="s">
        <v>65</v>
      </c>
      <c r="C64" s="26" t="s">
        <v>92</v>
      </c>
      <c r="D64" s="204" t="str">
        <f t="shared" si="114"/>
        <v>Sales Lost + Nutured - Total</v>
      </c>
      <c r="E64" s="26" t="s">
        <v>96</v>
      </c>
      <c r="F64" s="183" t="s">
        <v>247</v>
      </c>
      <c r="G64" s="183" t="s">
        <v>65</v>
      </c>
      <c r="H64" s="161">
        <f t="shared" ref="H64:J64" si="125">SUM(H61:H63)</f>
        <v>6</v>
      </c>
      <c r="I64" s="161">
        <f t="shared" si="125"/>
        <v>10</v>
      </c>
      <c r="J64" s="161">
        <f t="shared" si="125"/>
        <v>19</v>
      </c>
      <c r="K64" s="161">
        <f t="shared" ref="K64:BD64" si="126">SUM(K61:K63)</f>
        <v>2</v>
      </c>
      <c r="L64" s="161">
        <f t="shared" si="126"/>
        <v>3</v>
      </c>
      <c r="M64" s="161">
        <f t="shared" si="126"/>
        <v>11</v>
      </c>
      <c r="N64" s="161">
        <f t="shared" si="126"/>
        <v>6</v>
      </c>
      <c r="O64" s="161">
        <f t="shared" si="126"/>
        <v>11</v>
      </c>
      <c r="P64" s="161">
        <f t="shared" si="126"/>
        <v>6</v>
      </c>
      <c r="Q64" s="161">
        <f t="shared" si="126"/>
        <v>18</v>
      </c>
      <c r="R64" s="161">
        <f t="shared" si="126"/>
        <v>0</v>
      </c>
      <c r="S64" s="161">
        <f t="shared" si="126"/>
        <v>0</v>
      </c>
      <c r="T64" s="161">
        <f t="shared" si="126"/>
        <v>0</v>
      </c>
      <c r="U64" s="161">
        <f t="shared" si="126"/>
        <v>0</v>
      </c>
      <c r="V64" s="161">
        <f t="shared" si="126"/>
        <v>0</v>
      </c>
      <c r="W64" s="161">
        <f t="shared" si="126"/>
        <v>0</v>
      </c>
      <c r="X64" s="161">
        <f t="shared" si="126"/>
        <v>0</v>
      </c>
      <c r="Y64" s="161">
        <f t="shared" si="126"/>
        <v>0</v>
      </c>
      <c r="Z64" s="161">
        <f t="shared" si="126"/>
        <v>0</v>
      </c>
      <c r="AA64" s="161">
        <f t="shared" si="126"/>
        <v>0</v>
      </c>
      <c r="AB64" s="161">
        <f t="shared" si="126"/>
        <v>0</v>
      </c>
      <c r="AC64" s="161">
        <f t="shared" si="126"/>
        <v>0</v>
      </c>
      <c r="AD64" s="161">
        <f t="shared" si="126"/>
        <v>0</v>
      </c>
      <c r="AE64" s="161">
        <f t="shared" si="126"/>
        <v>0</v>
      </c>
      <c r="AF64" s="161">
        <v>2</v>
      </c>
      <c r="AG64" s="161">
        <v>3</v>
      </c>
      <c r="AH64" s="161">
        <v>3</v>
      </c>
      <c r="AI64" s="161">
        <v>4</v>
      </c>
      <c r="AJ64" s="161">
        <v>3</v>
      </c>
      <c r="AK64" s="161">
        <v>3</v>
      </c>
      <c r="AL64" s="161">
        <v>4</v>
      </c>
      <c r="AM64" s="161">
        <v>3</v>
      </c>
      <c r="AN64" s="161">
        <v>3</v>
      </c>
      <c r="AO64" s="161">
        <v>3</v>
      </c>
      <c r="AP64" s="161"/>
      <c r="AQ64" s="161">
        <f t="shared" si="126"/>
        <v>1</v>
      </c>
      <c r="AR64" s="161">
        <f t="shared" si="126"/>
        <v>0</v>
      </c>
      <c r="AS64" s="161">
        <f t="shared" si="126"/>
        <v>0</v>
      </c>
      <c r="AT64" s="161">
        <f t="shared" si="126"/>
        <v>0</v>
      </c>
      <c r="AU64" s="161">
        <f t="shared" si="126"/>
        <v>0</v>
      </c>
      <c r="AV64" s="161">
        <f t="shared" si="126"/>
        <v>0</v>
      </c>
      <c r="AW64" s="161">
        <f t="shared" si="126"/>
        <v>0</v>
      </c>
      <c r="AX64" s="161">
        <f t="shared" si="126"/>
        <v>0</v>
      </c>
      <c r="AY64" s="161">
        <f t="shared" si="126"/>
        <v>0</v>
      </c>
      <c r="AZ64" s="161">
        <f t="shared" si="126"/>
        <v>0</v>
      </c>
      <c r="BA64" s="161">
        <f t="shared" si="126"/>
        <v>0</v>
      </c>
      <c r="BB64" s="161">
        <f t="shared" si="126"/>
        <v>0</v>
      </c>
      <c r="BC64" s="161">
        <f t="shared" si="126"/>
        <v>0</v>
      </c>
      <c r="BD64" s="161">
        <f t="shared" si="126"/>
        <v>0</v>
      </c>
      <c r="BE64" s="26"/>
      <c r="BF64" s="26" t="s">
        <v>250</v>
      </c>
      <c r="BG64" s="26" t="str">
        <f t="shared" si="90"/>
        <v>Sales Lost + Nutured - Total</v>
      </c>
      <c r="BH64" s="195">
        <f t="shared" si="119"/>
        <v>0</v>
      </c>
      <c r="BI64" s="195">
        <f t="shared" si="120"/>
        <v>0</v>
      </c>
      <c r="BJ64" s="195">
        <f t="shared" si="121"/>
        <v>0</v>
      </c>
      <c r="BK64" s="304">
        <f t="shared" si="122"/>
        <v>0</v>
      </c>
      <c r="BL64" s="195">
        <f ca="1">IF(BF64="EoP",OFFSET(AR64,0,MONTH('2024 Control'!$C$4)-1),SUM(AR64:OFFSET(AR64,0,MONTH('2024 Control'!$C$4)-1))/IF(BF64="Sum",1,MONTH('2024 Control'!$C$4)))</f>
        <v>0</v>
      </c>
      <c r="BM64" s="304">
        <f t="shared" si="43"/>
        <v>30</v>
      </c>
    </row>
    <row r="65" spans="2:65">
      <c r="B65" s="26" t="s">
        <v>65</v>
      </c>
      <c r="C65" s="26" t="s">
        <v>57</v>
      </c>
      <c r="D65" s="204" t="str">
        <f t="shared" si="114"/>
        <v>Sales Headcount</v>
      </c>
      <c r="E65" s="26" t="s">
        <v>97</v>
      </c>
      <c r="F65" s="183" t="s">
        <v>247</v>
      </c>
      <c r="G65" s="183" t="s">
        <v>4</v>
      </c>
      <c r="H65" s="160">
        <v>6</v>
      </c>
      <c r="I65" s="191">
        <v>7</v>
      </c>
      <c r="J65" s="191">
        <v>8</v>
      </c>
      <c r="K65" s="191">
        <v>9</v>
      </c>
      <c r="L65" s="191">
        <v>10</v>
      </c>
      <c r="M65" s="191">
        <v>9</v>
      </c>
      <c r="N65" s="191">
        <v>8</v>
      </c>
      <c r="O65" s="191">
        <v>8</v>
      </c>
      <c r="P65" s="191">
        <v>9</v>
      </c>
      <c r="Q65" s="191">
        <v>9</v>
      </c>
      <c r="R65" s="191"/>
      <c r="S65" s="191"/>
      <c r="T65" s="191"/>
      <c r="U65" s="191"/>
      <c r="V65" s="191"/>
      <c r="W65" s="191"/>
      <c r="X65" s="191"/>
      <c r="Y65" s="191"/>
      <c r="Z65" s="191"/>
      <c r="AA65" s="191"/>
      <c r="AB65" s="191"/>
      <c r="AC65" s="191"/>
      <c r="AD65" s="191"/>
      <c r="AE65" s="191"/>
      <c r="AF65" s="191">
        <v>9</v>
      </c>
      <c r="AG65" s="191">
        <v>9</v>
      </c>
      <c r="AH65" s="160">
        <v>9</v>
      </c>
      <c r="AI65" s="191">
        <v>8</v>
      </c>
      <c r="AJ65" s="191">
        <v>8</v>
      </c>
      <c r="AK65" s="191">
        <v>8</v>
      </c>
      <c r="AL65" s="191">
        <v>8</v>
      </c>
      <c r="AM65" s="191">
        <v>8</v>
      </c>
      <c r="AN65" s="191">
        <v>8</v>
      </c>
      <c r="AO65" s="191">
        <v>8</v>
      </c>
      <c r="AP65" s="191">
        <v>8</v>
      </c>
      <c r="AQ65" s="191">
        <v>4</v>
      </c>
      <c r="AR65" s="191">
        <v>4</v>
      </c>
      <c r="AS65" s="191">
        <v>4</v>
      </c>
      <c r="AT65" s="191">
        <v>2</v>
      </c>
      <c r="AU65" s="191"/>
      <c r="AV65" s="191"/>
      <c r="AW65" s="191"/>
      <c r="AX65" s="191"/>
      <c r="AY65" s="191"/>
      <c r="AZ65" s="191"/>
      <c r="BA65" s="191"/>
      <c r="BB65" s="191"/>
      <c r="BC65" s="191"/>
      <c r="BD65" s="191"/>
      <c r="BE65" s="26"/>
      <c r="BF65" s="26" t="s">
        <v>47</v>
      </c>
      <c r="BG65" s="26" t="str">
        <f t="shared" si="90"/>
        <v>Sales Headcount</v>
      </c>
      <c r="BH65" s="195">
        <f t="shared" si="119"/>
        <v>2</v>
      </c>
      <c r="BI65" s="195">
        <f t="shared" si="120"/>
        <v>0</v>
      </c>
      <c r="BJ65" s="195">
        <f t="shared" si="121"/>
        <v>0</v>
      </c>
      <c r="BK65" s="304">
        <f t="shared" si="122"/>
        <v>0</v>
      </c>
      <c r="BL65" s="195">
        <f ca="1">IF(BF65="EoP",OFFSET(AR65,0,MONTH('2024 Control'!$C$4)-1),SUM(AR65:OFFSET(AR65,0,MONTH('2024 Control'!$C$4)-1))/IF(BF65="Sum",1,MONTH('2024 Control'!$C$4)))</f>
        <v>0</v>
      </c>
      <c r="BM65" s="304">
        <f t="shared" si="43"/>
        <v>4</v>
      </c>
    </row>
    <row r="66" spans="2:65">
      <c r="B66" s="26" t="s">
        <v>65</v>
      </c>
      <c r="C66" s="26" t="s">
        <v>57</v>
      </c>
      <c r="D66" s="204" t="str">
        <f t="shared" si="114"/>
        <v>Sales Sales expense</v>
      </c>
      <c r="E66" s="26" t="s">
        <v>98</v>
      </c>
      <c r="F66" s="183" t="s">
        <v>253</v>
      </c>
      <c r="G66" s="183" t="s">
        <v>4</v>
      </c>
      <c r="H66" s="252">
        <f>-H108</f>
        <v>135237.53</v>
      </c>
      <c r="I66" s="252">
        <f t="shared" ref="I66:M66" si="127">-I108</f>
        <v>118496.64</v>
      </c>
      <c r="J66" s="252">
        <f t="shared" si="127"/>
        <v>140726.63</v>
      </c>
      <c r="K66" s="252">
        <f t="shared" si="127"/>
        <v>148811.22</v>
      </c>
      <c r="L66" s="252">
        <f t="shared" si="127"/>
        <v>151250</v>
      </c>
      <c r="M66" s="252">
        <f t="shared" si="127"/>
        <v>146217.68</v>
      </c>
      <c r="N66" s="252">
        <f t="shared" ref="N66:O66" si="128">-N108</f>
        <v>122131.65</v>
      </c>
      <c r="O66" s="252">
        <f t="shared" si="128"/>
        <v>128831.6</v>
      </c>
      <c r="P66" s="252">
        <f t="shared" ref="P66:Q66" si="129">-P108</f>
        <v>112545.23999999999</v>
      </c>
      <c r="Q66" s="252">
        <f t="shared" si="129"/>
        <v>110157.75999999999</v>
      </c>
      <c r="R66" s="252">
        <f t="shared" ref="R66:AE66" si="130">-R108</f>
        <v>0</v>
      </c>
      <c r="S66" s="252">
        <f t="shared" si="130"/>
        <v>0</v>
      </c>
      <c r="T66" s="252">
        <f t="shared" si="130"/>
        <v>0</v>
      </c>
      <c r="U66" s="252">
        <f t="shared" si="130"/>
        <v>0</v>
      </c>
      <c r="V66" s="252">
        <f t="shared" si="130"/>
        <v>0</v>
      </c>
      <c r="W66" s="252">
        <f t="shared" si="130"/>
        <v>0</v>
      </c>
      <c r="X66" s="252">
        <f t="shared" si="130"/>
        <v>0</v>
      </c>
      <c r="Y66" s="252">
        <f t="shared" si="130"/>
        <v>0</v>
      </c>
      <c r="Z66" s="252">
        <f t="shared" si="130"/>
        <v>0</v>
      </c>
      <c r="AA66" s="252">
        <f t="shared" si="130"/>
        <v>0</v>
      </c>
      <c r="AB66" s="252">
        <f t="shared" si="130"/>
        <v>0</v>
      </c>
      <c r="AC66" s="252">
        <f t="shared" si="130"/>
        <v>0</v>
      </c>
      <c r="AD66" s="252">
        <f t="shared" si="130"/>
        <v>0</v>
      </c>
      <c r="AE66" s="252">
        <f t="shared" si="130"/>
        <v>0</v>
      </c>
      <c r="AF66" s="252">
        <f t="shared" ref="AF66:AG66" si="131">-AF108</f>
        <v>47234.7</v>
      </c>
      <c r="AG66" s="252">
        <f t="shared" si="131"/>
        <v>47707.046999999999</v>
      </c>
      <c r="AH66" s="252">
        <f t="shared" ref="AH66:AI66" si="132">-AH108</f>
        <v>48184.117469999997</v>
      </c>
      <c r="AI66" s="252">
        <f t="shared" si="132"/>
        <v>48665.958644699997</v>
      </c>
      <c r="AJ66" s="252">
        <f t="shared" ref="AJ66:AK66" si="133">-AJ108</f>
        <v>49152.618231146997</v>
      </c>
      <c r="AK66" s="252">
        <f t="shared" si="133"/>
        <v>49644.144413458467</v>
      </c>
      <c r="AL66" s="252">
        <f t="shared" ref="AL66:AM66" si="134">-AL108</f>
        <v>50140.585857593054</v>
      </c>
      <c r="AM66" s="252">
        <f t="shared" si="134"/>
        <v>50641.991716168988</v>
      </c>
      <c r="AN66" s="252">
        <f t="shared" ref="AN66:BD66" si="135">-AN108</f>
        <v>51148.411633330681</v>
      </c>
      <c r="AO66" s="252">
        <f t="shared" si="135"/>
        <v>51659.895749663985</v>
      </c>
      <c r="AP66" s="252">
        <f t="shared" si="135"/>
        <v>52176.494707160622</v>
      </c>
      <c r="AQ66" s="252">
        <f t="shared" si="135"/>
        <v>52698.259654232228</v>
      </c>
      <c r="AR66" s="252">
        <f t="shared" si="135"/>
        <v>53225.24225077455</v>
      </c>
      <c r="AS66" s="252">
        <f t="shared" ref="AS66:BC66" si="136">-AS108</f>
        <v>53757.494673282294</v>
      </c>
      <c r="AT66" s="252">
        <f t="shared" si="136"/>
        <v>54295.069620015114</v>
      </c>
      <c r="AU66" s="252">
        <f t="shared" si="136"/>
        <v>0</v>
      </c>
      <c r="AV66" s="252">
        <f t="shared" si="136"/>
        <v>0</v>
      </c>
      <c r="AW66" s="252">
        <f t="shared" si="136"/>
        <v>0</v>
      </c>
      <c r="AX66" s="252">
        <f t="shared" si="136"/>
        <v>0</v>
      </c>
      <c r="AY66" s="252">
        <f t="shared" si="136"/>
        <v>0</v>
      </c>
      <c r="AZ66" s="252">
        <f t="shared" si="136"/>
        <v>0</v>
      </c>
      <c r="BA66" s="252">
        <f t="shared" si="136"/>
        <v>0</v>
      </c>
      <c r="BB66" s="252">
        <f t="shared" si="136"/>
        <v>0</v>
      </c>
      <c r="BC66" s="252">
        <f t="shared" si="136"/>
        <v>0</v>
      </c>
      <c r="BD66" s="252">
        <f t="shared" si="135"/>
        <v>0</v>
      </c>
      <c r="BE66" s="26"/>
      <c r="BF66" s="26" t="s">
        <v>250</v>
      </c>
      <c r="BG66" s="26" t="str">
        <f t="shared" si="90"/>
        <v>Sales Sales expense</v>
      </c>
      <c r="BH66" s="195">
        <f t="shared" si="119"/>
        <v>161277.80654407194</v>
      </c>
      <c r="BI66" s="195">
        <f t="shared" si="120"/>
        <v>0</v>
      </c>
      <c r="BJ66" s="195">
        <f t="shared" si="121"/>
        <v>0</v>
      </c>
      <c r="BK66" s="304">
        <f t="shared" si="122"/>
        <v>0</v>
      </c>
      <c r="BL66" s="195">
        <f ca="1">IF(BF66="EoP",OFFSET(AR66,0,MONTH('2024 Control'!$C$4)-1),SUM(AR66:OFFSET(AR66,0,MONTH('2024 Control'!$C$4)-1))/IF(BF66="Sum",1,MONTH('2024 Control'!$C$4)))</f>
        <v>161277.80654407194</v>
      </c>
      <c r="BM66" s="304">
        <f t="shared" si="43"/>
        <v>605044.76732822962</v>
      </c>
    </row>
    <row r="67" spans="2:65">
      <c r="B67" s="26" t="s">
        <v>65</v>
      </c>
      <c r="C67" s="26" t="s">
        <v>57</v>
      </c>
      <c r="D67" s="204" t="str">
        <f t="shared" si="114"/>
        <v>Sales Sales exp. per $1 ARR</v>
      </c>
      <c r="E67" s="26" t="s">
        <v>100</v>
      </c>
      <c r="F67" s="183" t="s">
        <v>253</v>
      </c>
      <c r="G67" s="183" t="s">
        <v>4</v>
      </c>
      <c r="H67" s="249">
        <f>H66/H40</f>
        <v>2.7599495918367345</v>
      </c>
      <c r="I67" s="208" t="str">
        <f t="shared" ref="I67:J67" si="137">IFERROR(I66/I$40,"-")</f>
        <v>-</v>
      </c>
      <c r="J67" s="289">
        <f t="shared" si="137"/>
        <v>2.1003974626865674</v>
      </c>
      <c r="K67" s="289">
        <f t="shared" ref="K67" si="138">IFERROR(K66/K$40,"-")</f>
        <v>23.8097952</v>
      </c>
      <c r="L67" s="208" t="str">
        <f t="shared" ref="L67:M67" si="139">IFERROR(L66/L$40,"-")</f>
        <v>-</v>
      </c>
      <c r="M67" s="284">
        <f t="shared" si="139"/>
        <v>0.67990830252726042</v>
      </c>
      <c r="N67" s="284" t="str">
        <f t="shared" ref="N67:O67" si="140">IFERROR(N66/N$40,"-")</f>
        <v>-</v>
      </c>
      <c r="O67" s="284">
        <f t="shared" si="140"/>
        <v>0.35496666115611397</v>
      </c>
      <c r="P67" s="284">
        <f t="shared" ref="P67:Q67" si="141">IFERROR(P66/P$40,"-")</f>
        <v>11.254523999999998</v>
      </c>
      <c r="Q67" s="284" t="str">
        <f t="shared" si="141"/>
        <v>-</v>
      </c>
      <c r="R67" s="284" t="str">
        <f t="shared" ref="R67:AE67" si="142">IFERROR(R66/R$40,"-")</f>
        <v>-</v>
      </c>
      <c r="S67" s="284" t="str">
        <f t="shared" si="142"/>
        <v>-</v>
      </c>
      <c r="T67" s="284" t="str">
        <f t="shared" si="142"/>
        <v>-</v>
      </c>
      <c r="U67" s="284" t="str">
        <f t="shared" si="142"/>
        <v>-</v>
      </c>
      <c r="V67" s="284" t="str">
        <f t="shared" si="142"/>
        <v>-</v>
      </c>
      <c r="W67" s="284" t="str">
        <f t="shared" si="142"/>
        <v>-</v>
      </c>
      <c r="X67" s="284" t="str">
        <f t="shared" si="142"/>
        <v>-</v>
      </c>
      <c r="Y67" s="284" t="str">
        <f t="shared" si="142"/>
        <v>-</v>
      </c>
      <c r="Z67" s="284" t="str">
        <f t="shared" si="142"/>
        <v>-</v>
      </c>
      <c r="AA67" s="284" t="str">
        <f t="shared" si="142"/>
        <v>-</v>
      </c>
      <c r="AB67" s="284" t="str">
        <f t="shared" si="142"/>
        <v>-</v>
      </c>
      <c r="AC67" s="284" t="str">
        <f t="shared" si="142"/>
        <v>-</v>
      </c>
      <c r="AD67" s="284" t="str">
        <f t="shared" si="142"/>
        <v>-</v>
      </c>
      <c r="AE67" s="284" t="str">
        <f t="shared" si="142"/>
        <v>-</v>
      </c>
      <c r="AF67" s="284" t="str">
        <f t="shared" ref="AF67:AG67" si="143">IFERROR(AF66/AF$40,"-")</f>
        <v>-</v>
      </c>
      <c r="AG67" s="284" t="str">
        <f t="shared" si="143"/>
        <v>-</v>
      </c>
      <c r="AH67" s="284" t="str">
        <f t="shared" ref="AH67:AI67" si="144">IFERROR(AH66/AH$40,"-")</f>
        <v>-</v>
      </c>
      <c r="AI67" s="284" t="str">
        <f t="shared" si="144"/>
        <v>-</v>
      </c>
      <c r="AJ67" s="284" t="str">
        <f t="shared" ref="AJ67:AK67" si="145">IFERROR(AJ66/AJ$40,"-")</f>
        <v>-</v>
      </c>
      <c r="AK67" s="284">
        <f t="shared" si="145"/>
        <v>0.53669345311846994</v>
      </c>
      <c r="AL67" s="284">
        <f t="shared" ref="AL67:AM67" si="146">IFERROR(AL66/AL$40,"-")</f>
        <v>2.5070292928796527</v>
      </c>
      <c r="AM67" s="284">
        <f t="shared" si="146"/>
        <v>0.63302489645211235</v>
      </c>
      <c r="AN67" s="284">
        <f t="shared" ref="AN67:BD67" si="147">IFERROR(AN66/AN$40,"-")</f>
        <v>3.4098941088887122</v>
      </c>
      <c r="AO67" s="284">
        <f t="shared" si="147"/>
        <v>10.331979149932797</v>
      </c>
      <c r="AP67" s="284">
        <f t="shared" si="147"/>
        <v>6.9568659609547492</v>
      </c>
      <c r="AQ67" s="284">
        <f t="shared" si="147"/>
        <v>0.31461647554765509</v>
      </c>
      <c r="AR67" s="284" t="str">
        <f t="shared" si="147"/>
        <v>-</v>
      </c>
      <c r="AS67" s="284" t="str">
        <f t="shared" ref="AS67:BC67" si="148">IFERROR(AS66/AS$40,"-")</f>
        <v>-</v>
      </c>
      <c r="AT67" s="284" t="str">
        <f t="shared" si="148"/>
        <v>-</v>
      </c>
      <c r="AU67" s="284" t="str">
        <f t="shared" si="148"/>
        <v>-</v>
      </c>
      <c r="AV67" s="284" t="str">
        <f t="shared" si="148"/>
        <v>-</v>
      </c>
      <c r="AW67" s="284" t="str">
        <f t="shared" si="148"/>
        <v>-</v>
      </c>
      <c r="AX67" s="284" t="str">
        <f t="shared" si="148"/>
        <v>-</v>
      </c>
      <c r="AY67" s="284" t="str">
        <f t="shared" si="148"/>
        <v>-</v>
      </c>
      <c r="AZ67" s="284" t="str">
        <f t="shared" si="148"/>
        <v>-</v>
      </c>
      <c r="BA67" s="284" t="str">
        <f t="shared" si="148"/>
        <v>-</v>
      </c>
      <c r="BB67" s="284" t="str">
        <f t="shared" si="148"/>
        <v>-</v>
      </c>
      <c r="BC67" s="284" t="str">
        <f t="shared" si="148"/>
        <v>-</v>
      </c>
      <c r="BD67" s="284" t="str">
        <f t="shared" si="147"/>
        <v>-</v>
      </c>
      <c r="BE67" s="26"/>
      <c r="BG67" s="26" t="str">
        <f t="shared" ref="BG67:BG98" si="149">D67</f>
        <v>Sales Sales exp. per $1 ARR</v>
      </c>
      <c r="BH67" s="218" t="str">
        <f>IFERROR(BH66/BH40,"-")</f>
        <v>-</v>
      </c>
      <c r="BI67" s="218" t="str">
        <f t="shared" ref="BI67:BK67" si="150">IFERROR(BI66/BI40,"-")</f>
        <v>-</v>
      </c>
      <c r="BJ67" s="218" t="str">
        <f t="shared" si="150"/>
        <v>-</v>
      </c>
      <c r="BK67" s="218" t="str">
        <f t="shared" si="150"/>
        <v>-</v>
      </c>
      <c r="BL67" s="195">
        <f ca="1">IF(BF67="EoP",OFFSET(AH67,0,MONTH('2024 Control'!$C$4)-1),SUM(AH67:OFFSET(AH67,0,MONTH('2024 Control'!$C$4)-1))/IF(BF67="Sum",1,MONTH('2024 Control'!$C$4)))</f>
        <v>2.0575086114811794</v>
      </c>
      <c r="BM67" s="304" t="str">
        <f t="shared" si="43"/>
        <v/>
      </c>
    </row>
    <row r="68" spans="2:65">
      <c r="B68" s="26" t="s">
        <v>24</v>
      </c>
      <c r="C68" s="26" t="s">
        <v>258</v>
      </c>
      <c r="D68" s="204" t="str">
        <f t="shared" si="114"/>
        <v>Customer Success Cross-sell</v>
      </c>
      <c r="E68" s="26" t="s">
        <v>168</v>
      </c>
      <c r="F68" s="183" t="s">
        <v>253</v>
      </c>
      <c r="G68" s="309" t="s">
        <v>259</v>
      </c>
      <c r="H68" s="226">
        <v>27907</v>
      </c>
      <c r="I68" s="192">
        <v>0</v>
      </c>
      <c r="J68" s="226">
        <v>15000</v>
      </c>
      <c r="K68" s="191">
        <v>80000</v>
      </c>
      <c r="L68" s="192">
        <v>0</v>
      </c>
      <c r="M68" s="192">
        <v>0</v>
      </c>
      <c r="N68" s="192">
        <v>0</v>
      </c>
      <c r="O68" s="225">
        <v>-15000</v>
      </c>
      <c r="P68" s="192">
        <v>0</v>
      </c>
      <c r="Q68" s="225">
        <v>0</v>
      </c>
      <c r="R68" s="225"/>
      <c r="S68" s="225"/>
      <c r="T68" s="225"/>
      <c r="U68" s="225"/>
      <c r="V68" s="225"/>
      <c r="W68" s="225"/>
      <c r="X68" s="225"/>
      <c r="Y68" s="225"/>
      <c r="Z68" s="225"/>
      <c r="AA68" s="225"/>
      <c r="AB68" s="225"/>
      <c r="AC68" s="225"/>
      <c r="AD68" s="225"/>
      <c r="AE68" s="225"/>
      <c r="AF68" s="192"/>
      <c r="AG68" s="192"/>
      <c r="AH68" s="226"/>
      <c r="AI68" s="192"/>
      <c r="AJ68" s="226"/>
      <c r="AK68" s="191"/>
      <c r="AL68" s="192"/>
      <c r="AM68" s="192"/>
      <c r="AN68" s="192"/>
      <c r="AO68" s="225"/>
      <c r="AP68" s="192"/>
      <c r="AQ68" s="225"/>
      <c r="AR68" s="192"/>
      <c r="AS68" s="192"/>
      <c r="AT68" s="192"/>
      <c r="AU68" s="192"/>
      <c r="AV68" s="192"/>
      <c r="AW68" s="192"/>
      <c r="AX68" s="192"/>
      <c r="AY68" s="192"/>
      <c r="AZ68" s="192"/>
      <c r="BA68" s="192"/>
      <c r="BB68" s="192"/>
      <c r="BC68" s="192"/>
      <c r="BD68" s="192"/>
      <c r="BE68" s="26"/>
      <c r="BF68" s="26" t="s">
        <v>250</v>
      </c>
      <c r="BG68" s="26" t="str">
        <f t="shared" si="149"/>
        <v>Customer Success Cross-sell</v>
      </c>
      <c r="BH68" s="195">
        <f t="shared" ref="BH68:BH84" si="151">IF($BF68="Sum",SUM(AR68:AT68),IF($BF68="Average",IFERROR(AVERAGE(AR68:AT68),"-"),IF($BF68="EoP",AT68,"ERROR")))</f>
        <v>0</v>
      </c>
      <c r="BI68" s="195">
        <f t="shared" ref="BI68:BI84" si="152">IF($BF68="Sum",SUM(AU68:AW68),IF($BF68="Average",IFERROR(AVERAGE(AU68:AW68),"-"),IF($BF68="EoP",AW68,"ERROR")))</f>
        <v>0</v>
      </c>
      <c r="BJ68" s="195">
        <f t="shared" ref="BJ68:BJ84" si="153">IF($BF68="Sum",SUM(AX68:AZ68),IF($BF68="Average",IFERROR(AVERAGE(AX68:AZ68),"-"),IF($BF68="EoP",AZ68,"ERROR")))</f>
        <v>0</v>
      </c>
      <c r="BK68" s="304">
        <f t="shared" ref="BK68:BK84" si="154">IF($BF68="Sum",SUM(BA68:BC68),IF($BF68="Average",IFERROR(AVERAGE(BA68:BC68),"-"),IF($BF68="EoP",BC68,"ERROR")))</f>
        <v>0</v>
      </c>
      <c r="BL68" s="195">
        <f ca="1">IF(BF68="EoP",OFFSET(AR68,0,MONTH('2024 Control'!$C$4)-1),SUM(AR68:OFFSET(AR68,0,MONTH('2024 Control'!$C$4)-1))/IF(BF68="Sum",1,MONTH('2024 Control'!$C$4)))</f>
        <v>0</v>
      </c>
      <c r="BM68" s="304">
        <f t="shared" si="43"/>
        <v>0</v>
      </c>
    </row>
    <row r="69" spans="2:65">
      <c r="B69" s="26" t="s">
        <v>24</v>
      </c>
      <c r="C69" s="26" t="s">
        <v>258</v>
      </c>
      <c r="D69" s="204" t="str">
        <f t="shared" si="114"/>
        <v>Customer Success Upsell</v>
      </c>
      <c r="E69" s="26" t="s">
        <v>169</v>
      </c>
      <c r="F69" s="183" t="s">
        <v>253</v>
      </c>
      <c r="G69" s="309" t="s">
        <v>259</v>
      </c>
      <c r="H69" s="226">
        <v>25880</v>
      </c>
      <c r="I69" s="226">
        <v>123093</v>
      </c>
      <c r="J69" s="226">
        <v>126667</v>
      </c>
      <c r="K69" s="191">
        <v>163490</v>
      </c>
      <c r="L69" s="191">
        <v>39445</v>
      </c>
      <c r="M69" s="191">
        <v>30218</v>
      </c>
      <c r="N69" s="191">
        <v>6250</v>
      </c>
      <c r="O69" s="225">
        <v>23447</v>
      </c>
      <c r="P69" s="225">
        <v>86585</v>
      </c>
      <c r="Q69" s="225">
        <v>119987</v>
      </c>
      <c r="R69" s="225"/>
      <c r="S69" s="225"/>
      <c r="T69" s="225"/>
      <c r="U69" s="225"/>
      <c r="V69" s="225"/>
      <c r="W69" s="225"/>
      <c r="X69" s="225"/>
      <c r="Y69" s="225"/>
      <c r="Z69" s="225"/>
      <c r="AA69" s="225"/>
      <c r="AB69" s="225"/>
      <c r="AC69" s="225"/>
      <c r="AD69" s="225"/>
      <c r="AE69" s="225"/>
      <c r="AF69" s="225"/>
      <c r="AG69" s="225"/>
      <c r="AH69" s="226"/>
      <c r="AI69" s="226">
        <v>30000</v>
      </c>
      <c r="AJ69" s="226"/>
      <c r="AK69" s="191"/>
      <c r="AL69" s="191"/>
      <c r="AM69" s="191"/>
      <c r="AN69" s="191"/>
      <c r="AO69" s="225"/>
      <c r="AP69" s="225"/>
      <c r="AQ69" s="225"/>
      <c r="AR69" s="225"/>
      <c r="AS69" s="225"/>
      <c r="AT69" s="225"/>
      <c r="AU69" s="225"/>
      <c r="AV69" s="225"/>
      <c r="AW69" s="225"/>
      <c r="AX69" s="225"/>
      <c r="AY69" s="225"/>
      <c r="AZ69" s="225"/>
      <c r="BA69" s="225"/>
      <c r="BB69" s="225"/>
      <c r="BC69" s="225"/>
      <c r="BD69" s="225"/>
      <c r="BE69" s="26"/>
      <c r="BF69" s="26" t="s">
        <v>250</v>
      </c>
      <c r="BG69" s="26" t="str">
        <f t="shared" si="149"/>
        <v>Customer Success Upsell</v>
      </c>
      <c r="BH69" s="195">
        <f t="shared" si="151"/>
        <v>0</v>
      </c>
      <c r="BI69" s="195">
        <f t="shared" si="152"/>
        <v>0</v>
      </c>
      <c r="BJ69" s="195">
        <f t="shared" si="153"/>
        <v>0</v>
      </c>
      <c r="BK69" s="304">
        <f t="shared" si="154"/>
        <v>0</v>
      </c>
      <c r="BL69" s="195">
        <f ca="1">IF(BF69="EoP",OFFSET(AR69,0,MONTH('2024 Control'!$C$4)-1),SUM(AR69:OFFSET(AR69,0,MONTH('2024 Control'!$C$4)-1))/IF(BF69="Sum",1,MONTH('2024 Control'!$C$4)))</f>
        <v>0</v>
      </c>
      <c r="BM69" s="304">
        <f t="shared" ref="BM69:BM132" si="155">IF(
   BF69="Sum",
   SUMIFS(
      H69:BD69,
      H$3:BD$3,"&gt;="&amp;EDATE(AR$3,-11),
      H$3:BD$3,"&lt;="&amp;AR$3
   ),
IF(
   BF69="Average",
   AVERAGEIFS(
     H69:BD69,
      H$3:BD$3,"&gt;="&amp;EDATE(AR$3,-11),
      H$3:BD$3,"&lt;="&amp;AR$3
   ),
IF(
   BF69="EOP",
   _xlfn.XLOOKUP(
      AR$3,
      H$3:BD$3,
      H69:BD69,
      ""
   ),
""
)))</f>
        <v>30000</v>
      </c>
    </row>
    <row r="70" spans="2:65" ht="14.5">
      <c r="B70" s="26" t="s">
        <v>24</v>
      </c>
      <c r="C70" s="26" t="s">
        <v>258</v>
      </c>
      <c r="D70" s="204" t="str">
        <f t="shared" si="114"/>
        <v>Customer Success Price</v>
      </c>
      <c r="E70" s="26" t="s">
        <v>170</v>
      </c>
      <c r="F70" s="183" t="s">
        <v>253</v>
      </c>
      <c r="G70" s="309" t="s">
        <v>259</v>
      </c>
      <c r="H70" s="226">
        <v>0</v>
      </c>
      <c r="I70" s="226">
        <v>0</v>
      </c>
      <c r="J70" s="192">
        <v>0</v>
      </c>
      <c r="K70" s="192">
        <v>0</v>
      </c>
      <c r="L70" s="192">
        <v>0</v>
      </c>
      <c r="M70" s="192">
        <v>0</v>
      </c>
      <c r="N70" s="192">
        <v>0</v>
      </c>
      <c r="O70" s="192">
        <v>0</v>
      </c>
      <c r="P70" s="192">
        <v>0</v>
      </c>
      <c r="Q70" s="225">
        <v>0</v>
      </c>
      <c r="R70" s="225"/>
      <c r="S70" s="225"/>
      <c r="T70" s="225"/>
      <c r="U70" s="225"/>
      <c r="V70" s="225"/>
      <c r="W70" s="225"/>
      <c r="X70" s="225"/>
      <c r="Y70" s="225"/>
      <c r="Z70" s="225"/>
      <c r="AA70" s="225"/>
      <c r="AB70" s="225"/>
      <c r="AC70" s="225"/>
      <c r="AD70" s="225"/>
      <c r="AE70" s="225"/>
      <c r="AF70" s="377">
        <v>39081</v>
      </c>
      <c r="AG70" s="377">
        <v>31790</v>
      </c>
      <c r="AH70" s="377">
        <v>69355.05</v>
      </c>
      <c r="AI70" s="377">
        <v>0</v>
      </c>
      <c r="AJ70" s="377">
        <v>48828</v>
      </c>
      <c r="AK70" s="377">
        <v>43078</v>
      </c>
      <c r="AL70" s="377">
        <v>45221</v>
      </c>
      <c r="AM70" s="377">
        <v>20876.95</v>
      </c>
      <c r="AN70" s="377">
        <v>56000</v>
      </c>
      <c r="AO70" s="377">
        <v>20162</v>
      </c>
      <c r="AP70" s="377">
        <v>11744</v>
      </c>
      <c r="AQ70" s="377">
        <v>13142</v>
      </c>
      <c r="AR70" s="192"/>
      <c r="AS70" s="192"/>
      <c r="AT70" s="192"/>
      <c r="AU70" s="192"/>
      <c r="AV70" s="192"/>
      <c r="AW70" s="192"/>
      <c r="AX70" s="192"/>
      <c r="AY70" s="192"/>
      <c r="AZ70" s="192"/>
      <c r="BA70" s="192"/>
      <c r="BB70" s="192"/>
      <c r="BC70" s="192"/>
      <c r="BD70" s="192"/>
      <c r="BE70" s="26"/>
      <c r="BF70" s="26" t="s">
        <v>250</v>
      </c>
      <c r="BG70" s="26" t="str">
        <f t="shared" si="149"/>
        <v>Customer Success Price</v>
      </c>
      <c r="BH70" s="195">
        <f t="shared" si="151"/>
        <v>0</v>
      </c>
      <c r="BI70" s="195">
        <f t="shared" si="152"/>
        <v>0</v>
      </c>
      <c r="BJ70" s="195">
        <f t="shared" si="153"/>
        <v>0</v>
      </c>
      <c r="BK70" s="304">
        <f t="shared" si="154"/>
        <v>0</v>
      </c>
      <c r="BL70" s="195">
        <f ca="1">IF(BF70="EoP",OFFSET(AR70,0,MONTH('2024 Control'!$C$4)-1),SUM(AR70:OFFSET(AR70,0,MONTH('2024 Control'!$C$4)-1))/IF(BF70="Sum",1,MONTH('2024 Control'!$C$4)))</f>
        <v>0</v>
      </c>
      <c r="BM70" s="304">
        <f t="shared" si="155"/>
        <v>360197</v>
      </c>
    </row>
    <row r="71" spans="2:65">
      <c r="B71" s="26" t="s">
        <v>24</v>
      </c>
      <c r="C71" s="26" t="s">
        <v>258</v>
      </c>
      <c r="D71" s="204" t="str">
        <f t="shared" si="114"/>
        <v>Customer Success Total Gross Growth</v>
      </c>
      <c r="E71" s="26" t="s">
        <v>171</v>
      </c>
      <c r="F71" s="183" t="s">
        <v>253</v>
      </c>
      <c r="G71" s="309" t="s">
        <v>259</v>
      </c>
      <c r="H71" s="290">
        <f t="shared" ref="H71:BD71" si="156">SUM(H68:H70)</f>
        <v>53787</v>
      </c>
      <c r="I71" s="290">
        <f t="shared" si="156"/>
        <v>123093</v>
      </c>
      <c r="J71" s="290">
        <f t="shared" si="156"/>
        <v>141667</v>
      </c>
      <c r="K71" s="290">
        <f t="shared" si="156"/>
        <v>243490</v>
      </c>
      <c r="L71" s="290">
        <f t="shared" si="156"/>
        <v>39445</v>
      </c>
      <c r="M71" s="290">
        <f t="shared" si="156"/>
        <v>30218</v>
      </c>
      <c r="N71" s="290">
        <f t="shared" si="156"/>
        <v>6250</v>
      </c>
      <c r="O71" s="290">
        <f t="shared" si="156"/>
        <v>8447</v>
      </c>
      <c r="P71" s="290">
        <f t="shared" si="156"/>
        <v>86585</v>
      </c>
      <c r="Q71" s="290">
        <f t="shared" si="156"/>
        <v>119987</v>
      </c>
      <c r="R71" s="290">
        <f t="shared" si="156"/>
        <v>0</v>
      </c>
      <c r="S71" s="290">
        <f t="shared" si="156"/>
        <v>0</v>
      </c>
      <c r="T71" s="290">
        <f t="shared" si="156"/>
        <v>0</v>
      </c>
      <c r="U71" s="290">
        <f t="shared" si="156"/>
        <v>0</v>
      </c>
      <c r="V71" s="290">
        <f t="shared" si="156"/>
        <v>0</v>
      </c>
      <c r="W71" s="290">
        <f t="shared" si="156"/>
        <v>0</v>
      </c>
      <c r="X71" s="290">
        <f t="shared" si="156"/>
        <v>0</v>
      </c>
      <c r="Y71" s="290">
        <f t="shared" si="156"/>
        <v>0</v>
      </c>
      <c r="Z71" s="290">
        <f t="shared" si="156"/>
        <v>0</v>
      </c>
      <c r="AA71" s="290">
        <f t="shared" si="156"/>
        <v>0</v>
      </c>
      <c r="AB71" s="290">
        <f t="shared" si="156"/>
        <v>0</v>
      </c>
      <c r="AC71" s="290">
        <f t="shared" si="156"/>
        <v>0</v>
      </c>
      <c r="AD71" s="290">
        <f t="shared" si="156"/>
        <v>0</v>
      </c>
      <c r="AE71" s="290">
        <f t="shared" si="156"/>
        <v>0</v>
      </c>
      <c r="AF71" s="290">
        <f t="shared" si="156"/>
        <v>39081</v>
      </c>
      <c r="AG71" s="290">
        <f t="shared" si="156"/>
        <v>31790</v>
      </c>
      <c r="AH71" s="290">
        <f t="shared" si="156"/>
        <v>69355.05</v>
      </c>
      <c r="AI71" s="290">
        <f t="shared" si="156"/>
        <v>30000</v>
      </c>
      <c r="AJ71" s="290">
        <f t="shared" si="156"/>
        <v>48828</v>
      </c>
      <c r="AK71" s="290">
        <f t="shared" si="156"/>
        <v>43078</v>
      </c>
      <c r="AL71" s="290">
        <f t="shared" si="156"/>
        <v>45221</v>
      </c>
      <c r="AM71" s="290">
        <f t="shared" si="156"/>
        <v>20876.95</v>
      </c>
      <c r="AN71" s="290">
        <f t="shared" si="156"/>
        <v>56000</v>
      </c>
      <c r="AO71" s="290">
        <f t="shared" si="156"/>
        <v>20162</v>
      </c>
      <c r="AP71" s="290">
        <f t="shared" si="156"/>
        <v>11744</v>
      </c>
      <c r="AQ71" s="290">
        <f t="shared" si="156"/>
        <v>13142</v>
      </c>
      <c r="AR71" s="290">
        <f t="shared" si="156"/>
        <v>0</v>
      </c>
      <c r="AS71" s="290">
        <f t="shared" si="156"/>
        <v>0</v>
      </c>
      <c r="AT71" s="290">
        <f t="shared" si="156"/>
        <v>0</v>
      </c>
      <c r="AU71" s="290">
        <f t="shared" si="156"/>
        <v>0</v>
      </c>
      <c r="AV71" s="290">
        <f t="shared" si="156"/>
        <v>0</v>
      </c>
      <c r="AW71" s="290">
        <f t="shared" si="156"/>
        <v>0</v>
      </c>
      <c r="AX71" s="290">
        <f t="shared" si="156"/>
        <v>0</v>
      </c>
      <c r="AY71" s="290">
        <f t="shared" si="156"/>
        <v>0</v>
      </c>
      <c r="AZ71" s="290">
        <f t="shared" si="156"/>
        <v>0</v>
      </c>
      <c r="BA71" s="290">
        <f t="shared" si="156"/>
        <v>0</v>
      </c>
      <c r="BB71" s="290">
        <f t="shared" si="156"/>
        <v>0</v>
      </c>
      <c r="BC71" s="290">
        <f t="shared" si="156"/>
        <v>0</v>
      </c>
      <c r="BD71" s="290">
        <f t="shared" si="156"/>
        <v>0</v>
      </c>
      <c r="BE71" s="26"/>
      <c r="BF71" s="26" t="s">
        <v>250</v>
      </c>
      <c r="BG71" s="26" t="str">
        <f t="shared" si="149"/>
        <v>Customer Success Total Gross Growth</v>
      </c>
      <c r="BH71" s="195">
        <f t="shared" si="151"/>
        <v>0</v>
      </c>
      <c r="BI71" s="195">
        <f t="shared" si="152"/>
        <v>0</v>
      </c>
      <c r="BJ71" s="195">
        <f t="shared" si="153"/>
        <v>0</v>
      </c>
      <c r="BK71" s="304">
        <f t="shared" si="154"/>
        <v>0</v>
      </c>
      <c r="BL71" s="195">
        <f ca="1">IF(BF71="EoP",OFFSET(AR71,0,MONTH('2024 Control'!$C$4)-1),SUM(AR71:OFFSET(AR71,0,MONTH('2024 Control'!$C$4)-1))/IF(BF71="Sum",1,MONTH('2024 Control'!$C$4)))</f>
        <v>0</v>
      </c>
      <c r="BM71" s="304">
        <f t="shared" si="155"/>
        <v>390197</v>
      </c>
    </row>
    <row r="72" spans="2:65">
      <c r="B72" s="26" t="s">
        <v>24</v>
      </c>
      <c r="C72" s="26" t="s">
        <v>258</v>
      </c>
      <c r="D72" s="204" t="str">
        <f t="shared" si="114"/>
        <v>Customer Success (-) Churn</v>
      </c>
      <c r="E72" s="26" t="s">
        <v>172</v>
      </c>
      <c r="F72" s="183" t="s">
        <v>253</v>
      </c>
      <c r="G72" s="309" t="s">
        <v>259</v>
      </c>
      <c r="H72" s="225">
        <v>-44750</v>
      </c>
      <c r="I72" s="225">
        <v>0</v>
      </c>
      <c r="J72" s="225">
        <v>0</v>
      </c>
      <c r="K72" s="225">
        <v>-40000</v>
      </c>
      <c r="L72" s="225">
        <v>0</v>
      </c>
      <c r="M72" s="225">
        <v>-55000</v>
      </c>
      <c r="N72" s="225">
        <v>-88500</v>
      </c>
      <c r="O72" s="191">
        <v>-4583</v>
      </c>
      <c r="P72" s="225">
        <v>-135967</v>
      </c>
      <c r="Q72" s="192">
        <v>0</v>
      </c>
      <c r="R72" s="192"/>
      <c r="S72" s="192"/>
      <c r="T72" s="192"/>
      <c r="U72" s="192"/>
      <c r="V72" s="192"/>
      <c r="W72" s="192"/>
      <c r="X72" s="192"/>
      <c r="Y72" s="192"/>
      <c r="Z72" s="192"/>
      <c r="AA72" s="192"/>
      <c r="AB72" s="192"/>
      <c r="AC72" s="192"/>
      <c r="AD72" s="192"/>
      <c r="AE72" s="192"/>
      <c r="AF72" s="26"/>
      <c r="AG72" s="26"/>
      <c r="AH72" s="26"/>
      <c r="AI72" s="26"/>
      <c r="AJ72" s="26"/>
      <c r="AK72" s="26"/>
      <c r="AL72" s="26"/>
      <c r="AM72" s="26"/>
      <c r="AN72" s="26"/>
      <c r="AO72" s="26"/>
      <c r="AP72" s="26"/>
      <c r="AQ72" s="26"/>
      <c r="AR72" s="225"/>
      <c r="AS72" s="225"/>
      <c r="AT72" s="225"/>
      <c r="AU72" s="225"/>
      <c r="AV72" s="225"/>
      <c r="AW72" s="225"/>
      <c r="AX72" s="225"/>
      <c r="AY72" s="225"/>
      <c r="AZ72" s="225"/>
      <c r="BA72" s="225"/>
      <c r="BB72" s="225"/>
      <c r="BC72" s="225"/>
      <c r="BD72" s="225"/>
      <c r="BE72" s="26"/>
      <c r="BF72" s="26" t="s">
        <v>250</v>
      </c>
      <c r="BG72" s="26" t="str">
        <f t="shared" si="149"/>
        <v>Customer Success (-) Churn</v>
      </c>
      <c r="BH72" s="195">
        <f t="shared" si="151"/>
        <v>0</v>
      </c>
      <c r="BI72" s="195">
        <f t="shared" si="152"/>
        <v>0</v>
      </c>
      <c r="BJ72" s="195">
        <f t="shared" si="153"/>
        <v>0</v>
      </c>
      <c r="BK72" s="304">
        <f t="shared" si="154"/>
        <v>0</v>
      </c>
      <c r="BL72" s="195">
        <f ca="1">IF(BF72="EoP",OFFSET(AR72,0,MONTH('2024 Control'!$C$4)-1),SUM(AR72:OFFSET(AR72,0,MONTH('2024 Control'!$C$4)-1))/IF(BF72="Sum",1,MONTH('2024 Control'!$C$4)))</f>
        <v>0</v>
      </c>
      <c r="BM72" s="304">
        <f t="shared" si="155"/>
        <v>0</v>
      </c>
    </row>
    <row r="73" spans="2:65">
      <c r="B73" s="26" t="s">
        <v>24</v>
      </c>
      <c r="C73" s="26" t="s">
        <v>258</v>
      </c>
      <c r="D73" s="204" t="str">
        <f t="shared" ref="D73:D108" si="157">B73&amp;" "&amp;E73</f>
        <v>Customer Success Total Net Growth</v>
      </c>
      <c r="E73" s="26" t="s">
        <v>173</v>
      </c>
      <c r="F73" s="183" t="s">
        <v>253</v>
      </c>
      <c r="G73" s="309" t="s">
        <v>259</v>
      </c>
      <c r="H73" s="290">
        <f>SUM(H71:H72)</f>
        <v>9037</v>
      </c>
      <c r="I73" s="246">
        <f t="shared" ref="I73:N73" si="158">I71+I72</f>
        <v>123093</v>
      </c>
      <c r="J73" s="246">
        <f t="shared" si="158"/>
        <v>141667</v>
      </c>
      <c r="K73" s="246">
        <f t="shared" si="158"/>
        <v>203490</v>
      </c>
      <c r="L73" s="246">
        <f t="shared" si="158"/>
        <v>39445</v>
      </c>
      <c r="M73" s="246">
        <f t="shared" si="158"/>
        <v>-24782</v>
      </c>
      <c r="N73" s="246">
        <f t="shared" si="158"/>
        <v>-82250</v>
      </c>
      <c r="O73" s="246">
        <f t="shared" ref="O73" si="159">O71+O72</f>
        <v>3864</v>
      </c>
      <c r="P73" s="246">
        <f t="shared" ref="P73:Q73" si="160">P71+P72</f>
        <v>-49382</v>
      </c>
      <c r="Q73" s="246">
        <f t="shared" si="160"/>
        <v>119987</v>
      </c>
      <c r="R73" s="246">
        <f t="shared" ref="R73:AE73" si="161">R71+R72</f>
        <v>0</v>
      </c>
      <c r="S73" s="246">
        <f t="shared" si="161"/>
        <v>0</v>
      </c>
      <c r="T73" s="246">
        <f t="shared" si="161"/>
        <v>0</v>
      </c>
      <c r="U73" s="246">
        <f t="shared" si="161"/>
        <v>0</v>
      </c>
      <c r="V73" s="246">
        <f t="shared" si="161"/>
        <v>0</v>
      </c>
      <c r="W73" s="246">
        <f t="shared" si="161"/>
        <v>0</v>
      </c>
      <c r="X73" s="246">
        <f t="shared" si="161"/>
        <v>0</v>
      </c>
      <c r="Y73" s="246">
        <f t="shared" si="161"/>
        <v>0</v>
      </c>
      <c r="Z73" s="246">
        <f t="shared" si="161"/>
        <v>0</v>
      </c>
      <c r="AA73" s="246">
        <f t="shared" si="161"/>
        <v>0</v>
      </c>
      <c r="AB73" s="246">
        <f t="shared" si="161"/>
        <v>0</v>
      </c>
      <c r="AC73" s="246">
        <f t="shared" si="161"/>
        <v>0</v>
      </c>
      <c r="AD73" s="246">
        <f t="shared" si="161"/>
        <v>0</v>
      </c>
      <c r="AE73" s="246">
        <f t="shared" si="161"/>
        <v>0</v>
      </c>
      <c r="AF73" s="246">
        <f t="shared" ref="AF73:AQ73" si="162">AF71+AF78</f>
        <v>-580835</v>
      </c>
      <c r="AG73" s="246">
        <f t="shared" si="162"/>
        <v>-151286</v>
      </c>
      <c r="AH73" s="246">
        <f t="shared" si="162"/>
        <v>-3004.9499999999971</v>
      </c>
      <c r="AI73" s="246">
        <f t="shared" si="162"/>
        <v>30000</v>
      </c>
      <c r="AJ73" s="246">
        <f t="shared" si="162"/>
        <v>48828</v>
      </c>
      <c r="AK73" s="246">
        <f t="shared" si="162"/>
        <v>43078</v>
      </c>
      <c r="AL73" s="246">
        <f t="shared" si="162"/>
        <v>45221</v>
      </c>
      <c r="AM73" s="246">
        <f t="shared" si="162"/>
        <v>20876.95</v>
      </c>
      <c r="AN73" s="246">
        <f t="shared" si="162"/>
        <v>-102934.5</v>
      </c>
      <c r="AO73" s="246">
        <f t="shared" si="162"/>
        <v>-2588</v>
      </c>
      <c r="AP73" s="246">
        <f t="shared" si="162"/>
        <v>-46336</v>
      </c>
      <c r="AQ73" s="246">
        <f t="shared" si="162"/>
        <v>13142</v>
      </c>
      <c r="AR73" s="246">
        <f t="shared" ref="AR73:BD73" si="163">AR71+AR72</f>
        <v>0</v>
      </c>
      <c r="AS73" s="246">
        <f t="shared" ref="AS73:BC73" si="164">AS71+AS72</f>
        <v>0</v>
      </c>
      <c r="AT73" s="246">
        <f t="shared" si="164"/>
        <v>0</v>
      </c>
      <c r="AU73" s="246">
        <f t="shared" si="164"/>
        <v>0</v>
      </c>
      <c r="AV73" s="246">
        <f t="shared" si="164"/>
        <v>0</v>
      </c>
      <c r="AW73" s="246">
        <f t="shared" si="164"/>
        <v>0</v>
      </c>
      <c r="AX73" s="246">
        <f t="shared" si="164"/>
        <v>0</v>
      </c>
      <c r="AY73" s="246">
        <f t="shared" si="164"/>
        <v>0</v>
      </c>
      <c r="AZ73" s="246">
        <f t="shared" si="164"/>
        <v>0</v>
      </c>
      <c r="BA73" s="246">
        <f t="shared" si="164"/>
        <v>0</v>
      </c>
      <c r="BB73" s="246">
        <f t="shared" si="164"/>
        <v>0</v>
      </c>
      <c r="BC73" s="246">
        <f t="shared" si="164"/>
        <v>0</v>
      </c>
      <c r="BD73" s="246">
        <f t="shared" si="163"/>
        <v>0</v>
      </c>
      <c r="BE73" s="26"/>
      <c r="BF73" s="26" t="s">
        <v>250</v>
      </c>
      <c r="BG73" s="26" t="str">
        <f t="shared" si="149"/>
        <v>Customer Success Total Net Growth</v>
      </c>
      <c r="BH73" s="195">
        <f t="shared" si="151"/>
        <v>0</v>
      </c>
      <c r="BI73" s="195">
        <f t="shared" si="152"/>
        <v>0</v>
      </c>
      <c r="BJ73" s="195">
        <f t="shared" si="153"/>
        <v>0</v>
      </c>
      <c r="BK73" s="304">
        <f t="shared" si="154"/>
        <v>0</v>
      </c>
      <c r="BL73" s="195">
        <f ca="1">IF(BF73="EoP",OFFSET(AR73,0,MONTH('2024 Control'!$C$4)-1),SUM(AR73:OFFSET(AR73,0,MONTH('2024 Control'!$C$4)-1))/IF(BF73="Sum",1,MONTH('2024 Control'!$C$4)))</f>
        <v>0</v>
      </c>
      <c r="BM73" s="304">
        <f t="shared" si="155"/>
        <v>-105003.50000000001</v>
      </c>
    </row>
    <row r="74" spans="2:65">
      <c r="B74" s="26" t="s">
        <v>24</v>
      </c>
      <c r="C74" s="26" t="s">
        <v>258</v>
      </c>
      <c r="D74" s="204" t="str">
        <f t="shared" si="157"/>
        <v xml:space="preserve">Customer Success Gross Growth % </v>
      </c>
      <c r="E74" s="26" t="s">
        <v>174</v>
      </c>
      <c r="F74" s="183" t="s">
        <v>253</v>
      </c>
      <c r="G74" s="309" t="s">
        <v>259</v>
      </c>
      <c r="H74" s="239">
        <f>H71/'2023 Control'!$C$5</f>
        <v>7.7695351366093065E-3</v>
      </c>
      <c r="I74" s="239">
        <f>I71/'2023 Control'!$C$5</f>
        <v>1.7780790684935939E-2</v>
      </c>
      <c r="J74" s="239">
        <f>J71/'2023 Control'!$C$5</f>
        <v>2.0463806016287032E-2</v>
      </c>
      <c r="K74" s="239">
        <f>K71/'2023 Control'!$C$5</f>
        <v>3.5172144020172158E-2</v>
      </c>
      <c r="L74" s="239">
        <f>L71/'2023 Control'!$C$5</f>
        <v>5.6978324402467903E-3</v>
      </c>
      <c r="M74" s="239">
        <f>M71/'2023 Control'!$C$5</f>
        <v>4.3649917779028397E-3</v>
      </c>
      <c r="N74" s="239">
        <f>N71/'2023 Control'!$C$5</f>
        <v>9.0281284704125844E-4</v>
      </c>
      <c r="O74" s="239">
        <f>O71/'2023 Control'!$C$5</f>
        <v>1.2201696190332015E-3</v>
      </c>
      <c r="P74" s="239">
        <f>P71/'2023 Control'!$C$5</f>
        <v>1.2507208057770777E-2</v>
      </c>
      <c r="Q74" s="239">
        <f>Q71/'2023 Control'!$C$5</f>
        <v>1.7332128812470315E-2</v>
      </c>
      <c r="R74" s="239">
        <f>R71/'2023 Control'!$C$5</f>
        <v>0</v>
      </c>
      <c r="S74" s="239">
        <f>S71/'2023 Control'!$C$5</f>
        <v>0</v>
      </c>
      <c r="T74" s="239">
        <f>T71/'2023 Control'!$C$5</f>
        <v>0</v>
      </c>
      <c r="U74" s="239">
        <f>U71/'2023 Control'!$C$5</f>
        <v>0</v>
      </c>
      <c r="V74" s="239">
        <f>V71/'2023 Control'!$C$5</f>
        <v>0</v>
      </c>
      <c r="W74" s="239">
        <f>W71/'2023 Control'!$C$5</f>
        <v>0</v>
      </c>
      <c r="X74" s="239">
        <f>X71/'2023 Control'!$C$5</f>
        <v>0</v>
      </c>
      <c r="Y74" s="239">
        <f>Y71/'2023 Control'!$C$5</f>
        <v>0</v>
      </c>
      <c r="Z74" s="239">
        <f>Z71/'2023 Control'!$C$5</f>
        <v>0</v>
      </c>
      <c r="AA74" s="239">
        <f>AA71/'2023 Control'!$C$5</f>
        <v>0</v>
      </c>
      <c r="AB74" s="239">
        <f>AB71/'2023 Control'!$C$5</f>
        <v>0</v>
      </c>
      <c r="AC74" s="239">
        <f>AC71/'2023 Control'!$C$5</f>
        <v>0</v>
      </c>
      <c r="AD74" s="239">
        <f>AD71/'2023 Control'!$C$5</f>
        <v>0</v>
      </c>
      <c r="AE74" s="239">
        <f>AE71/'2023 Control'!$C$5</f>
        <v>0</v>
      </c>
      <c r="AF74" s="239">
        <f>AF71/'2024 Control'!$C$5</f>
        <v>4.766927832657304E-3</v>
      </c>
      <c r="AG74" s="239">
        <f>AG71/'2024 Control'!$C$5</f>
        <v>3.8776038433043086E-3</v>
      </c>
      <c r="AH74" s="239">
        <f>AH71/'2024 Control'!$C$5</f>
        <v>8.459622788064251E-3</v>
      </c>
      <c r="AI74" s="239">
        <f>AI71/'2024 Control'!$C$5</f>
        <v>3.6592675463708482E-3</v>
      </c>
      <c r="AJ74" s="239">
        <f>AJ71/'2024 Control'!$C$5</f>
        <v>5.9558238584731926E-3</v>
      </c>
      <c r="AK74" s="239">
        <f>AK71/'2024 Control'!$C$5</f>
        <v>5.2544642454187803E-3</v>
      </c>
      <c r="AL74" s="239">
        <f>AL71/'2024 Control'!$C$5</f>
        <v>5.5158579238145378E-3</v>
      </c>
      <c r="AM74" s="239">
        <f>AM71/'2024 Control'!$C$5</f>
        <v>2.5464781867402292E-3</v>
      </c>
      <c r="AN74" s="239">
        <f>AN71/'2024 Control'!$C$5</f>
        <v>6.8306327532255831E-3</v>
      </c>
      <c r="AO74" s="239">
        <f>AO71/'2024 Control'!$C$5</f>
        <v>2.4592717423309682E-3</v>
      </c>
      <c r="AP74" s="239">
        <f>AP71/'2024 Control'!$C$5</f>
        <v>1.4324812688193079E-3</v>
      </c>
      <c r="AQ74" s="239">
        <f>AQ71/'2024 Control'!$C$5</f>
        <v>1.6030031364801895E-3</v>
      </c>
      <c r="AR74" s="239">
        <f>AR71/'2023 Control'!$C$5</f>
        <v>0</v>
      </c>
      <c r="AS74" s="239">
        <f>AS71/'2023 Control'!$C$5</f>
        <v>0</v>
      </c>
      <c r="AT74" s="239">
        <f>AT71/'2023 Control'!$C$5</f>
        <v>0</v>
      </c>
      <c r="AU74" s="239">
        <f>AU71/'2023 Control'!$C$5</f>
        <v>0</v>
      </c>
      <c r="AV74" s="239">
        <f>AV71/'2023 Control'!$C$5</f>
        <v>0</v>
      </c>
      <c r="AW74" s="239">
        <f>AW71/'2023 Control'!$C$5</f>
        <v>0</v>
      </c>
      <c r="AX74" s="239">
        <f>AX71/'2023 Control'!$C$5</f>
        <v>0</v>
      </c>
      <c r="AY74" s="239">
        <f>AY71/'2023 Control'!$C$5</f>
        <v>0</v>
      </c>
      <c r="AZ74" s="239">
        <f>AZ71/'2023 Control'!$C$5</f>
        <v>0</v>
      </c>
      <c r="BA74" s="239">
        <f>BA71/'2023 Control'!$C$5</f>
        <v>0</v>
      </c>
      <c r="BB74" s="239">
        <f>BB71/'2023 Control'!$C$5</f>
        <v>0</v>
      </c>
      <c r="BC74" s="239">
        <f>BC71/'2023 Control'!$C$5</f>
        <v>0</v>
      </c>
      <c r="BD74" s="239">
        <f>BD71/'2023 Control'!$C$5</f>
        <v>0</v>
      </c>
      <c r="BE74" s="26"/>
      <c r="BF74" s="26" t="s">
        <v>249</v>
      </c>
      <c r="BG74" s="26" t="str">
        <f t="shared" si="149"/>
        <v xml:space="preserve">Customer Success Gross Growth % </v>
      </c>
      <c r="BH74" s="195">
        <f t="shared" si="151"/>
        <v>0</v>
      </c>
      <c r="BI74" s="195">
        <f t="shared" si="152"/>
        <v>0</v>
      </c>
      <c r="BJ74" s="195">
        <f t="shared" si="153"/>
        <v>0</v>
      </c>
      <c r="BK74" s="304">
        <f t="shared" si="154"/>
        <v>0</v>
      </c>
      <c r="BL74" s="195">
        <f ca="1">IF(BF74="EoP",OFFSET(AR74,0,MONTH('2024 Control'!$C$4)-1),SUM(AR74:OFFSET(AR74,0,MONTH('2024 Control'!$C$4)-1))/IF(BF74="Sum",1,MONTH('2024 Control'!$C$4)))</f>
        <v>0</v>
      </c>
      <c r="BM74" s="304">
        <f t="shared" si="155"/>
        <v>3.9662089410868497E-3</v>
      </c>
    </row>
    <row r="75" spans="2:65">
      <c r="B75" s="26" t="s">
        <v>24</v>
      </c>
      <c r="C75" s="26" t="s">
        <v>258</v>
      </c>
      <c r="D75" s="204" t="str">
        <f t="shared" si="157"/>
        <v xml:space="preserve">Customer Success Churn % </v>
      </c>
      <c r="E75" s="26" t="s">
        <v>175</v>
      </c>
      <c r="F75" s="183" t="s">
        <v>253</v>
      </c>
      <c r="G75" s="309" t="s">
        <v>259</v>
      </c>
      <c r="H75" s="239">
        <f>H72/'2023 Control'!$C$5</f>
        <v>-6.4641399848154105E-3</v>
      </c>
      <c r="I75" s="239">
        <f>I72/'2023 Control'!$C$5</f>
        <v>0</v>
      </c>
      <c r="J75" s="239">
        <f>J72/'2023 Control'!$C$5</f>
        <v>0</v>
      </c>
      <c r="K75" s="239">
        <f>K72/'2023 Control'!$C$5</f>
        <v>-5.7780022210640542E-3</v>
      </c>
      <c r="L75" s="239">
        <f>L72/'2023 Control'!$C$5</f>
        <v>0</v>
      </c>
      <c r="M75" s="239">
        <f>M72/'2023 Control'!$C$5</f>
        <v>-7.9447530539630742E-3</v>
      </c>
      <c r="N75" s="239">
        <f>N72/'2023 Control'!$C$5</f>
        <v>-1.2783829914104219E-2</v>
      </c>
      <c r="O75" s="239">
        <f>O72/'2023 Control'!$C$5</f>
        <v>-6.6201460447841399E-4</v>
      </c>
      <c r="P75" s="239">
        <f>P72/'2023 Control'!$C$5</f>
        <v>-1.9640440699785405E-2</v>
      </c>
      <c r="Q75" s="239">
        <f>Q72/'2023 Control'!$C$5</f>
        <v>0</v>
      </c>
      <c r="R75" s="239">
        <f>R72/'2023 Control'!$C$5</f>
        <v>0</v>
      </c>
      <c r="S75" s="239">
        <f>S72/'2023 Control'!$C$5</f>
        <v>0</v>
      </c>
      <c r="T75" s="239">
        <f>T72/'2023 Control'!$C$5</f>
        <v>0</v>
      </c>
      <c r="U75" s="239">
        <f>U72/'2023 Control'!$C$5</f>
        <v>0</v>
      </c>
      <c r="V75" s="239">
        <f>V72/'2023 Control'!$C$5</f>
        <v>0</v>
      </c>
      <c r="W75" s="239">
        <f>W72/'2023 Control'!$C$5</f>
        <v>0</v>
      </c>
      <c r="X75" s="239">
        <f>X72/'2023 Control'!$C$5</f>
        <v>0</v>
      </c>
      <c r="Y75" s="239">
        <f>Y72/'2023 Control'!$C$5</f>
        <v>0</v>
      </c>
      <c r="Z75" s="239">
        <f>Z72/'2023 Control'!$C$5</f>
        <v>0</v>
      </c>
      <c r="AA75" s="239">
        <f>AA72/'2023 Control'!$C$5</f>
        <v>0</v>
      </c>
      <c r="AB75" s="239">
        <f>AB72/'2023 Control'!$C$5</f>
        <v>0</v>
      </c>
      <c r="AC75" s="239">
        <f>AC72/'2023 Control'!$C$5</f>
        <v>0</v>
      </c>
      <c r="AD75" s="239">
        <f>AD72/'2023 Control'!$C$5</f>
        <v>0</v>
      </c>
      <c r="AE75" s="239">
        <f>AE72/'2023 Control'!$C$5</f>
        <v>0</v>
      </c>
      <c r="AF75" s="239">
        <f>AF78/'2024 Control'!$C$5</f>
        <v>-7.5614616675867691E-2</v>
      </c>
      <c r="AG75" s="239">
        <f>AG78/'2024 Control'!$C$5</f>
        <v>-2.2330802177312981E-2</v>
      </c>
      <c r="AH75" s="239">
        <f>AH78/'2024 Control'!$C$5</f>
        <v>-8.8261533218464867E-3</v>
      </c>
      <c r="AI75" s="239">
        <f>AI78/'2024 Control'!$C$5</f>
        <v>0</v>
      </c>
      <c r="AJ75" s="239">
        <f>AJ78/'2024 Control'!$C$5</f>
        <v>0</v>
      </c>
      <c r="AK75" s="239">
        <f>AK78/'2024 Control'!$C$5</f>
        <v>0</v>
      </c>
      <c r="AL75" s="239">
        <f>AL78/'2024 Control'!$C$5</f>
        <v>0</v>
      </c>
      <c r="AM75" s="239">
        <f>AM78/'2024 Control'!$C$5</f>
        <v>0</v>
      </c>
      <c r="AN75" s="239">
        <f>AN78/'2024 Control'!$C$5</f>
        <v>-1.938612859495592E-2</v>
      </c>
      <c r="AO75" s="239">
        <f>AO78/'2024 Control'!$C$5</f>
        <v>-2.7749445559978932E-3</v>
      </c>
      <c r="AP75" s="239">
        <f>AP78/'2024 Control'!$C$5</f>
        <v>-7.0843419697739617E-3</v>
      </c>
      <c r="AQ75" s="239">
        <f>AQ78/'2024 Control'!$C$5</f>
        <v>0</v>
      </c>
      <c r="AR75" s="239">
        <f>AR72/'2023 Control'!$C$5</f>
        <v>0</v>
      </c>
      <c r="AS75" s="239">
        <f>AS72/'2023 Control'!$C$5</f>
        <v>0</v>
      </c>
      <c r="AT75" s="239">
        <f>AT72/'2023 Control'!$C$5</f>
        <v>0</v>
      </c>
      <c r="AU75" s="239">
        <f>AU72/'2023 Control'!$C$5</f>
        <v>0</v>
      </c>
      <c r="AV75" s="239">
        <f>AV72/'2023 Control'!$C$5</f>
        <v>0</v>
      </c>
      <c r="AW75" s="239">
        <f>AW72/'2023 Control'!$C$5</f>
        <v>0</v>
      </c>
      <c r="AX75" s="239">
        <f>AX72/'2023 Control'!$C$5</f>
        <v>0</v>
      </c>
      <c r="AY75" s="239">
        <f>AY72/'2023 Control'!$C$5</f>
        <v>0</v>
      </c>
      <c r="AZ75" s="239">
        <f>AZ72/'2023 Control'!$C$5</f>
        <v>0</v>
      </c>
      <c r="BA75" s="239">
        <f>BA72/'2023 Control'!$C$5</f>
        <v>0</v>
      </c>
      <c r="BB75" s="239">
        <f>BB72/'2023 Control'!$C$5</f>
        <v>0</v>
      </c>
      <c r="BC75" s="239">
        <f>BC72/'2023 Control'!$C$5</f>
        <v>0</v>
      </c>
      <c r="BD75" s="239">
        <f>BD72/'2023 Control'!$C$5</f>
        <v>0</v>
      </c>
      <c r="BE75" s="26"/>
      <c r="BF75" s="26" t="s">
        <v>249</v>
      </c>
      <c r="BG75" s="26" t="str">
        <f t="shared" si="149"/>
        <v xml:space="preserve">Customer Success Churn % </v>
      </c>
      <c r="BH75" s="195">
        <f t="shared" si="151"/>
        <v>0</v>
      </c>
      <c r="BI75" s="195">
        <f t="shared" si="152"/>
        <v>0</v>
      </c>
      <c r="BJ75" s="195">
        <f t="shared" si="153"/>
        <v>0</v>
      </c>
      <c r="BK75" s="304">
        <f t="shared" si="154"/>
        <v>0</v>
      </c>
      <c r="BL75" s="195">
        <f ca="1">IF(BF75="EoP",OFFSET(AR75,0,MONTH('2024 Control'!$C$4)-1),SUM(AR75:OFFSET(AR75,0,MONTH('2024 Control'!$C$4)-1))/IF(BF75="Sum",1,MONTH('2024 Control'!$C$4)))</f>
        <v>0</v>
      </c>
      <c r="BM75" s="304">
        <f t="shared" si="155"/>
        <v>-5.0335308849906038E-3</v>
      </c>
    </row>
    <row r="76" spans="2:65">
      <c r="B76" s="26" t="s">
        <v>24</v>
      </c>
      <c r="C76" s="26" t="s">
        <v>258</v>
      </c>
      <c r="D76" s="204" t="str">
        <f t="shared" si="157"/>
        <v>Customer Success NRR %</v>
      </c>
      <c r="E76" s="26" t="s">
        <v>176</v>
      </c>
      <c r="F76" s="183" t="s">
        <v>253</v>
      </c>
      <c r="G76" s="309" t="s">
        <v>259</v>
      </c>
      <c r="H76" s="239">
        <f>H73/'2023 Control'!$C$5+1</f>
        <v>1.0013053951517938</v>
      </c>
      <c r="I76" s="239">
        <f>I73/'2023 Control'!$C$5+1</f>
        <v>1.0177807906849359</v>
      </c>
      <c r="J76" s="239">
        <f>J73/'2023 Control'!$C$5+1</f>
        <v>1.0204638060162869</v>
      </c>
      <c r="K76" s="239">
        <f>K73/'2023 Control'!$C$5+1</f>
        <v>1.0293941417991082</v>
      </c>
      <c r="L76" s="239">
        <f>L73/'2023 Control'!$C$5+1</f>
        <v>1.0056978324402468</v>
      </c>
      <c r="M76" s="239">
        <f>M73/'2023 Control'!$C$5+1</f>
        <v>0.99642023872393981</v>
      </c>
      <c r="N76" s="239">
        <f>N73/'2023 Control'!$C$5+1</f>
        <v>0.9881189829329371</v>
      </c>
      <c r="O76" s="239">
        <f>O73/'2023 Control'!$C$5+1</f>
        <v>1.0005581550145548</v>
      </c>
      <c r="P76" s="239">
        <f>P73/'2023 Control'!$C$5+1</f>
        <v>0.9928667673579854</v>
      </c>
      <c r="Q76" s="239">
        <f>Q73/'2023 Control'!$C$5+1</f>
        <v>1.0173321288124704</v>
      </c>
      <c r="R76" s="239">
        <f>R73/'2023 Control'!$C$5+1</f>
        <v>1</v>
      </c>
      <c r="S76" s="239">
        <f>S73/'2023 Control'!$C$5+1</f>
        <v>1</v>
      </c>
      <c r="T76" s="239">
        <f>T73/'2023 Control'!$C$5+1</f>
        <v>1</v>
      </c>
      <c r="U76" s="239">
        <f>U73/'2023 Control'!$C$5+1</f>
        <v>1</v>
      </c>
      <c r="V76" s="239">
        <f>V73/'2023 Control'!$C$5+1</f>
        <v>1</v>
      </c>
      <c r="W76" s="239">
        <f>W73/'2023 Control'!$C$5+1</f>
        <v>1</v>
      </c>
      <c r="X76" s="239">
        <f>X73/'2023 Control'!$C$5+1</f>
        <v>1</v>
      </c>
      <c r="Y76" s="239">
        <f>Y73/'2023 Control'!$C$5+1</f>
        <v>1</v>
      </c>
      <c r="Z76" s="239">
        <f>Z73/'2023 Control'!$C$5+1</f>
        <v>1</v>
      </c>
      <c r="AA76" s="239">
        <f>AA73/'2023 Control'!$C$5+1</f>
        <v>1</v>
      </c>
      <c r="AB76" s="239">
        <f>AB73/'2023 Control'!$C$5+1</f>
        <v>1</v>
      </c>
      <c r="AC76" s="239">
        <f>AC73/'2023 Control'!$C$5+1</f>
        <v>1</v>
      </c>
      <c r="AD76" s="239">
        <f>AD73/'2023 Control'!$C$5+1</f>
        <v>1</v>
      </c>
      <c r="AE76" s="239">
        <f>AE73/'2023 Control'!$C$5+1</f>
        <v>1</v>
      </c>
      <c r="AF76" s="239">
        <f>AF73/'2024 Control'!$C$5+1</f>
        <v>0.92915231115678965</v>
      </c>
      <c r="AG76" s="239">
        <f>AG73/'2024 Control'!$C$5+1</f>
        <v>0.98154680166599129</v>
      </c>
      <c r="AH76" s="239">
        <f>AH73/'2024 Control'!$C$5+1</f>
        <v>0.99963346946621778</v>
      </c>
      <c r="AI76" s="239">
        <f>AI73/'2024 Control'!$C$5+1</f>
        <v>1.0036592675463709</v>
      </c>
      <c r="AJ76" s="239">
        <f>AJ73/'2024 Control'!$C$5+1</f>
        <v>1.0059558238584732</v>
      </c>
      <c r="AK76" s="239">
        <f>AK73/'2024 Control'!$C$5+1</f>
        <v>1.0052544642454189</v>
      </c>
      <c r="AL76" s="239">
        <f>AL73/'2024 Control'!$C$5+1</f>
        <v>1.0055158579238146</v>
      </c>
      <c r="AM76" s="239">
        <f>AM73/'2024 Control'!$C$5+1</f>
        <v>1.0025464781867401</v>
      </c>
      <c r="AN76" s="239">
        <f>AN73/'2024 Control'!$C$5+1</f>
        <v>0.98744450415826968</v>
      </c>
      <c r="AO76" s="239">
        <f>AO73/'2024 Control'!$C$5+1</f>
        <v>0.99968432718633304</v>
      </c>
      <c r="AP76" s="239">
        <f>AP73/'2024 Control'!$C$5+1</f>
        <v>0.99434813929904531</v>
      </c>
      <c r="AQ76" s="239">
        <f>AQ73/'2024 Control'!$C$5+1</f>
        <v>1.0016030031364802</v>
      </c>
      <c r="AR76" s="239">
        <f>AR73/'2023 Control'!$C$5+1</f>
        <v>1</v>
      </c>
      <c r="AS76" s="239">
        <f>AS73/'2023 Control'!$C$5+1</f>
        <v>1</v>
      </c>
      <c r="AT76" s="239">
        <f>AT73/'2023 Control'!$C$5+1</f>
        <v>1</v>
      </c>
      <c r="AU76" s="239">
        <f>AU73/'2023 Control'!$C$5+1</f>
        <v>1</v>
      </c>
      <c r="AV76" s="239">
        <f>AV73/'2023 Control'!$C$5+1</f>
        <v>1</v>
      </c>
      <c r="AW76" s="239">
        <f>AW73/'2023 Control'!$C$5+1</f>
        <v>1</v>
      </c>
      <c r="AX76" s="239">
        <f>AX73/'2023 Control'!$C$5+1</f>
        <v>1</v>
      </c>
      <c r="AY76" s="239">
        <f>AY73/'2023 Control'!$C$5+1</f>
        <v>1</v>
      </c>
      <c r="AZ76" s="239">
        <f>AZ73/'2023 Control'!$C$5+1</f>
        <v>1</v>
      </c>
      <c r="BA76" s="239">
        <f>BA73/'2023 Control'!$C$5+1</f>
        <v>1</v>
      </c>
      <c r="BB76" s="239">
        <f>BB73/'2023 Control'!$C$5+1</f>
        <v>1</v>
      </c>
      <c r="BC76" s="239">
        <f>BC73/'2023 Control'!$C$5+1</f>
        <v>1</v>
      </c>
      <c r="BD76" s="239">
        <f>BD73/'2023 Control'!$C$5+1</f>
        <v>1</v>
      </c>
      <c r="BE76" s="26"/>
      <c r="BF76" s="26" t="s">
        <v>249</v>
      </c>
      <c r="BG76" s="26" t="str">
        <f t="shared" si="149"/>
        <v>Customer Success NRR %</v>
      </c>
      <c r="BH76" s="195">
        <f t="shared" si="151"/>
        <v>1</v>
      </c>
      <c r="BI76" s="195">
        <f t="shared" si="152"/>
        <v>1</v>
      </c>
      <c r="BJ76" s="195">
        <f t="shared" si="153"/>
        <v>1</v>
      </c>
      <c r="BK76" s="304">
        <f t="shared" si="154"/>
        <v>1</v>
      </c>
      <c r="BL76" s="195">
        <f ca="1">IF(BF76="EoP",OFFSET(AR76,0,MONTH('2024 Control'!$C$4)-1),SUM(AR76:OFFSET(AR76,0,MONTH('2024 Control'!$C$4)-1))/IF(BF76="Sum",1,MONTH('2024 Control'!$C$4)))</f>
        <v>1</v>
      </c>
      <c r="BM76" s="304">
        <f t="shared" si="155"/>
        <v>0.9989326780560962</v>
      </c>
    </row>
    <row r="77" spans="2:65">
      <c r="B77" s="26" t="s">
        <v>24</v>
      </c>
      <c r="C77" s="26" t="s">
        <v>177</v>
      </c>
      <c r="D77" s="204" t="str">
        <f t="shared" si="157"/>
        <v>Customer Success # of Clients</v>
      </c>
      <c r="E77" s="26" t="s">
        <v>178</v>
      </c>
      <c r="F77" s="183" t="s">
        <v>247</v>
      </c>
      <c r="G77" s="309" t="s">
        <v>259</v>
      </c>
      <c r="H77" s="226">
        <v>64</v>
      </c>
      <c r="I77" s="191">
        <v>64</v>
      </c>
      <c r="J77" s="191">
        <v>65</v>
      </c>
      <c r="K77" s="191">
        <v>65</v>
      </c>
      <c r="L77" s="191">
        <v>65</v>
      </c>
      <c r="M77" s="191">
        <v>65</v>
      </c>
      <c r="N77" s="191">
        <v>63</v>
      </c>
      <c r="O77" s="191">
        <v>65</v>
      </c>
      <c r="P77" s="191">
        <v>65</v>
      </c>
      <c r="Q77" s="191">
        <v>65</v>
      </c>
      <c r="R77" s="191"/>
      <c r="S77" s="191"/>
      <c r="T77" s="191"/>
      <c r="U77" s="191"/>
      <c r="V77" s="191"/>
      <c r="W77" s="191"/>
      <c r="X77" s="191"/>
      <c r="Y77" s="191"/>
      <c r="Z77" s="191"/>
      <c r="AA77" s="191"/>
      <c r="AB77" s="191"/>
      <c r="AC77" s="191"/>
      <c r="AD77" s="191"/>
      <c r="AE77" s="191"/>
      <c r="AF77" s="191">
        <v>58</v>
      </c>
      <c r="AG77" s="191">
        <v>55</v>
      </c>
      <c r="AH77" s="226">
        <v>55</v>
      </c>
      <c r="AI77" s="191">
        <v>55</v>
      </c>
      <c r="AJ77" s="191">
        <v>55</v>
      </c>
      <c r="AK77" s="191">
        <v>60</v>
      </c>
      <c r="AL77" s="191">
        <v>64</v>
      </c>
      <c r="AM77" s="191">
        <v>68</v>
      </c>
      <c r="AN77" s="191">
        <v>70</v>
      </c>
      <c r="AO77" s="191">
        <v>71</v>
      </c>
      <c r="AP77" s="191">
        <v>73</v>
      </c>
      <c r="AQ77" s="191">
        <v>80</v>
      </c>
      <c r="AR77" s="191"/>
      <c r="AS77" s="191"/>
      <c r="AT77" s="191"/>
      <c r="AU77" s="191"/>
      <c r="AV77" s="191"/>
      <c r="AW77" s="191"/>
      <c r="AX77" s="191"/>
      <c r="AY77" s="191"/>
      <c r="AZ77" s="191"/>
      <c r="BA77" s="191"/>
      <c r="BB77" s="191"/>
      <c r="BC77" s="191"/>
      <c r="BD77" s="191"/>
      <c r="BE77" s="26"/>
      <c r="BF77" s="26" t="s">
        <v>47</v>
      </c>
      <c r="BG77" s="26" t="str">
        <f t="shared" si="149"/>
        <v>Customer Success # of Clients</v>
      </c>
      <c r="BH77" s="195">
        <f t="shared" si="151"/>
        <v>0</v>
      </c>
      <c r="BI77" s="195">
        <f t="shared" si="152"/>
        <v>0</v>
      </c>
      <c r="BJ77" s="195">
        <f t="shared" si="153"/>
        <v>0</v>
      </c>
      <c r="BK77" s="304">
        <f t="shared" si="154"/>
        <v>0</v>
      </c>
      <c r="BL77" s="195">
        <f ca="1">IF(BF77="EoP",OFFSET(AR77,0,MONTH('2024 Control'!$C$4)-1),SUM(AR77:OFFSET(AR77,0,MONTH('2024 Control'!$C$4)-1))/IF(BF77="Sum",1,MONTH('2024 Control'!$C$4)))</f>
        <v>0</v>
      </c>
      <c r="BM77" s="304">
        <f t="shared" si="155"/>
        <v>0</v>
      </c>
    </row>
    <row r="78" spans="2:65">
      <c r="B78" s="26" t="s">
        <v>24</v>
      </c>
      <c r="C78" s="26" t="s">
        <v>177</v>
      </c>
      <c r="D78" s="204" t="str">
        <f t="shared" si="157"/>
        <v>Customer Success Reference Clients</v>
      </c>
      <c r="E78" s="26" t="s">
        <v>179</v>
      </c>
      <c r="F78" s="183" t="s">
        <v>247</v>
      </c>
      <c r="G78" s="309" t="s">
        <v>259</v>
      </c>
      <c r="H78" s="226">
        <v>33</v>
      </c>
      <c r="I78" s="226">
        <v>33</v>
      </c>
      <c r="J78" s="191">
        <v>34</v>
      </c>
      <c r="K78" s="191">
        <v>33</v>
      </c>
      <c r="L78" s="191">
        <v>32</v>
      </c>
      <c r="M78" s="191">
        <v>31</v>
      </c>
      <c r="N78" s="191">
        <v>28</v>
      </c>
      <c r="O78" s="191">
        <v>28</v>
      </c>
      <c r="P78" s="191">
        <v>27</v>
      </c>
      <c r="Q78" s="191">
        <v>27</v>
      </c>
      <c r="R78" s="191"/>
      <c r="S78" s="191"/>
      <c r="T78" s="191"/>
      <c r="U78" s="191"/>
      <c r="V78" s="191"/>
      <c r="W78" s="191"/>
      <c r="X78" s="191"/>
      <c r="Y78" s="191"/>
      <c r="Z78" s="191"/>
      <c r="AA78" s="191"/>
      <c r="AB78" s="191"/>
      <c r="AC78" s="191"/>
      <c r="AD78" s="191"/>
      <c r="AE78" s="191"/>
      <c r="AF78" s="225">
        <v>-619916</v>
      </c>
      <c r="AG78" s="225">
        <v>-183076</v>
      </c>
      <c r="AH78" s="225">
        <v>-72360</v>
      </c>
      <c r="AI78" s="225">
        <v>0</v>
      </c>
      <c r="AJ78" s="225">
        <v>0</v>
      </c>
      <c r="AK78" s="225">
        <v>0</v>
      </c>
      <c r="AL78" s="225">
        <v>0</v>
      </c>
      <c r="AM78" s="225">
        <v>0</v>
      </c>
      <c r="AN78" s="225">
        <v>-158934.5</v>
      </c>
      <c r="AO78" s="191">
        <v>-22750</v>
      </c>
      <c r="AP78" s="225">
        <v>-58080</v>
      </c>
      <c r="AQ78" s="192">
        <v>0</v>
      </c>
      <c r="AR78" s="191"/>
      <c r="AS78" s="191"/>
      <c r="AT78" s="191"/>
      <c r="AU78" s="191"/>
      <c r="AV78" s="191"/>
      <c r="AW78" s="191"/>
      <c r="AX78" s="191"/>
      <c r="AY78" s="191"/>
      <c r="AZ78" s="191"/>
      <c r="BA78" s="191"/>
      <c r="BB78" s="191"/>
      <c r="BC78" s="191"/>
      <c r="BD78" s="191"/>
      <c r="BE78" s="26"/>
      <c r="BF78" s="26" t="s">
        <v>47</v>
      </c>
      <c r="BG78" s="26" t="str">
        <f t="shared" si="149"/>
        <v>Customer Success Reference Clients</v>
      </c>
      <c r="BH78" s="195">
        <f t="shared" si="151"/>
        <v>0</v>
      </c>
      <c r="BI78" s="195">
        <f t="shared" si="152"/>
        <v>0</v>
      </c>
      <c r="BJ78" s="195">
        <f t="shared" si="153"/>
        <v>0</v>
      </c>
      <c r="BK78" s="304">
        <f t="shared" si="154"/>
        <v>0</v>
      </c>
      <c r="BL78" s="195">
        <f ca="1">IF(BF78="EoP",OFFSET(AR78,0,MONTH('2024 Control'!$C$4)-1),SUM(AR78:OFFSET(AR78,0,MONTH('2024 Control'!$C$4)-1))/IF(BF78="Sum",1,MONTH('2024 Control'!$C$4)))</f>
        <v>0</v>
      </c>
      <c r="BM78" s="304">
        <f t="shared" si="155"/>
        <v>0</v>
      </c>
    </row>
    <row r="79" spans="2:65">
      <c r="B79" s="26" t="s">
        <v>24</v>
      </c>
      <c r="C79" s="26" t="s">
        <v>177</v>
      </c>
      <c r="D79" s="204" t="str">
        <f t="shared" si="157"/>
        <v>Customer Success Churned Clients</v>
      </c>
      <c r="E79" s="26" t="s">
        <v>180</v>
      </c>
      <c r="F79" s="183" t="s">
        <v>247</v>
      </c>
      <c r="G79" s="309" t="s">
        <v>259</v>
      </c>
      <c r="H79" s="226">
        <v>1</v>
      </c>
      <c r="I79" s="226">
        <v>0</v>
      </c>
      <c r="J79" s="191">
        <v>0</v>
      </c>
      <c r="K79" s="191">
        <v>1</v>
      </c>
      <c r="L79" s="191">
        <v>0</v>
      </c>
      <c r="M79" s="191">
        <v>1</v>
      </c>
      <c r="N79" s="191">
        <v>2</v>
      </c>
      <c r="O79" s="191">
        <v>0</v>
      </c>
      <c r="P79" s="191">
        <v>0</v>
      </c>
      <c r="Q79" s="191">
        <v>0</v>
      </c>
      <c r="R79" s="191"/>
      <c r="S79" s="191"/>
      <c r="T79" s="191"/>
      <c r="U79" s="191"/>
      <c r="V79" s="191"/>
      <c r="W79" s="191"/>
      <c r="X79" s="191"/>
      <c r="Y79" s="191"/>
      <c r="Z79" s="191"/>
      <c r="AA79" s="191"/>
      <c r="AB79" s="191"/>
      <c r="AC79" s="191"/>
      <c r="AD79" s="191"/>
      <c r="AE79" s="191"/>
      <c r="AF79" s="191">
        <v>1</v>
      </c>
      <c r="AG79" s="191">
        <v>2</v>
      </c>
      <c r="AH79" s="226"/>
      <c r="AI79" s="226"/>
      <c r="AJ79" s="191"/>
      <c r="AK79" s="191"/>
      <c r="AL79" s="191">
        <v>1</v>
      </c>
      <c r="AM79" s="191">
        <v>1</v>
      </c>
      <c r="AN79" s="191"/>
      <c r="AO79" s="191"/>
      <c r="AP79" s="191">
        <v>1</v>
      </c>
      <c r="AQ79" s="191"/>
      <c r="AR79" s="191"/>
      <c r="AS79" s="191"/>
      <c r="AT79" s="191"/>
      <c r="AU79" s="191"/>
      <c r="AV79" s="191"/>
      <c r="AW79" s="191"/>
      <c r="AX79" s="191"/>
      <c r="AY79" s="191"/>
      <c r="AZ79" s="191"/>
      <c r="BA79" s="191"/>
      <c r="BB79" s="191"/>
      <c r="BC79" s="191"/>
      <c r="BD79" s="191"/>
      <c r="BE79" s="26"/>
      <c r="BF79" s="26" t="s">
        <v>250</v>
      </c>
      <c r="BG79" s="26" t="str">
        <f t="shared" si="149"/>
        <v>Customer Success Churned Clients</v>
      </c>
      <c r="BH79" s="195">
        <f t="shared" si="151"/>
        <v>0</v>
      </c>
      <c r="BI79" s="195">
        <f t="shared" si="152"/>
        <v>0</v>
      </c>
      <c r="BJ79" s="195">
        <f t="shared" si="153"/>
        <v>0</v>
      </c>
      <c r="BK79" s="304">
        <f t="shared" si="154"/>
        <v>0</v>
      </c>
      <c r="BL79" s="195">
        <f ca="1">IF(BF79="EoP",OFFSET(AR79,0,MONTH('2024 Control'!$C$4)-1),SUM(AR79:OFFSET(AR79,0,MONTH('2024 Control'!$C$4)-1))/IF(BF79="Sum",1,MONTH('2024 Control'!$C$4)))</f>
        <v>0</v>
      </c>
      <c r="BM79" s="304">
        <f t="shared" si="155"/>
        <v>5</v>
      </c>
    </row>
    <row r="80" spans="2:65">
      <c r="B80" s="26" t="s">
        <v>24</v>
      </c>
      <c r="C80" s="26" t="s">
        <v>177</v>
      </c>
      <c r="D80" s="204" t="str">
        <f t="shared" si="157"/>
        <v>Customer Success # Growth Clients (up/cross sold + price)</v>
      </c>
      <c r="E80" s="26" t="s">
        <v>181</v>
      </c>
      <c r="F80" s="183" t="s">
        <v>247</v>
      </c>
      <c r="G80" s="309" t="s">
        <v>259</v>
      </c>
      <c r="H80" s="226">
        <v>7</v>
      </c>
      <c r="I80" s="226">
        <v>6</v>
      </c>
      <c r="J80" s="191">
        <v>5</v>
      </c>
      <c r="K80" s="191">
        <v>4</v>
      </c>
      <c r="L80" s="191">
        <v>4</v>
      </c>
      <c r="M80" s="191">
        <v>4</v>
      </c>
      <c r="N80" s="191">
        <v>2</v>
      </c>
      <c r="O80" s="191">
        <v>1</v>
      </c>
      <c r="P80" s="191">
        <v>5</v>
      </c>
      <c r="Q80" s="191">
        <v>5</v>
      </c>
      <c r="R80" s="191"/>
      <c r="S80" s="191"/>
      <c r="T80" s="191"/>
      <c r="U80" s="191"/>
      <c r="V80" s="191"/>
      <c r="W80" s="191"/>
      <c r="X80" s="191"/>
      <c r="Y80" s="191"/>
      <c r="Z80" s="191"/>
      <c r="AA80" s="191"/>
      <c r="AB80" s="191"/>
      <c r="AC80" s="191"/>
      <c r="AD80" s="191"/>
      <c r="AE80" s="191"/>
      <c r="AF80" s="191"/>
      <c r="AG80" s="191"/>
      <c r="AH80" s="226"/>
      <c r="AI80" s="226"/>
      <c r="AJ80" s="191"/>
      <c r="AK80" s="191"/>
      <c r="AL80" s="191"/>
      <c r="AM80" s="191"/>
      <c r="AN80" s="191"/>
      <c r="AO80" s="191"/>
      <c r="AP80" s="191"/>
      <c r="AQ80" s="191"/>
      <c r="AR80" s="191"/>
      <c r="AS80" s="191"/>
      <c r="AT80" s="191"/>
      <c r="AU80" s="191"/>
      <c r="AV80" s="191"/>
      <c r="AW80" s="191"/>
      <c r="AX80" s="191"/>
      <c r="AY80" s="191"/>
      <c r="AZ80" s="191"/>
      <c r="BA80" s="191"/>
      <c r="BB80" s="191"/>
      <c r="BC80" s="191"/>
      <c r="BD80" s="191"/>
      <c r="BE80" s="26"/>
      <c r="BF80" s="26" t="s">
        <v>250</v>
      </c>
      <c r="BG80" s="26" t="str">
        <f t="shared" si="149"/>
        <v>Customer Success # Growth Clients (up/cross sold + price)</v>
      </c>
      <c r="BH80" s="195">
        <f t="shared" si="151"/>
        <v>0</v>
      </c>
      <c r="BI80" s="195">
        <f t="shared" si="152"/>
        <v>0</v>
      </c>
      <c r="BJ80" s="195">
        <f t="shared" si="153"/>
        <v>0</v>
      </c>
      <c r="BK80" s="304">
        <f t="shared" si="154"/>
        <v>0</v>
      </c>
      <c r="BL80" s="195">
        <f ca="1">IF(BF80="EoP",OFFSET(AR80,0,MONTH('2024 Control'!$C$4)-1),SUM(AR80:OFFSET(AR80,0,MONTH('2024 Control'!$C$4)-1))/IF(BF80="Sum",1,MONTH('2024 Control'!$C$4)))</f>
        <v>0</v>
      </c>
      <c r="BM80" s="304">
        <f t="shared" si="155"/>
        <v>0</v>
      </c>
    </row>
    <row r="81" spans="2:65">
      <c r="B81" s="26" t="s">
        <v>24</v>
      </c>
      <c r="C81" s="26" t="s">
        <v>177</v>
      </c>
      <c r="D81" s="204" t="str">
        <f t="shared" si="157"/>
        <v>Customer Success # Renewed Clients</v>
      </c>
      <c r="E81" s="26" t="s">
        <v>182</v>
      </c>
      <c r="F81" s="183" t="s">
        <v>247</v>
      </c>
      <c r="G81" s="309" t="s">
        <v>259</v>
      </c>
      <c r="H81" s="226">
        <v>12</v>
      </c>
      <c r="I81" s="226">
        <v>7</v>
      </c>
      <c r="J81" s="191">
        <v>4</v>
      </c>
      <c r="K81" s="191">
        <v>3</v>
      </c>
      <c r="L81" s="191">
        <v>6</v>
      </c>
      <c r="M81" s="191">
        <v>6</v>
      </c>
      <c r="N81" s="191">
        <v>2</v>
      </c>
      <c r="O81" s="191">
        <v>1</v>
      </c>
      <c r="P81" s="191">
        <v>6</v>
      </c>
      <c r="Q81" s="191">
        <v>5</v>
      </c>
      <c r="R81" s="191"/>
      <c r="S81" s="191"/>
      <c r="T81" s="191"/>
      <c r="U81" s="191"/>
      <c r="V81" s="191"/>
      <c r="W81" s="191"/>
      <c r="X81" s="191"/>
      <c r="Y81" s="191"/>
      <c r="Z81" s="191"/>
      <c r="AA81" s="191"/>
      <c r="AB81" s="191"/>
      <c r="AC81" s="191"/>
      <c r="AD81" s="191"/>
      <c r="AE81" s="191"/>
      <c r="AF81" s="191">
        <v>4</v>
      </c>
      <c r="AG81" s="191">
        <v>2</v>
      </c>
      <c r="AH81" s="226">
        <v>1</v>
      </c>
      <c r="AI81" s="226">
        <v>4</v>
      </c>
      <c r="AJ81" s="191">
        <v>2</v>
      </c>
      <c r="AK81" s="191">
        <v>1</v>
      </c>
      <c r="AL81" s="191">
        <v>2</v>
      </c>
      <c r="AM81" s="191">
        <v>3</v>
      </c>
      <c r="AN81" s="191">
        <v>3</v>
      </c>
      <c r="AO81" s="191">
        <v>7</v>
      </c>
      <c r="AP81" s="191">
        <v>1</v>
      </c>
      <c r="AQ81" s="191">
        <v>1</v>
      </c>
      <c r="AR81" s="191"/>
      <c r="AS81" s="191"/>
      <c r="AT81" s="191"/>
      <c r="AU81" s="191"/>
      <c r="AV81" s="191"/>
      <c r="AW81" s="191"/>
      <c r="AX81" s="191"/>
      <c r="AY81" s="191"/>
      <c r="AZ81" s="191"/>
      <c r="BA81" s="191"/>
      <c r="BB81" s="191"/>
      <c r="BC81" s="191"/>
      <c r="BD81" s="191"/>
      <c r="BE81" s="26"/>
      <c r="BF81" s="26" t="s">
        <v>250</v>
      </c>
      <c r="BG81" s="26" t="str">
        <f t="shared" si="149"/>
        <v>Customer Success # Renewed Clients</v>
      </c>
      <c r="BH81" s="195">
        <f t="shared" si="151"/>
        <v>0</v>
      </c>
      <c r="BI81" s="195">
        <f t="shared" si="152"/>
        <v>0</v>
      </c>
      <c r="BJ81" s="195">
        <f t="shared" si="153"/>
        <v>0</v>
      </c>
      <c r="BK81" s="304">
        <f t="shared" si="154"/>
        <v>0</v>
      </c>
      <c r="BL81" s="195">
        <f ca="1">IF(BF81="EoP",OFFSET(AR81,0,MONTH('2024 Control'!$C$4)-1),SUM(AR81:OFFSET(AR81,0,MONTH('2024 Control'!$C$4)-1))/IF(BF81="Sum",1,MONTH('2024 Control'!$C$4)))</f>
        <v>0</v>
      </c>
      <c r="BM81" s="304">
        <f t="shared" si="155"/>
        <v>27</v>
      </c>
    </row>
    <row r="82" spans="2:65">
      <c r="B82" s="26" t="s">
        <v>24</v>
      </c>
      <c r="C82" s="26" t="s">
        <v>260</v>
      </c>
      <c r="D82" s="204" t="str">
        <f t="shared" ref="D82:D85" si="165">B82&amp;" "&amp;E82</f>
        <v xml:space="preserve">Customer Success ARR up for Renewal </v>
      </c>
      <c r="E82" s="26" t="s">
        <v>184</v>
      </c>
      <c r="F82" s="183" t="s">
        <v>247</v>
      </c>
      <c r="G82" s="309" t="s">
        <v>259</v>
      </c>
      <c r="H82" s="307">
        <f>'2023 Control'!D10</f>
        <v>973600</v>
      </c>
      <c r="I82" s="307">
        <f>'2023 Control'!E10</f>
        <v>1471860</v>
      </c>
      <c r="J82" s="307">
        <f>'2023 Control'!F10</f>
        <v>558879</v>
      </c>
      <c r="K82" s="307">
        <f>'2023 Control'!G10</f>
        <v>125000</v>
      </c>
      <c r="L82" s="307">
        <f>'2023 Control'!H10</f>
        <v>440450</v>
      </c>
      <c r="M82" s="307">
        <f>'2023 Control'!I10</f>
        <v>764880</v>
      </c>
      <c r="N82" s="307">
        <f>'2023 Control'!J10</f>
        <v>234053</v>
      </c>
      <c r="O82" s="307">
        <f>'2023 Control'!K10</f>
        <v>104923</v>
      </c>
      <c r="P82" s="307">
        <f>'2023 Control'!L10</f>
        <v>527397</v>
      </c>
      <c r="Q82" s="307">
        <f>'2023 Control'!M10</f>
        <v>396188</v>
      </c>
      <c r="R82" s="307"/>
      <c r="S82" s="307"/>
      <c r="T82" s="307"/>
      <c r="U82" s="307"/>
      <c r="V82" s="307"/>
      <c r="W82" s="307"/>
      <c r="X82" s="307"/>
      <c r="Y82" s="307"/>
      <c r="Z82" s="307"/>
      <c r="AA82" s="307"/>
      <c r="AB82" s="307"/>
      <c r="AC82" s="307"/>
      <c r="AD82" s="307"/>
      <c r="AE82" s="307"/>
      <c r="AF82" s="307">
        <f>'2023 Control'!N10</f>
        <v>472000</v>
      </c>
      <c r="AG82" s="307">
        <f>'2023 Control'!O10</f>
        <v>510385</v>
      </c>
      <c r="AH82" s="339">
        <f>'2024 Control'!D10</f>
        <v>997130</v>
      </c>
      <c r="AI82" s="339">
        <f>'2024 Control'!E10</f>
        <v>1556622</v>
      </c>
      <c r="AJ82" s="339">
        <f>'2024 Control'!F10</f>
        <v>923556</v>
      </c>
      <c r="AK82" s="339">
        <f>'2024 Control'!G10</f>
        <v>156250</v>
      </c>
      <c r="AL82" s="339">
        <f>'2024 Control'!H10</f>
        <v>377495</v>
      </c>
      <c r="AM82" s="339">
        <f>'2024 Control'!I10</f>
        <v>921653</v>
      </c>
      <c r="AN82" s="339">
        <f>'2024 Control'!J10</f>
        <v>470850</v>
      </c>
      <c r="AO82" s="339">
        <f>'2024 Control'!K10</f>
        <v>213330</v>
      </c>
      <c r="AP82" s="339">
        <f>'2024 Control'!L10</f>
        <v>460800</v>
      </c>
      <c r="AQ82" s="339">
        <f>'2024 Control'!M10</f>
        <v>702522</v>
      </c>
      <c r="AR82" s="339"/>
      <c r="AS82" s="339"/>
      <c r="AT82" s="339"/>
      <c r="AU82" s="339"/>
      <c r="AV82" s="339"/>
      <c r="AW82" s="339"/>
      <c r="AX82" s="339"/>
      <c r="AY82" s="339"/>
      <c r="AZ82" s="339"/>
      <c r="BA82" s="339"/>
      <c r="BB82" s="339"/>
      <c r="BC82" s="339"/>
      <c r="BD82" s="339">
        <f>'2024 Control'!O10</f>
        <v>839000</v>
      </c>
      <c r="BE82" s="26"/>
      <c r="BF82" s="26" t="s">
        <v>250</v>
      </c>
      <c r="BG82" s="26" t="str">
        <f t="shared" si="149"/>
        <v xml:space="preserve">Customer Success ARR up for Renewal </v>
      </c>
      <c r="BH82" s="195">
        <f t="shared" si="151"/>
        <v>0</v>
      </c>
      <c r="BI82" s="195">
        <f t="shared" si="152"/>
        <v>0</v>
      </c>
      <c r="BJ82" s="195">
        <f t="shared" si="153"/>
        <v>0</v>
      </c>
      <c r="BK82" s="304">
        <f t="shared" si="154"/>
        <v>0</v>
      </c>
      <c r="BL82" s="195">
        <f ca="1">IF(BF82="EoP",OFFSET(AR82,0,MONTH('2024 Control'!$C$4)-1),SUM(AR82:OFFSET(AR82,0,MONTH('2024 Control'!$C$4)-1))/IF(BF82="Sum",1,MONTH('2024 Control'!$C$4)))</f>
        <v>0</v>
      </c>
      <c r="BM82" s="304">
        <f t="shared" si="155"/>
        <v>7290593</v>
      </c>
    </row>
    <row r="83" spans="2:65">
      <c r="B83" s="26" t="s">
        <v>24</v>
      </c>
      <c r="C83" s="26" t="s">
        <v>260</v>
      </c>
      <c r="D83" s="204" t="str">
        <f t="shared" si="165"/>
        <v>Customer Success % of Total</v>
      </c>
      <c r="E83" s="26" t="s">
        <v>185</v>
      </c>
      <c r="F83" s="183" t="s">
        <v>247</v>
      </c>
      <c r="G83" s="309" t="s">
        <v>259</v>
      </c>
      <c r="H83" s="308">
        <f>'2023 Control'!D11</f>
        <v>0.14797218378278973</v>
      </c>
      <c r="I83" s="308">
        <f>'2023 Control'!E11</f>
        <v>0.22370001892207977</v>
      </c>
      <c r="J83" s="308">
        <f>'2023 Control'!F11</f>
        <v>8.4940988188518626E-2</v>
      </c>
      <c r="K83" s="308">
        <f>'2023 Control'!G11</f>
        <v>1.8998072075645762E-2</v>
      </c>
      <c r="L83" s="308">
        <f>'2023 Control'!H11</f>
        <v>6.6941606765745412E-2</v>
      </c>
      <c r="M83" s="308">
        <f>'2023 Control'!I11</f>
        <v>0.11624996295375946</v>
      </c>
      <c r="N83" s="308">
        <f>'2023 Control'!J11</f>
        <v>3.557244610816894E-2</v>
      </c>
      <c r="O83" s="308">
        <f>'2023 Control'!K11</f>
        <v>1.5946677731143843E-2</v>
      </c>
      <c r="P83" s="308">
        <f>'2023 Control'!L11</f>
        <v>8.0156209747834786E-2</v>
      </c>
      <c r="Q83" s="308">
        <f>'2023 Control'!M11</f>
        <v>6.0214465436047547E-2</v>
      </c>
      <c r="R83" s="308"/>
      <c r="S83" s="308"/>
      <c r="T83" s="308"/>
      <c r="U83" s="308"/>
      <c r="V83" s="308"/>
      <c r="W83" s="308"/>
      <c r="X83" s="308"/>
      <c r="Y83" s="308"/>
      <c r="Z83" s="308"/>
      <c r="AA83" s="308"/>
      <c r="AB83" s="308"/>
      <c r="AC83" s="308"/>
      <c r="AD83" s="308"/>
      <c r="AE83" s="308"/>
      <c r="AF83" s="308">
        <f>'2023 Control'!N11</f>
        <v>7.1736720157638406E-2</v>
      </c>
      <c r="AG83" s="308">
        <f>'2023 Control'!O11</f>
        <v>7.7570648130627709E-2</v>
      </c>
      <c r="AH83" s="308">
        <f>AH82/'2024 Control'!P10</f>
        <v>0.12820852397096821</v>
      </c>
      <c r="AI83" s="308">
        <f>AI82/'2024 Control'!$P$10</f>
        <v>0.20014662982834383</v>
      </c>
      <c r="AJ83" s="308">
        <f>AJ82/'2024 Control'!$P$10</f>
        <v>0.11874855993153503</v>
      </c>
      <c r="AK83" s="308">
        <f>AK82/'2024 Control'!$P$10</f>
        <v>2.0090240861736969E-2</v>
      </c>
      <c r="AL83" s="308">
        <f>AL82/'2024 Control'!$P$10</f>
        <v>4.8537379034248943E-2</v>
      </c>
      <c r="AM83" s="308">
        <f>AM82/'2024 Control'!$P$10</f>
        <v>0.11850387687003176</v>
      </c>
      <c r="AN83" s="308">
        <f>AN82/'2024 Control'!$P$10</f>
        <v>6.0540735422392654E-2</v>
      </c>
      <c r="AO83" s="308">
        <f>AO82/'2024 Control'!$P$10</f>
        <v>2.7429446931419826E-2</v>
      </c>
      <c r="AP83" s="308">
        <f>AP82/'2024 Control'!$P$10</f>
        <v>5.9248531130165732E-2</v>
      </c>
      <c r="AQ83" s="308">
        <f>AQ82/'2024 Control'!$P$10</f>
        <v>9.0328551620282749E-2</v>
      </c>
      <c r="AR83" s="308"/>
      <c r="AS83" s="308"/>
      <c r="AT83" s="308"/>
      <c r="AU83" s="308"/>
      <c r="AV83" s="308"/>
      <c r="AW83" s="308"/>
      <c r="AX83" s="308"/>
      <c r="AY83" s="308"/>
      <c r="AZ83" s="308"/>
      <c r="BA83" s="308"/>
      <c r="BB83" s="308"/>
      <c r="BC83" s="308"/>
      <c r="BD83" s="308"/>
      <c r="BE83" s="26"/>
      <c r="BF83" s="26" t="s">
        <v>250</v>
      </c>
      <c r="BG83" s="26" t="str">
        <f t="shared" si="149"/>
        <v>Customer Success % of Total</v>
      </c>
      <c r="BH83" s="195">
        <f t="shared" si="151"/>
        <v>0</v>
      </c>
      <c r="BI83" s="195">
        <f t="shared" si="152"/>
        <v>0</v>
      </c>
      <c r="BJ83" s="195">
        <f t="shared" si="153"/>
        <v>0</v>
      </c>
      <c r="BK83" s="304">
        <f t="shared" si="154"/>
        <v>0</v>
      </c>
      <c r="BL83" s="195">
        <f ca="1">IF(BF83="EoP",OFFSET(AR83,0,MONTH('2024 Control'!$C$4)-1),SUM(AR83:OFFSET(AR83,0,MONTH('2024 Control'!$C$4)-1))/IF(BF83="Sum",1,MONTH('2024 Control'!$C$4)))</f>
        <v>0</v>
      </c>
      <c r="BM83" s="304">
        <f t="shared" si="155"/>
        <v>0.94935312373175329</v>
      </c>
    </row>
    <row r="84" spans="2:65">
      <c r="B84" s="26" t="s">
        <v>24</v>
      </c>
      <c r="C84" s="26" t="s">
        <v>260</v>
      </c>
      <c r="D84" s="204" t="str">
        <f t="shared" si="165"/>
        <v>Customer Success Obtainment</v>
      </c>
      <c r="E84" s="26" t="s">
        <v>186</v>
      </c>
      <c r="F84" s="183" t="s">
        <v>247</v>
      </c>
      <c r="G84" s="309" t="s">
        <v>259</v>
      </c>
      <c r="H84" s="225">
        <v>994612</v>
      </c>
      <c r="I84" s="225">
        <v>1544953</v>
      </c>
      <c r="J84" s="225">
        <v>856556</v>
      </c>
      <c r="K84" s="225">
        <v>156250</v>
      </c>
      <c r="L84" s="225">
        <v>576985</v>
      </c>
      <c r="M84" s="225">
        <v>600528</v>
      </c>
      <c r="N84" s="225">
        <v>146250</v>
      </c>
      <c r="O84" s="191">
        <v>85000</v>
      </c>
      <c r="P84" s="191">
        <v>412315</v>
      </c>
      <c r="Q84" s="191">
        <v>643247</v>
      </c>
      <c r="R84" s="191"/>
      <c r="S84" s="191"/>
      <c r="T84" s="191"/>
      <c r="U84" s="191"/>
      <c r="V84" s="191"/>
      <c r="W84" s="191"/>
      <c r="X84" s="191"/>
      <c r="Y84" s="191"/>
      <c r="Z84" s="191"/>
      <c r="AA84" s="191"/>
      <c r="AB84" s="191"/>
      <c r="AC84" s="191"/>
      <c r="AD84" s="191"/>
      <c r="AE84" s="191"/>
      <c r="AF84" s="191"/>
      <c r="AG84" s="191"/>
      <c r="AH84" s="225"/>
      <c r="AI84" s="225"/>
      <c r="AJ84" s="225"/>
      <c r="AK84" s="225"/>
      <c r="AL84" s="225"/>
      <c r="AM84" s="225"/>
      <c r="AN84" s="225"/>
      <c r="AO84" s="191"/>
      <c r="AP84" s="191"/>
      <c r="AQ84" s="191"/>
      <c r="AR84" s="191"/>
      <c r="AS84" s="191"/>
      <c r="AT84" s="191"/>
      <c r="AU84" s="191"/>
      <c r="AV84" s="191"/>
      <c r="AW84" s="191"/>
      <c r="AX84" s="191"/>
      <c r="AY84" s="191"/>
      <c r="AZ84" s="191"/>
      <c r="BA84" s="191"/>
      <c r="BB84" s="191"/>
      <c r="BC84" s="191"/>
      <c r="BD84" s="191"/>
      <c r="BE84" s="26"/>
      <c r="BF84" s="26" t="s">
        <v>250</v>
      </c>
      <c r="BG84" s="26" t="str">
        <f t="shared" si="149"/>
        <v>Customer Success Obtainment</v>
      </c>
      <c r="BH84" s="195">
        <f t="shared" si="151"/>
        <v>0</v>
      </c>
      <c r="BI84" s="195">
        <f t="shared" si="152"/>
        <v>0</v>
      </c>
      <c r="BJ84" s="195">
        <f t="shared" si="153"/>
        <v>0</v>
      </c>
      <c r="BK84" s="304">
        <f t="shared" si="154"/>
        <v>0</v>
      </c>
      <c r="BL84" s="195">
        <f ca="1">IF(BF84="EoP",OFFSET(AR84,0,MONTH('2024 Control'!$C$4)-1),SUM(AR84:OFFSET(AR84,0,MONTH('2024 Control'!$C$4)-1))/IF(BF84="Sum",1,MONTH('2024 Control'!$C$4)))</f>
        <v>0</v>
      </c>
      <c r="BM84" s="304">
        <f t="shared" si="155"/>
        <v>0</v>
      </c>
    </row>
    <row r="85" spans="2:65">
      <c r="B85" s="26" t="s">
        <v>24</v>
      </c>
      <c r="C85" s="26" t="s">
        <v>260</v>
      </c>
      <c r="D85" s="204" t="str">
        <f t="shared" si="165"/>
        <v>Customer Success NRR on Renewal</v>
      </c>
      <c r="E85" s="26" t="s">
        <v>187</v>
      </c>
      <c r="F85" s="183" t="s">
        <v>247</v>
      </c>
      <c r="G85" s="309" t="s">
        <v>259</v>
      </c>
      <c r="H85" s="300">
        <f>IF(H84=0,"-",H84/H82)</f>
        <v>1.0215817584223501</v>
      </c>
      <c r="I85" s="300">
        <f t="shared" ref="I85:BD85" si="166">IF(I84=0,"-",I84/I82)</f>
        <v>1.0496602937779409</v>
      </c>
      <c r="J85" s="300">
        <f t="shared" si="166"/>
        <v>1.5326322871319193</v>
      </c>
      <c r="K85" s="300">
        <f t="shared" si="166"/>
        <v>1.25</v>
      </c>
      <c r="L85" s="300">
        <f t="shared" si="166"/>
        <v>1.309989783176297</v>
      </c>
      <c r="M85" s="300">
        <f t="shared" si="166"/>
        <v>0.78512707875745213</v>
      </c>
      <c r="N85" s="300">
        <f t="shared" si="166"/>
        <v>0.62485847222637603</v>
      </c>
      <c r="O85" s="300">
        <f t="shared" si="166"/>
        <v>0.81011789598086215</v>
      </c>
      <c r="P85" s="300">
        <f t="shared" si="166"/>
        <v>0.78179246374173539</v>
      </c>
      <c r="Q85" s="300">
        <f t="shared" si="166"/>
        <v>1.6235903157087039</v>
      </c>
      <c r="R85" s="300" t="str">
        <f t="shared" si="166"/>
        <v>-</v>
      </c>
      <c r="S85" s="300" t="str">
        <f t="shared" si="166"/>
        <v>-</v>
      </c>
      <c r="T85" s="300" t="str">
        <f t="shared" si="166"/>
        <v>-</v>
      </c>
      <c r="U85" s="300" t="str">
        <f t="shared" si="166"/>
        <v>-</v>
      </c>
      <c r="V85" s="300" t="str">
        <f t="shared" si="166"/>
        <v>-</v>
      </c>
      <c r="W85" s="300" t="str">
        <f t="shared" si="166"/>
        <v>-</v>
      </c>
      <c r="X85" s="300" t="str">
        <f t="shared" si="166"/>
        <v>-</v>
      </c>
      <c r="Y85" s="300" t="str">
        <f t="shared" si="166"/>
        <v>-</v>
      </c>
      <c r="Z85" s="300" t="str">
        <f t="shared" si="166"/>
        <v>-</v>
      </c>
      <c r="AA85" s="300" t="str">
        <f t="shared" si="166"/>
        <v>-</v>
      </c>
      <c r="AB85" s="300" t="str">
        <f t="shared" si="166"/>
        <v>-</v>
      </c>
      <c r="AC85" s="300" t="str">
        <f t="shared" si="166"/>
        <v>-</v>
      </c>
      <c r="AD85" s="300" t="str">
        <f t="shared" si="166"/>
        <v>-</v>
      </c>
      <c r="AE85" s="300" t="str">
        <f t="shared" si="166"/>
        <v>-</v>
      </c>
      <c r="AF85" s="300" t="str">
        <f t="shared" si="166"/>
        <v>-</v>
      </c>
      <c r="AG85" s="300" t="str">
        <f t="shared" si="166"/>
        <v>-</v>
      </c>
      <c r="AH85" s="300" t="str">
        <f t="shared" si="166"/>
        <v>-</v>
      </c>
      <c r="AI85" s="300" t="str">
        <f t="shared" si="166"/>
        <v>-</v>
      </c>
      <c r="AJ85" s="300" t="str">
        <f t="shared" si="166"/>
        <v>-</v>
      </c>
      <c r="AK85" s="300" t="str">
        <f t="shared" si="166"/>
        <v>-</v>
      </c>
      <c r="AL85" s="300" t="str">
        <f t="shared" si="166"/>
        <v>-</v>
      </c>
      <c r="AM85" s="300" t="str">
        <f t="shared" si="166"/>
        <v>-</v>
      </c>
      <c r="AN85" s="300" t="str">
        <f t="shared" si="166"/>
        <v>-</v>
      </c>
      <c r="AO85" s="300" t="str">
        <f t="shared" si="166"/>
        <v>-</v>
      </c>
      <c r="AP85" s="300" t="str">
        <f t="shared" si="166"/>
        <v>-</v>
      </c>
      <c r="AQ85" s="300" t="str">
        <f t="shared" si="166"/>
        <v>-</v>
      </c>
      <c r="AR85" s="300" t="str">
        <f t="shared" si="166"/>
        <v>-</v>
      </c>
      <c r="AS85" s="300" t="str">
        <f t="shared" si="166"/>
        <v>-</v>
      </c>
      <c r="AT85" s="300" t="str">
        <f t="shared" si="166"/>
        <v>-</v>
      </c>
      <c r="AU85" s="300" t="str">
        <f t="shared" si="166"/>
        <v>-</v>
      </c>
      <c r="AV85" s="300" t="str">
        <f t="shared" si="166"/>
        <v>-</v>
      </c>
      <c r="AW85" s="300" t="str">
        <f t="shared" si="166"/>
        <v>-</v>
      </c>
      <c r="AX85" s="300" t="str">
        <f t="shared" si="166"/>
        <v>-</v>
      </c>
      <c r="AY85" s="300" t="str">
        <f t="shared" si="166"/>
        <v>-</v>
      </c>
      <c r="AZ85" s="300" t="str">
        <f t="shared" si="166"/>
        <v>-</v>
      </c>
      <c r="BA85" s="300" t="str">
        <f t="shared" si="166"/>
        <v>-</v>
      </c>
      <c r="BB85" s="300" t="str">
        <f t="shared" si="166"/>
        <v>-</v>
      </c>
      <c r="BC85" s="300" t="str">
        <f t="shared" si="166"/>
        <v>-</v>
      </c>
      <c r="BD85" s="300" t="str">
        <f t="shared" si="166"/>
        <v>-</v>
      </c>
      <c r="BE85" s="26"/>
      <c r="BG85" s="26" t="str">
        <f t="shared" si="149"/>
        <v>Customer Success NRR on Renewal</v>
      </c>
      <c r="BH85" s="304" t="str">
        <f>IF(BH84=0,"-",BH84/BH82)</f>
        <v>-</v>
      </c>
      <c r="BI85" s="304" t="str">
        <f>IF(BI84=0,"-",BI84/BI82)</f>
        <v>-</v>
      </c>
      <c r="BJ85" s="304" t="str">
        <f>IF(BJ84=0,"-",BJ84/BJ82)</f>
        <v>-</v>
      </c>
      <c r="BK85" s="304" t="str">
        <f>IF(BK84=0,"-",BK84/BK82)</f>
        <v>-</v>
      </c>
      <c r="BL85" s="304" t="str">
        <f ca="1">IF(BL84=0,"-",BL84/BL82)</f>
        <v>-</v>
      </c>
      <c r="BM85" s="304" t="str">
        <f t="shared" si="155"/>
        <v/>
      </c>
    </row>
    <row r="86" spans="2:65">
      <c r="B86" s="26" t="s">
        <v>24</v>
      </c>
      <c r="C86" s="26" t="s">
        <v>260</v>
      </c>
      <c r="D86" s="204" t="str">
        <f t="shared" si="157"/>
        <v>Customer Success Very Satisfied Clients (NPS 9-10)</v>
      </c>
      <c r="E86" s="26" t="s">
        <v>189</v>
      </c>
      <c r="F86" s="183" t="s">
        <v>247</v>
      </c>
      <c r="G86" s="309" t="s">
        <v>259</v>
      </c>
      <c r="H86" s="226">
        <v>33</v>
      </c>
      <c r="I86" s="226">
        <v>33</v>
      </c>
      <c r="J86" s="191">
        <v>34</v>
      </c>
      <c r="K86" s="191">
        <v>33</v>
      </c>
      <c r="L86" s="191">
        <v>32</v>
      </c>
      <c r="M86" s="191">
        <v>31</v>
      </c>
      <c r="N86" s="191">
        <v>28</v>
      </c>
      <c r="O86" s="191">
        <v>30</v>
      </c>
      <c r="P86" s="191">
        <v>27</v>
      </c>
      <c r="Q86" s="191">
        <v>27</v>
      </c>
      <c r="R86" s="191"/>
      <c r="S86" s="191"/>
      <c r="T86" s="191"/>
      <c r="U86" s="191"/>
      <c r="V86" s="191"/>
      <c r="W86" s="191"/>
      <c r="X86" s="191"/>
      <c r="Y86" s="191"/>
      <c r="Z86" s="191"/>
      <c r="AA86" s="191"/>
      <c r="AB86" s="191"/>
      <c r="AC86" s="191"/>
      <c r="AD86" s="191"/>
      <c r="AE86" s="191"/>
      <c r="AF86" s="191"/>
      <c r="AG86" s="191"/>
      <c r="AH86" s="226"/>
      <c r="AI86" s="226"/>
      <c r="AJ86" s="191"/>
      <c r="AK86" s="191"/>
      <c r="AL86" s="191"/>
      <c r="AM86" s="191"/>
      <c r="AN86" s="191"/>
      <c r="AO86" s="191"/>
      <c r="AP86" s="191"/>
      <c r="AQ86" s="191"/>
      <c r="AR86" s="191"/>
      <c r="AS86" s="191"/>
      <c r="AT86" s="191"/>
      <c r="AU86" s="191"/>
      <c r="AV86" s="191"/>
      <c r="AW86" s="191"/>
      <c r="AX86" s="191"/>
      <c r="AY86" s="191"/>
      <c r="AZ86" s="191"/>
      <c r="BA86" s="191"/>
      <c r="BB86" s="191"/>
      <c r="BC86" s="191"/>
      <c r="BD86" s="191"/>
      <c r="BE86" s="26"/>
      <c r="BF86" s="26" t="s">
        <v>47</v>
      </c>
      <c r="BG86" s="26" t="str">
        <f t="shared" si="149"/>
        <v>Customer Success Very Satisfied Clients (NPS 9-10)</v>
      </c>
      <c r="BH86" s="195">
        <f t="shared" ref="BH86:BH93" si="167">IF($BF86="Sum",SUM(AR86:AT86),IF($BF86="Average",IFERROR(AVERAGE(AR86:AT86),"-"),IF($BF86="EoP",AT86,"ERROR")))</f>
        <v>0</v>
      </c>
      <c r="BI86" s="195">
        <f t="shared" ref="BI86:BI93" si="168">IF($BF86="Sum",SUM(AU86:AW86),IF($BF86="Average",IFERROR(AVERAGE(AU86:AW86),"-"),IF($BF86="EoP",AW86,"ERROR")))</f>
        <v>0</v>
      </c>
      <c r="BJ86" s="195">
        <f t="shared" ref="BJ86:BJ93" si="169">IF($BF86="Sum",SUM(AX86:AZ86),IF($BF86="Average",IFERROR(AVERAGE(AX86:AZ86),"-"),IF($BF86="EoP",AZ86,"ERROR")))</f>
        <v>0</v>
      </c>
      <c r="BK86" s="304">
        <f t="shared" ref="BK86:BK93" si="170">IF($BF86="Sum",SUM(BA86:BC86),IF($BF86="Average",IFERROR(AVERAGE(BA86:BC86),"-"),IF($BF86="EoP",BC86,"ERROR")))</f>
        <v>0</v>
      </c>
      <c r="BL86" s="195">
        <f ca="1">IF(BF86="EoP",OFFSET(AR86,0,MONTH('2024 Control'!$C$4)-1),SUM(AR86:OFFSET(AR86,0,MONTH('2024 Control'!$C$4)-1))/IF(BF86="Sum",1,MONTH('2024 Control'!$C$4)))</f>
        <v>0</v>
      </c>
      <c r="BM86" s="304">
        <f t="shared" si="155"/>
        <v>0</v>
      </c>
    </row>
    <row r="87" spans="2:65">
      <c r="B87" s="26" t="s">
        <v>24</v>
      </c>
      <c r="C87" s="26" t="s">
        <v>260</v>
      </c>
      <c r="D87" s="204" t="str">
        <f t="shared" si="157"/>
        <v>Customer Success Satisfied Clients (NPS 7-8)</v>
      </c>
      <c r="E87" s="26" t="s">
        <v>190</v>
      </c>
      <c r="F87" s="183" t="s">
        <v>247</v>
      </c>
      <c r="G87" s="309" t="s">
        <v>259</v>
      </c>
      <c r="H87" s="226">
        <v>23</v>
      </c>
      <c r="I87" s="226">
        <v>23</v>
      </c>
      <c r="J87" s="191">
        <v>23</v>
      </c>
      <c r="K87" s="191">
        <v>24</v>
      </c>
      <c r="L87" s="191">
        <v>25</v>
      </c>
      <c r="M87" s="191">
        <v>25</v>
      </c>
      <c r="N87" s="191">
        <v>28</v>
      </c>
      <c r="O87" s="191">
        <v>28</v>
      </c>
      <c r="P87" s="191">
        <v>32</v>
      </c>
      <c r="Q87" s="191">
        <v>32</v>
      </c>
      <c r="R87" s="191"/>
      <c r="S87" s="191"/>
      <c r="T87" s="191"/>
      <c r="U87" s="191"/>
      <c r="V87" s="191"/>
      <c r="W87" s="191"/>
      <c r="X87" s="191"/>
      <c r="Y87" s="191"/>
      <c r="Z87" s="191"/>
      <c r="AA87" s="191"/>
      <c r="AB87" s="191"/>
      <c r="AC87" s="191"/>
      <c r="AD87" s="191"/>
      <c r="AE87" s="191"/>
      <c r="AF87" s="191"/>
      <c r="AG87" s="191"/>
      <c r="AH87" s="226"/>
      <c r="AI87" s="226"/>
      <c r="AJ87" s="191"/>
      <c r="AK87" s="191"/>
      <c r="AL87" s="191"/>
      <c r="AM87" s="191"/>
      <c r="AN87" s="191"/>
      <c r="AO87" s="191"/>
      <c r="AP87" s="191"/>
      <c r="AQ87" s="191"/>
      <c r="AR87" s="191"/>
      <c r="AS87" s="191"/>
      <c r="AT87" s="191"/>
      <c r="AU87" s="191"/>
      <c r="AV87" s="191"/>
      <c r="AW87" s="191"/>
      <c r="AX87" s="191"/>
      <c r="AY87" s="191"/>
      <c r="AZ87" s="191"/>
      <c r="BA87" s="191"/>
      <c r="BB87" s="191"/>
      <c r="BC87" s="191"/>
      <c r="BD87" s="191"/>
      <c r="BE87" s="26"/>
      <c r="BF87" s="26" t="s">
        <v>47</v>
      </c>
      <c r="BG87" s="26" t="str">
        <f t="shared" si="149"/>
        <v>Customer Success Satisfied Clients (NPS 7-8)</v>
      </c>
      <c r="BH87" s="195">
        <f t="shared" si="167"/>
        <v>0</v>
      </c>
      <c r="BI87" s="195">
        <f t="shared" si="168"/>
        <v>0</v>
      </c>
      <c r="BJ87" s="195">
        <f t="shared" si="169"/>
        <v>0</v>
      </c>
      <c r="BK87" s="304">
        <f t="shared" si="170"/>
        <v>0</v>
      </c>
      <c r="BL87" s="195">
        <f ca="1">IF(BF87="EoP",OFFSET(AR87,0,MONTH('2024 Control'!$C$4)-1),SUM(AR87:OFFSET(AR87,0,MONTH('2024 Control'!$C$4)-1))/IF(BF87="Sum",1,MONTH('2024 Control'!$C$4)))</f>
        <v>0</v>
      </c>
      <c r="BM87" s="304">
        <f t="shared" si="155"/>
        <v>0</v>
      </c>
    </row>
    <row r="88" spans="2:65">
      <c r="B88" s="26" t="s">
        <v>24</v>
      </c>
      <c r="C88" s="26" t="s">
        <v>260</v>
      </c>
      <c r="D88" s="204" t="str">
        <f t="shared" si="157"/>
        <v>Customer Success Dissatisfied Clients (NPS 5-6)</v>
      </c>
      <c r="E88" s="26" t="s">
        <v>191</v>
      </c>
      <c r="F88" s="183" t="s">
        <v>247</v>
      </c>
      <c r="G88" s="309" t="s">
        <v>259</v>
      </c>
      <c r="H88" s="226">
        <v>8</v>
      </c>
      <c r="I88" s="226">
        <v>8</v>
      </c>
      <c r="J88" s="191">
        <v>7</v>
      </c>
      <c r="K88" s="191">
        <v>8</v>
      </c>
      <c r="L88" s="191">
        <v>8</v>
      </c>
      <c r="M88" s="191">
        <v>9</v>
      </c>
      <c r="N88" s="191">
        <v>6</v>
      </c>
      <c r="O88" s="191">
        <v>6</v>
      </c>
      <c r="P88" s="191">
        <v>5</v>
      </c>
      <c r="Q88" s="191">
        <v>4</v>
      </c>
      <c r="R88" s="191"/>
      <c r="S88" s="191"/>
      <c r="T88" s="191"/>
      <c r="U88" s="191"/>
      <c r="V88" s="191"/>
      <c r="W88" s="191"/>
      <c r="X88" s="191"/>
      <c r="Y88" s="191"/>
      <c r="Z88" s="191"/>
      <c r="AA88" s="191"/>
      <c r="AB88" s="191"/>
      <c r="AC88" s="191"/>
      <c r="AD88" s="191"/>
      <c r="AE88" s="191"/>
      <c r="AF88" s="191"/>
      <c r="AG88" s="191"/>
      <c r="AH88" s="226"/>
      <c r="AI88" s="226"/>
      <c r="AJ88" s="191"/>
      <c r="AK88" s="191"/>
      <c r="AL88" s="191"/>
      <c r="AM88" s="191"/>
      <c r="AN88" s="191"/>
      <c r="AO88" s="191"/>
      <c r="AP88" s="191"/>
      <c r="AQ88" s="191"/>
      <c r="AR88" s="191"/>
      <c r="AS88" s="191"/>
      <c r="AT88" s="191"/>
      <c r="AU88" s="191"/>
      <c r="AV88" s="191"/>
      <c r="AW88" s="191"/>
      <c r="AX88" s="191"/>
      <c r="AY88" s="191"/>
      <c r="AZ88" s="191"/>
      <c r="BA88" s="191"/>
      <c r="BB88" s="191"/>
      <c r="BC88" s="191"/>
      <c r="BD88" s="191"/>
      <c r="BE88" s="26"/>
      <c r="BF88" s="26" t="s">
        <v>47</v>
      </c>
      <c r="BG88" s="26" t="str">
        <f t="shared" si="149"/>
        <v>Customer Success Dissatisfied Clients (NPS 5-6)</v>
      </c>
      <c r="BH88" s="195">
        <f t="shared" si="167"/>
        <v>0</v>
      </c>
      <c r="BI88" s="195">
        <f t="shared" si="168"/>
        <v>0</v>
      </c>
      <c r="BJ88" s="195">
        <f t="shared" si="169"/>
        <v>0</v>
      </c>
      <c r="BK88" s="304">
        <f t="shared" si="170"/>
        <v>0</v>
      </c>
      <c r="BL88" s="195">
        <f ca="1">IF(BF88="EoP",OFFSET(AR88,0,MONTH('2024 Control'!$C$4)-1),SUM(AR88:OFFSET(AR88,0,MONTH('2024 Control'!$C$4)-1))/IF(BF88="Sum",1,MONTH('2024 Control'!$C$4)))</f>
        <v>0</v>
      </c>
      <c r="BM88" s="304">
        <f t="shared" si="155"/>
        <v>0</v>
      </c>
    </row>
    <row r="89" spans="2:65">
      <c r="B89" s="26" t="s">
        <v>24</v>
      </c>
      <c r="C89" s="26" t="s">
        <v>260</v>
      </c>
      <c r="D89" s="204" t="str">
        <f t="shared" si="157"/>
        <v>Customer Success At-Risk Clients (NPS &lt;4)</v>
      </c>
      <c r="E89" s="26" t="s">
        <v>192</v>
      </c>
      <c r="F89" s="183" t="s">
        <v>247</v>
      </c>
      <c r="G89" s="309" t="s">
        <v>259</v>
      </c>
      <c r="H89" s="226">
        <v>3</v>
      </c>
      <c r="I89" s="226">
        <v>3</v>
      </c>
      <c r="J89" s="191">
        <v>0</v>
      </c>
      <c r="K89" s="191">
        <v>0</v>
      </c>
      <c r="L89" s="191">
        <v>0</v>
      </c>
      <c r="M89" s="191">
        <v>0</v>
      </c>
      <c r="N89" s="191">
        <v>1</v>
      </c>
      <c r="O89" s="191">
        <v>1</v>
      </c>
      <c r="P89" s="191">
        <v>1</v>
      </c>
      <c r="Q89" s="191">
        <v>2</v>
      </c>
      <c r="R89" s="191"/>
      <c r="S89" s="191"/>
      <c r="T89" s="191"/>
      <c r="U89" s="191"/>
      <c r="V89" s="191"/>
      <c r="W89" s="191"/>
      <c r="X89" s="191"/>
      <c r="Y89" s="191"/>
      <c r="Z89" s="191"/>
      <c r="AA89" s="191"/>
      <c r="AB89" s="191"/>
      <c r="AC89" s="191"/>
      <c r="AD89" s="191"/>
      <c r="AE89" s="191"/>
      <c r="AF89" s="191"/>
      <c r="AG89" s="191"/>
      <c r="AH89" s="226"/>
      <c r="AI89" s="226"/>
      <c r="AJ89" s="191"/>
      <c r="AK89" s="191"/>
      <c r="AL89" s="191"/>
      <c r="AM89" s="191"/>
      <c r="AN89" s="191"/>
      <c r="AO89" s="191"/>
      <c r="AP89" s="191"/>
      <c r="AQ89" s="191"/>
      <c r="AR89" s="191"/>
      <c r="AS89" s="191"/>
      <c r="AT89" s="191"/>
      <c r="AU89" s="191"/>
      <c r="AV89" s="191"/>
      <c r="AW89" s="191"/>
      <c r="AX89" s="191"/>
      <c r="AY89" s="191"/>
      <c r="AZ89" s="191"/>
      <c r="BA89" s="191"/>
      <c r="BB89" s="191"/>
      <c r="BC89" s="191"/>
      <c r="BD89" s="191"/>
      <c r="BE89" s="26"/>
      <c r="BF89" s="26" t="s">
        <v>47</v>
      </c>
      <c r="BG89" s="26" t="str">
        <f t="shared" si="149"/>
        <v>Customer Success At-Risk Clients (NPS &lt;4)</v>
      </c>
      <c r="BH89" s="195">
        <f t="shared" si="167"/>
        <v>0</v>
      </c>
      <c r="BI89" s="195">
        <f t="shared" si="168"/>
        <v>0</v>
      </c>
      <c r="BJ89" s="195">
        <f t="shared" si="169"/>
        <v>0</v>
      </c>
      <c r="BK89" s="304">
        <f t="shared" si="170"/>
        <v>0</v>
      </c>
      <c r="BL89" s="195">
        <f ca="1">IF(BF89="EoP",OFFSET(AR89,0,MONTH('2024 Control'!$C$4)-1),SUM(AR89:OFFSET(AR89,0,MONTH('2024 Control'!$C$4)-1))/IF(BF89="Sum",1,MONTH('2024 Control'!$C$4)))</f>
        <v>0</v>
      </c>
      <c r="BM89" s="304">
        <f t="shared" si="155"/>
        <v>0</v>
      </c>
    </row>
    <row r="90" spans="2:65">
      <c r="B90" s="26" t="s">
        <v>24</v>
      </c>
      <c r="C90" s="26" t="s">
        <v>260</v>
      </c>
      <c r="D90" s="204" t="str">
        <f t="shared" si="157"/>
        <v>Customer Success NPS Estimate</v>
      </c>
      <c r="E90" s="26" t="s">
        <v>193</v>
      </c>
      <c r="F90" s="183" t="s">
        <v>247</v>
      </c>
      <c r="G90" s="309" t="s">
        <v>259</v>
      </c>
      <c r="H90" s="313">
        <f>((H86/H77)-(H89/H77))*100</f>
        <v>46.875</v>
      </c>
      <c r="I90" s="313">
        <f t="shared" ref="I90:BD90" si="171">((I86/I77)-(I89/I77))*100</f>
        <v>46.875</v>
      </c>
      <c r="J90" s="313">
        <f t="shared" si="171"/>
        <v>52.307692307692314</v>
      </c>
      <c r="K90" s="313">
        <f t="shared" si="171"/>
        <v>50.769230769230766</v>
      </c>
      <c r="L90" s="313">
        <f t="shared" si="171"/>
        <v>49.230769230769234</v>
      </c>
      <c r="M90" s="313">
        <f t="shared" si="171"/>
        <v>47.692307692307693</v>
      </c>
      <c r="N90" s="313">
        <f t="shared" si="171"/>
        <v>42.857142857142854</v>
      </c>
      <c r="O90" s="313">
        <f t="shared" si="171"/>
        <v>44.61538461538462</v>
      </c>
      <c r="P90" s="313">
        <f t="shared" si="171"/>
        <v>40</v>
      </c>
      <c r="Q90" s="313">
        <f t="shared" si="171"/>
        <v>38.461538461538467</v>
      </c>
      <c r="R90" s="313" t="e">
        <f t="shared" si="171"/>
        <v>#DIV/0!</v>
      </c>
      <c r="S90" s="313" t="e">
        <f t="shared" si="171"/>
        <v>#DIV/0!</v>
      </c>
      <c r="T90" s="313" t="e">
        <f t="shared" si="171"/>
        <v>#DIV/0!</v>
      </c>
      <c r="U90" s="313" t="e">
        <f t="shared" si="171"/>
        <v>#DIV/0!</v>
      </c>
      <c r="V90" s="313" t="e">
        <f t="shared" si="171"/>
        <v>#DIV/0!</v>
      </c>
      <c r="W90" s="313" t="e">
        <f t="shared" si="171"/>
        <v>#DIV/0!</v>
      </c>
      <c r="X90" s="313" t="e">
        <f t="shared" si="171"/>
        <v>#DIV/0!</v>
      </c>
      <c r="Y90" s="313" t="e">
        <f t="shared" si="171"/>
        <v>#DIV/0!</v>
      </c>
      <c r="Z90" s="313" t="e">
        <f t="shared" si="171"/>
        <v>#DIV/0!</v>
      </c>
      <c r="AA90" s="313" t="e">
        <f t="shared" si="171"/>
        <v>#DIV/0!</v>
      </c>
      <c r="AB90" s="313" t="e">
        <f t="shared" si="171"/>
        <v>#DIV/0!</v>
      </c>
      <c r="AC90" s="313" t="e">
        <f t="shared" si="171"/>
        <v>#DIV/0!</v>
      </c>
      <c r="AD90" s="313" t="e">
        <f t="shared" si="171"/>
        <v>#DIV/0!</v>
      </c>
      <c r="AE90" s="313" t="e">
        <f t="shared" si="171"/>
        <v>#DIV/0!</v>
      </c>
      <c r="AF90" s="313"/>
      <c r="AG90" s="313"/>
      <c r="AH90" s="313"/>
      <c r="AI90" s="313"/>
      <c r="AJ90" s="313"/>
      <c r="AK90" s="313"/>
      <c r="AL90" s="313"/>
      <c r="AM90" s="313"/>
      <c r="AN90" s="313"/>
      <c r="AO90" s="313"/>
      <c r="AP90" s="313"/>
      <c r="AQ90" s="313">
        <f t="shared" si="171"/>
        <v>0</v>
      </c>
      <c r="AR90" s="313" t="e">
        <f t="shared" si="171"/>
        <v>#DIV/0!</v>
      </c>
      <c r="AS90" s="313" t="e">
        <f t="shared" si="171"/>
        <v>#DIV/0!</v>
      </c>
      <c r="AT90" s="313" t="e">
        <f t="shared" si="171"/>
        <v>#DIV/0!</v>
      </c>
      <c r="AU90" s="313" t="e">
        <f t="shared" si="171"/>
        <v>#DIV/0!</v>
      </c>
      <c r="AV90" s="313" t="e">
        <f t="shared" si="171"/>
        <v>#DIV/0!</v>
      </c>
      <c r="AW90" s="313" t="e">
        <f t="shared" si="171"/>
        <v>#DIV/0!</v>
      </c>
      <c r="AX90" s="313" t="e">
        <f t="shared" si="171"/>
        <v>#DIV/0!</v>
      </c>
      <c r="AY90" s="313" t="e">
        <f t="shared" si="171"/>
        <v>#DIV/0!</v>
      </c>
      <c r="AZ90" s="313" t="e">
        <f t="shared" si="171"/>
        <v>#DIV/0!</v>
      </c>
      <c r="BA90" s="313" t="e">
        <f t="shared" si="171"/>
        <v>#DIV/0!</v>
      </c>
      <c r="BB90" s="313" t="e">
        <f t="shared" si="171"/>
        <v>#DIV/0!</v>
      </c>
      <c r="BC90" s="313" t="e">
        <f t="shared" si="171"/>
        <v>#DIV/0!</v>
      </c>
      <c r="BD90" s="313" t="e">
        <f t="shared" si="171"/>
        <v>#DIV/0!</v>
      </c>
      <c r="BE90" s="26"/>
      <c r="BF90" s="26" t="s">
        <v>47</v>
      </c>
      <c r="BG90" s="26" t="str">
        <f t="shared" si="149"/>
        <v>Customer Success NPS Estimate</v>
      </c>
      <c r="BH90" s="195" t="e">
        <f t="shared" si="167"/>
        <v>#DIV/0!</v>
      </c>
      <c r="BI90" s="195" t="e">
        <f t="shared" si="168"/>
        <v>#DIV/0!</v>
      </c>
      <c r="BJ90" s="195" t="e">
        <f t="shared" si="169"/>
        <v>#DIV/0!</v>
      </c>
      <c r="BK90" s="304" t="e">
        <f t="shared" si="170"/>
        <v>#DIV/0!</v>
      </c>
      <c r="BL90" s="195" t="e">
        <f ca="1">IF(BF90="EoP",OFFSET(AR90,0,MONTH('2024 Control'!$C$4)-1),SUM(AR90:OFFSET(AR90,0,MONTH('2024 Control'!$C$4)-1))/IF(BF90="Sum",1,MONTH('2024 Control'!$C$4)))</f>
        <v>#DIV/0!</v>
      </c>
      <c r="BM90" s="304" t="e">
        <f t="shared" si="155"/>
        <v>#DIV/0!</v>
      </c>
    </row>
    <row r="91" spans="2:65">
      <c r="B91" s="26" t="s">
        <v>24</v>
      </c>
      <c r="C91" s="26" t="s">
        <v>194</v>
      </c>
      <c r="D91" s="204" t="str">
        <f t="shared" si="157"/>
        <v>Customer Success Headcount</v>
      </c>
      <c r="E91" s="26" t="s">
        <v>97</v>
      </c>
      <c r="F91" s="183" t="s">
        <v>247</v>
      </c>
      <c r="G91" s="309" t="s">
        <v>4</v>
      </c>
      <c r="H91" s="226">
        <v>2</v>
      </c>
      <c r="I91" s="191">
        <v>2</v>
      </c>
      <c r="J91" s="191">
        <v>2</v>
      </c>
      <c r="K91" s="191">
        <v>2</v>
      </c>
      <c r="L91" s="191">
        <v>2</v>
      </c>
      <c r="M91" s="191">
        <v>1</v>
      </c>
      <c r="N91" s="191">
        <v>4</v>
      </c>
      <c r="O91" s="191">
        <v>3</v>
      </c>
      <c r="P91" s="191">
        <v>3</v>
      </c>
      <c r="Q91" s="191">
        <v>4</v>
      </c>
      <c r="R91" s="191"/>
      <c r="S91" s="191"/>
      <c r="T91" s="191"/>
      <c r="U91" s="191"/>
      <c r="V91" s="191"/>
      <c r="W91" s="191"/>
      <c r="X91" s="191"/>
      <c r="Y91" s="191"/>
      <c r="Z91" s="191"/>
      <c r="AA91" s="191"/>
      <c r="AB91" s="191"/>
      <c r="AC91" s="191"/>
      <c r="AD91" s="191"/>
      <c r="AE91" s="191"/>
      <c r="AF91" s="191">
        <v>10</v>
      </c>
      <c r="AG91" s="191">
        <v>10</v>
      </c>
      <c r="AH91" s="191">
        <v>10</v>
      </c>
      <c r="AI91" s="191">
        <v>10</v>
      </c>
      <c r="AJ91" s="191">
        <v>10</v>
      </c>
      <c r="AK91" s="191">
        <v>10</v>
      </c>
      <c r="AL91" s="191">
        <v>10</v>
      </c>
      <c r="AM91" s="191">
        <v>10</v>
      </c>
      <c r="AN91" s="191">
        <v>10</v>
      </c>
      <c r="AO91" s="191">
        <v>10</v>
      </c>
      <c r="AP91" s="191">
        <v>9</v>
      </c>
      <c r="AQ91" s="191">
        <v>7</v>
      </c>
      <c r="AR91" s="191">
        <v>10</v>
      </c>
      <c r="AS91" s="191">
        <v>10</v>
      </c>
      <c r="AT91" s="191">
        <v>10</v>
      </c>
      <c r="AU91" s="191">
        <v>8</v>
      </c>
      <c r="AV91" s="191"/>
      <c r="AW91" s="191"/>
      <c r="AX91" s="191"/>
      <c r="AY91" s="191"/>
      <c r="AZ91" s="191"/>
      <c r="BA91" s="191"/>
      <c r="BB91" s="191"/>
      <c r="BC91" s="191"/>
      <c r="BD91" s="191"/>
      <c r="BE91" s="26"/>
      <c r="BF91" s="26" t="s">
        <v>47</v>
      </c>
      <c r="BG91" s="26" t="str">
        <f t="shared" si="149"/>
        <v>Customer Success Headcount</v>
      </c>
      <c r="BH91" s="195">
        <f t="shared" si="167"/>
        <v>10</v>
      </c>
      <c r="BI91" s="195">
        <f t="shared" si="168"/>
        <v>0</v>
      </c>
      <c r="BJ91" s="195">
        <f t="shared" si="169"/>
        <v>0</v>
      </c>
      <c r="BK91" s="304">
        <f t="shared" si="170"/>
        <v>0</v>
      </c>
      <c r="BL91" s="195">
        <f ca="1">IF(BF91="EoP",OFFSET(AR91,0,MONTH('2024 Control'!$C$4)-1),SUM(AR91:OFFSET(AR91,0,MONTH('2024 Control'!$C$4)-1))/IF(BF91="Sum",1,MONTH('2024 Control'!$C$4)))</f>
        <v>0</v>
      </c>
      <c r="BM91" s="304">
        <f t="shared" si="155"/>
        <v>10</v>
      </c>
    </row>
    <row r="92" spans="2:65">
      <c r="B92" s="26" t="s">
        <v>24</v>
      </c>
      <c r="C92" s="26" t="s">
        <v>194</v>
      </c>
      <c r="D92" s="204" t="str">
        <f t="shared" si="157"/>
        <v>Customer Success C.S. upsell / cross-sell ARR</v>
      </c>
      <c r="E92" s="26" t="s">
        <v>195</v>
      </c>
      <c r="F92" s="183" t="s">
        <v>253</v>
      </c>
      <c r="G92" s="309" t="s">
        <v>259</v>
      </c>
      <c r="H92" s="252">
        <f>H71</f>
        <v>53787</v>
      </c>
      <c r="I92" s="252">
        <f t="shared" ref="I92:BE92" si="172">I71</f>
        <v>123093</v>
      </c>
      <c r="J92" s="252">
        <f t="shared" si="172"/>
        <v>141667</v>
      </c>
      <c r="K92" s="252">
        <f t="shared" si="172"/>
        <v>243490</v>
      </c>
      <c r="L92" s="252">
        <f t="shared" si="172"/>
        <v>39445</v>
      </c>
      <c r="M92" s="252">
        <f t="shared" si="172"/>
        <v>30218</v>
      </c>
      <c r="N92" s="252">
        <f t="shared" si="172"/>
        <v>6250</v>
      </c>
      <c r="O92" s="252">
        <f t="shared" ref="O92:P92" si="173">O71</f>
        <v>8447</v>
      </c>
      <c r="P92" s="252">
        <f t="shared" si="173"/>
        <v>86585</v>
      </c>
      <c r="Q92" s="252">
        <f t="shared" ref="Q92:AF92" si="174">Q71</f>
        <v>119987</v>
      </c>
      <c r="R92" s="252">
        <f t="shared" si="174"/>
        <v>0</v>
      </c>
      <c r="S92" s="252">
        <f t="shared" si="174"/>
        <v>0</v>
      </c>
      <c r="T92" s="252">
        <f t="shared" si="174"/>
        <v>0</v>
      </c>
      <c r="U92" s="252">
        <f t="shared" si="174"/>
        <v>0</v>
      </c>
      <c r="V92" s="252">
        <f t="shared" si="174"/>
        <v>0</v>
      </c>
      <c r="W92" s="252">
        <f t="shared" si="174"/>
        <v>0</v>
      </c>
      <c r="X92" s="252">
        <f t="shared" si="174"/>
        <v>0</v>
      </c>
      <c r="Y92" s="252">
        <f t="shared" si="174"/>
        <v>0</v>
      </c>
      <c r="Z92" s="252">
        <f t="shared" si="174"/>
        <v>0</v>
      </c>
      <c r="AA92" s="252">
        <f t="shared" si="174"/>
        <v>0</v>
      </c>
      <c r="AB92" s="252">
        <f t="shared" si="174"/>
        <v>0</v>
      </c>
      <c r="AC92" s="252">
        <f t="shared" si="174"/>
        <v>0</v>
      </c>
      <c r="AD92" s="252">
        <f t="shared" si="174"/>
        <v>0</v>
      </c>
      <c r="AE92" s="252">
        <f t="shared" si="174"/>
        <v>0</v>
      </c>
      <c r="AF92" s="252">
        <f t="shared" si="174"/>
        <v>39081</v>
      </c>
      <c r="AG92" s="252">
        <f t="shared" ref="AG92:AH92" si="175">AG71</f>
        <v>31790</v>
      </c>
      <c r="AH92" s="252">
        <f t="shared" si="175"/>
        <v>69355.05</v>
      </c>
      <c r="AI92" s="252">
        <f t="shared" ref="AI92:AJ92" si="176">AI71</f>
        <v>30000</v>
      </c>
      <c r="AJ92" s="252">
        <f t="shared" si="176"/>
        <v>48828</v>
      </c>
      <c r="AK92" s="252">
        <f t="shared" ref="AK92:AL92" si="177">AK71</f>
        <v>43078</v>
      </c>
      <c r="AL92" s="252">
        <f t="shared" si="177"/>
        <v>45221</v>
      </c>
      <c r="AM92" s="252">
        <f t="shared" ref="AM92:AQ92" si="178">AM71</f>
        <v>20876.95</v>
      </c>
      <c r="AN92" s="252">
        <f t="shared" si="178"/>
        <v>56000</v>
      </c>
      <c r="AO92" s="252">
        <f t="shared" si="178"/>
        <v>20162</v>
      </c>
      <c r="AP92" s="252">
        <f t="shared" si="178"/>
        <v>11744</v>
      </c>
      <c r="AQ92" s="252">
        <f t="shared" si="178"/>
        <v>13142</v>
      </c>
      <c r="AR92" s="252">
        <f t="shared" ref="AR92:BD92" si="179">AR71</f>
        <v>0</v>
      </c>
      <c r="AS92" s="252">
        <f t="shared" si="179"/>
        <v>0</v>
      </c>
      <c r="AT92" s="252">
        <f t="shared" si="179"/>
        <v>0</v>
      </c>
      <c r="AU92" s="252">
        <f t="shared" si="179"/>
        <v>0</v>
      </c>
      <c r="AV92" s="252">
        <f t="shared" si="179"/>
        <v>0</v>
      </c>
      <c r="AW92" s="252">
        <f t="shared" si="179"/>
        <v>0</v>
      </c>
      <c r="AX92" s="252">
        <f t="shared" si="179"/>
        <v>0</v>
      </c>
      <c r="AY92" s="252">
        <f t="shared" si="179"/>
        <v>0</v>
      </c>
      <c r="AZ92" s="252">
        <f t="shared" si="179"/>
        <v>0</v>
      </c>
      <c r="BA92" s="252">
        <f t="shared" si="179"/>
        <v>0</v>
      </c>
      <c r="BB92" s="252">
        <f t="shared" si="179"/>
        <v>0</v>
      </c>
      <c r="BC92" s="252">
        <f t="shared" si="179"/>
        <v>0</v>
      </c>
      <c r="BD92" s="252">
        <f t="shared" si="179"/>
        <v>0</v>
      </c>
      <c r="BE92" s="242">
        <f t="shared" si="172"/>
        <v>0</v>
      </c>
      <c r="BF92" s="26" t="s">
        <v>250</v>
      </c>
      <c r="BG92" s="26" t="str">
        <f t="shared" si="149"/>
        <v>Customer Success C.S. upsell / cross-sell ARR</v>
      </c>
      <c r="BH92" s="195">
        <f t="shared" si="167"/>
        <v>0</v>
      </c>
      <c r="BI92" s="195">
        <f t="shared" si="168"/>
        <v>0</v>
      </c>
      <c r="BJ92" s="195">
        <f t="shared" si="169"/>
        <v>0</v>
      </c>
      <c r="BK92" s="304">
        <f t="shared" si="170"/>
        <v>0</v>
      </c>
      <c r="BL92" s="195">
        <f ca="1">IF(BF92="EoP",OFFSET(AR92,0,MONTH('2024 Control'!$C$4)-1),SUM(AR92:OFFSET(AR92,0,MONTH('2024 Control'!$C$4)-1))/IF(BF92="Sum",1,MONTH('2024 Control'!$C$4)))</f>
        <v>0</v>
      </c>
      <c r="BM92" s="304">
        <f t="shared" si="155"/>
        <v>390197</v>
      </c>
    </row>
    <row r="93" spans="2:65">
      <c r="B93" s="26" t="s">
        <v>24</v>
      </c>
      <c r="C93" s="26" t="s">
        <v>194</v>
      </c>
      <c r="D93" s="204" t="str">
        <f t="shared" si="157"/>
        <v>Customer Success C.S. expense</v>
      </c>
      <c r="E93" s="26" t="s">
        <v>196</v>
      </c>
      <c r="F93" s="183" t="s">
        <v>253</v>
      </c>
      <c r="G93" s="183" t="s">
        <v>4</v>
      </c>
      <c r="H93" s="290">
        <f>-H110</f>
        <v>37727.68</v>
      </c>
      <c r="I93" s="290">
        <f t="shared" ref="I93:N93" si="180">-I110</f>
        <v>47891.18</v>
      </c>
      <c r="J93" s="290">
        <f t="shared" si="180"/>
        <v>45640.729999999996</v>
      </c>
      <c r="K93" s="290">
        <f t="shared" si="180"/>
        <v>46497.61</v>
      </c>
      <c r="L93" s="290">
        <f t="shared" si="180"/>
        <v>45039.15</v>
      </c>
      <c r="M93" s="290">
        <f t="shared" si="180"/>
        <v>35615.96</v>
      </c>
      <c r="N93" s="290">
        <f t="shared" si="180"/>
        <v>28901.230000000003</v>
      </c>
      <c r="O93" s="290">
        <f t="shared" ref="O93:P93" si="181">-O110</f>
        <v>59949.22</v>
      </c>
      <c r="P93" s="290">
        <f t="shared" si="181"/>
        <v>54756.89</v>
      </c>
      <c r="Q93" s="290">
        <f t="shared" ref="Q93:AF93" si="182">-Q110</f>
        <v>59823.76</v>
      </c>
      <c r="R93" s="290">
        <f t="shared" si="182"/>
        <v>0</v>
      </c>
      <c r="S93" s="290">
        <f t="shared" si="182"/>
        <v>0</v>
      </c>
      <c r="T93" s="290">
        <f t="shared" si="182"/>
        <v>0</v>
      </c>
      <c r="U93" s="290">
        <f t="shared" si="182"/>
        <v>0</v>
      </c>
      <c r="V93" s="290">
        <f t="shared" si="182"/>
        <v>0</v>
      </c>
      <c r="W93" s="290">
        <f t="shared" si="182"/>
        <v>0</v>
      </c>
      <c r="X93" s="290">
        <f t="shared" si="182"/>
        <v>0</v>
      </c>
      <c r="Y93" s="290">
        <f t="shared" si="182"/>
        <v>0</v>
      </c>
      <c r="Z93" s="290">
        <f t="shared" si="182"/>
        <v>0</v>
      </c>
      <c r="AA93" s="290">
        <f t="shared" si="182"/>
        <v>0</v>
      </c>
      <c r="AB93" s="290">
        <f t="shared" si="182"/>
        <v>0</v>
      </c>
      <c r="AC93" s="290">
        <f t="shared" si="182"/>
        <v>0</v>
      </c>
      <c r="AD93" s="290">
        <f t="shared" si="182"/>
        <v>0</v>
      </c>
      <c r="AE93" s="290">
        <f t="shared" si="182"/>
        <v>0</v>
      </c>
      <c r="AF93" s="290">
        <f t="shared" si="182"/>
        <v>162623.82999999999</v>
      </c>
      <c r="AG93" s="290">
        <f t="shared" ref="AG93:AH93" si="183">-AG110</f>
        <v>164250.06829999998</v>
      </c>
      <c r="AH93" s="290">
        <f t="shared" si="183"/>
        <v>165892.56898299998</v>
      </c>
      <c r="AI93" s="290">
        <f t="shared" ref="AI93:AJ93" si="184">-AI110</f>
        <v>167551.49467282998</v>
      </c>
      <c r="AJ93" s="252">
        <f t="shared" si="184"/>
        <v>169227.00961955829</v>
      </c>
      <c r="AK93" s="252">
        <f t="shared" ref="AK93:AL93" si="185">-AK110</f>
        <v>170919.27971575386</v>
      </c>
      <c r="AL93" s="252">
        <f t="shared" si="185"/>
        <v>172628.47251291139</v>
      </c>
      <c r="AM93" s="252">
        <f t="shared" ref="AM93:AN93" si="186">-AM110</f>
        <v>174354.7572380405</v>
      </c>
      <c r="AN93" s="252">
        <f t="shared" si="186"/>
        <v>176098.3048104209</v>
      </c>
      <c r="AO93" s="252">
        <f t="shared" ref="AO93:AP93" si="187">-AO110</f>
        <v>177859.28785852512</v>
      </c>
      <c r="AP93" s="252">
        <f t="shared" si="187"/>
        <v>179637.88073711036</v>
      </c>
      <c r="AQ93" s="252">
        <f t="shared" ref="AQ93:BD93" si="188">-AQ110</f>
        <v>181434.25954448147</v>
      </c>
      <c r="AR93" s="252">
        <f t="shared" si="188"/>
        <v>183248.60213992628</v>
      </c>
      <c r="AS93" s="252">
        <f t="shared" si="188"/>
        <v>185081.08816132555</v>
      </c>
      <c r="AT93" s="252">
        <f t="shared" si="188"/>
        <v>186931.89904293881</v>
      </c>
      <c r="AU93" s="252">
        <f t="shared" si="188"/>
        <v>0</v>
      </c>
      <c r="AV93" s="252">
        <f t="shared" si="188"/>
        <v>0</v>
      </c>
      <c r="AW93" s="252">
        <f t="shared" si="188"/>
        <v>0</v>
      </c>
      <c r="AX93" s="252">
        <f t="shared" si="188"/>
        <v>0</v>
      </c>
      <c r="AY93" s="252">
        <f t="shared" si="188"/>
        <v>0</v>
      </c>
      <c r="AZ93" s="252">
        <f t="shared" si="188"/>
        <v>0</v>
      </c>
      <c r="BA93" s="252">
        <f t="shared" si="188"/>
        <v>0</v>
      </c>
      <c r="BB93" s="252">
        <f t="shared" si="188"/>
        <v>0</v>
      </c>
      <c r="BC93" s="252">
        <f t="shared" si="188"/>
        <v>0</v>
      </c>
      <c r="BD93" s="252">
        <f t="shared" si="188"/>
        <v>0</v>
      </c>
      <c r="BE93" s="26"/>
      <c r="BF93" s="26" t="s">
        <v>250</v>
      </c>
      <c r="BG93" s="26" t="str">
        <f t="shared" si="149"/>
        <v>Customer Success C.S. expense</v>
      </c>
      <c r="BH93" s="195">
        <f t="shared" si="167"/>
        <v>555261.58934419067</v>
      </c>
      <c r="BI93" s="195">
        <f t="shared" si="168"/>
        <v>0</v>
      </c>
      <c r="BJ93" s="195">
        <f t="shared" si="169"/>
        <v>0</v>
      </c>
      <c r="BK93" s="304">
        <f t="shared" si="170"/>
        <v>0</v>
      </c>
      <c r="BL93" s="195">
        <f ca="1">IF(BF93="EoP",OFFSET(AR93,0,MONTH('2024 Control'!$C$4)-1),SUM(AR93:OFFSET(AR93,0,MONTH('2024 Control'!$C$4)-1))/IF(BF93="Sum",1,MONTH('2024 Control'!$C$4)))</f>
        <v>555261.58934419067</v>
      </c>
      <c r="BM93" s="304">
        <f t="shared" si="155"/>
        <v>2083101.986132558</v>
      </c>
    </row>
    <row r="94" spans="2:65">
      <c r="B94" s="26" t="s">
        <v>24</v>
      </c>
      <c r="C94" s="26" t="s">
        <v>194</v>
      </c>
      <c r="D94" s="204" t="str">
        <f t="shared" si="157"/>
        <v>Customer Success C.S. exp. per $1 ARR</v>
      </c>
      <c r="E94" s="26" t="s">
        <v>197</v>
      </c>
      <c r="F94" s="183" t="s">
        <v>253</v>
      </c>
      <c r="G94" s="183" t="s">
        <v>4</v>
      </c>
      <c r="H94" s="289">
        <f>H93/H92</f>
        <v>0.70142748247717845</v>
      </c>
      <c r="I94" s="289">
        <f t="shared" ref="I94:P94" si="189">I93/I92</f>
        <v>0.38906501588230036</v>
      </c>
      <c r="J94" s="289">
        <f t="shared" si="189"/>
        <v>0.32216910077858635</v>
      </c>
      <c r="K94" s="289">
        <f t="shared" si="189"/>
        <v>0.1909631196353033</v>
      </c>
      <c r="L94" s="289">
        <f t="shared" si="189"/>
        <v>1.141821523640512</v>
      </c>
      <c r="M94" s="289">
        <f t="shared" si="189"/>
        <v>1.1786339267985968</v>
      </c>
      <c r="N94" s="289">
        <f t="shared" si="189"/>
        <v>4.6241968000000009</v>
      </c>
      <c r="O94" s="289">
        <f t="shared" si="189"/>
        <v>7.0971019296791757</v>
      </c>
      <c r="P94" s="289">
        <f t="shared" si="189"/>
        <v>0.63240619044869206</v>
      </c>
      <c r="Q94" s="289">
        <f t="shared" ref="Q94:AE94" si="190">Q93/Q92</f>
        <v>0.4985853467458975</v>
      </c>
      <c r="R94" s="289" t="e">
        <f t="shared" si="190"/>
        <v>#DIV/0!</v>
      </c>
      <c r="S94" s="289" t="e">
        <f t="shared" si="190"/>
        <v>#DIV/0!</v>
      </c>
      <c r="T94" s="289" t="e">
        <f t="shared" si="190"/>
        <v>#DIV/0!</v>
      </c>
      <c r="U94" s="289" t="e">
        <f t="shared" si="190"/>
        <v>#DIV/0!</v>
      </c>
      <c r="V94" s="289" t="e">
        <f t="shared" si="190"/>
        <v>#DIV/0!</v>
      </c>
      <c r="W94" s="289" t="e">
        <f t="shared" si="190"/>
        <v>#DIV/0!</v>
      </c>
      <c r="X94" s="289" t="e">
        <f t="shared" si="190"/>
        <v>#DIV/0!</v>
      </c>
      <c r="Y94" s="289" t="e">
        <f t="shared" si="190"/>
        <v>#DIV/0!</v>
      </c>
      <c r="Z94" s="289" t="e">
        <f t="shared" si="190"/>
        <v>#DIV/0!</v>
      </c>
      <c r="AA94" s="289" t="e">
        <f t="shared" si="190"/>
        <v>#DIV/0!</v>
      </c>
      <c r="AB94" s="289" t="e">
        <f t="shared" si="190"/>
        <v>#DIV/0!</v>
      </c>
      <c r="AC94" s="289" t="e">
        <f t="shared" si="190"/>
        <v>#DIV/0!</v>
      </c>
      <c r="AD94" s="289" t="e">
        <f t="shared" si="190"/>
        <v>#DIV/0!</v>
      </c>
      <c r="AE94" s="289" t="e">
        <f t="shared" si="190"/>
        <v>#DIV/0!</v>
      </c>
      <c r="AF94" s="289">
        <f>IFERROR(AF93/AF92,0)</f>
        <v>4.1611993040096209</v>
      </c>
      <c r="AG94" s="289">
        <f t="shared" ref="AG94:AQ94" si="191">IFERROR(AG93/AG92,0)</f>
        <v>5.1667212425290971</v>
      </c>
      <c r="AH94" s="289">
        <f t="shared" si="191"/>
        <v>2.3919320796827335</v>
      </c>
      <c r="AI94" s="289">
        <f t="shared" si="191"/>
        <v>5.5850498224276661</v>
      </c>
      <c r="AJ94" s="289">
        <f t="shared" si="191"/>
        <v>3.4657780294003091</v>
      </c>
      <c r="AK94" s="289">
        <f t="shared" si="191"/>
        <v>3.9676698016563874</v>
      </c>
      <c r="AL94" s="289">
        <f t="shared" si="191"/>
        <v>3.817440404080215</v>
      </c>
      <c r="AM94" s="289">
        <f t="shared" si="191"/>
        <v>8.3515435558374431</v>
      </c>
      <c r="AN94" s="289">
        <f t="shared" si="191"/>
        <v>3.1446125859003731</v>
      </c>
      <c r="AO94" s="289">
        <f t="shared" si="191"/>
        <v>8.8215101606251913</v>
      </c>
      <c r="AP94" s="289">
        <f t="shared" si="191"/>
        <v>15.296141070939234</v>
      </c>
      <c r="AQ94" s="289">
        <f t="shared" si="191"/>
        <v>13.805680988014112</v>
      </c>
      <c r="AR94" s="289">
        <f t="shared" ref="AR94:BD94" si="192">IFERROR(AR93/AR92,0)</f>
        <v>0</v>
      </c>
      <c r="AS94" s="289">
        <f t="shared" si="192"/>
        <v>0</v>
      </c>
      <c r="AT94" s="289">
        <f t="shared" si="192"/>
        <v>0</v>
      </c>
      <c r="AU94" s="289">
        <f t="shared" si="192"/>
        <v>0</v>
      </c>
      <c r="AV94" s="289">
        <f t="shared" si="192"/>
        <v>0</v>
      </c>
      <c r="AW94" s="289">
        <f t="shared" si="192"/>
        <v>0</v>
      </c>
      <c r="AX94" s="289">
        <f t="shared" si="192"/>
        <v>0</v>
      </c>
      <c r="AY94" s="289">
        <f t="shared" si="192"/>
        <v>0</v>
      </c>
      <c r="AZ94" s="289">
        <f t="shared" si="192"/>
        <v>0</v>
      </c>
      <c r="BA94" s="289">
        <f t="shared" si="192"/>
        <v>0</v>
      </c>
      <c r="BB94" s="289">
        <f t="shared" si="192"/>
        <v>0</v>
      </c>
      <c r="BC94" s="289">
        <f t="shared" si="192"/>
        <v>0</v>
      </c>
      <c r="BD94" s="289">
        <f t="shared" si="192"/>
        <v>0</v>
      </c>
      <c r="BE94" s="26"/>
      <c r="BG94" s="26" t="str">
        <f t="shared" si="149"/>
        <v>Customer Success C.S. exp. per $1 ARR</v>
      </c>
      <c r="BH94" s="199" t="str">
        <f>IFERROR(BH93/BH92,"-")</f>
        <v>-</v>
      </c>
      <c r="BI94" s="199" t="str">
        <f t="shared" ref="BI94:BK94" si="193">IFERROR(BI93/BI92,"-")</f>
        <v>-</v>
      </c>
      <c r="BJ94" s="199" t="str">
        <f t="shared" si="193"/>
        <v>-</v>
      </c>
      <c r="BK94" s="316" t="str">
        <f t="shared" si="193"/>
        <v>-</v>
      </c>
      <c r="BL94" s="195">
        <f ca="1">IF(BF94="EoP",OFFSET(AH94,0,MONTH('2024 Control'!$C$4)-1),SUM(AH94:OFFSET(AH94,0,MONTH('2024 Control'!$C$4)-1))/IF(BF94="Sum",1,MONTH('2024 Control'!$C$4)))</f>
        <v>5.7206132082136385</v>
      </c>
      <c r="BM94" s="304" t="str">
        <f t="shared" si="155"/>
        <v/>
      </c>
    </row>
    <row r="95" spans="2:65">
      <c r="B95" s="26" t="s">
        <v>198</v>
      </c>
      <c r="C95" s="26" t="s">
        <v>198</v>
      </c>
      <c r="D95" s="204" t="str">
        <f t="shared" si="157"/>
        <v>Onboarding In-Progress (BoP)</v>
      </c>
      <c r="E95" s="26" t="s">
        <v>199</v>
      </c>
      <c r="F95" s="253" t="s">
        <v>247</v>
      </c>
      <c r="G95" s="253" t="s">
        <v>261</v>
      </c>
      <c r="H95" s="229" t="s">
        <v>261</v>
      </c>
      <c r="I95" s="229" t="s">
        <v>261</v>
      </c>
      <c r="J95" s="229" t="s">
        <v>261</v>
      </c>
      <c r="K95" s="229" t="s">
        <v>261</v>
      </c>
      <c r="L95" s="229" t="s">
        <v>261</v>
      </c>
      <c r="M95" s="229" t="s">
        <v>261</v>
      </c>
      <c r="N95" s="229" t="s">
        <v>261</v>
      </c>
      <c r="O95" s="229" t="s">
        <v>261</v>
      </c>
      <c r="P95" s="229" t="s">
        <v>261</v>
      </c>
      <c r="Q95" s="229" t="s">
        <v>261</v>
      </c>
      <c r="R95" s="229"/>
      <c r="S95" s="229"/>
      <c r="T95" s="229"/>
      <c r="U95" s="229"/>
      <c r="V95" s="229"/>
      <c r="W95" s="229"/>
      <c r="X95" s="229"/>
      <c r="Y95" s="229"/>
      <c r="Z95" s="229"/>
      <c r="AA95" s="229"/>
      <c r="AB95" s="229"/>
      <c r="AC95" s="229"/>
      <c r="AD95" s="229"/>
      <c r="AE95" s="229"/>
      <c r="AF95" s="229" t="s">
        <v>261</v>
      </c>
      <c r="AG95" s="229" t="s">
        <v>261</v>
      </c>
      <c r="AH95" s="229"/>
      <c r="AI95" s="229"/>
      <c r="AJ95" s="229"/>
      <c r="AK95" s="229"/>
      <c r="AL95" s="229"/>
      <c r="AM95" s="229"/>
      <c r="AN95" s="229"/>
      <c r="AO95" s="229"/>
      <c r="AP95" s="229"/>
      <c r="AQ95" s="229"/>
      <c r="AR95" s="229"/>
      <c r="AS95" s="229"/>
      <c r="AT95" s="229"/>
      <c r="AU95" s="229"/>
      <c r="AV95" s="229"/>
      <c r="AW95" s="229"/>
      <c r="AX95" s="229"/>
      <c r="AY95" s="229"/>
      <c r="AZ95" s="229"/>
      <c r="BA95" s="229"/>
      <c r="BB95" s="229"/>
      <c r="BC95" s="229"/>
      <c r="BD95" s="229"/>
      <c r="BE95" s="26"/>
      <c r="BF95" s="26" t="s">
        <v>47</v>
      </c>
      <c r="BG95" s="26" t="str">
        <f t="shared" si="149"/>
        <v>Onboarding In-Progress (BoP)</v>
      </c>
      <c r="BH95" s="195">
        <f t="shared" ref="BH95:BH122" si="194">IF($BF95="Sum",SUM(AR95:AT95),IF($BF95="Average",IFERROR(AVERAGE(AR95:AT95),"-"),IF($BF95="EoP",AT95,"ERROR")))</f>
        <v>0</v>
      </c>
      <c r="BI95" s="195">
        <f t="shared" ref="BI95:BI122" si="195">IF($BF95="Sum",SUM(AU95:AW95),IF($BF95="Average",IFERROR(AVERAGE(AU95:AW95),"-"),IF($BF95="EoP",AW95,"ERROR")))</f>
        <v>0</v>
      </c>
      <c r="BJ95" s="195">
        <f t="shared" ref="BJ95:BJ122" si="196">IF($BF95="Sum",SUM(AX95:AZ95),IF($BF95="Average",IFERROR(AVERAGE(AX95:AZ95),"-"),IF($BF95="EoP",AZ95,"ERROR")))</f>
        <v>0</v>
      </c>
      <c r="BK95" s="304">
        <f t="shared" ref="BK95:BK122" si="197">IF($BF95="Sum",SUM(BA95:BC95),IF($BF95="Average",IFERROR(AVERAGE(BA95:BC95),"-"),IF($BF95="EoP",BC95,"ERROR")))</f>
        <v>0</v>
      </c>
      <c r="BL95" s="195">
        <f ca="1">IF(BF95="EoP",OFFSET(AR95,0,MONTH('2024 Control'!$C$4)-1),SUM(AR95:OFFSET(AR95,0,MONTH('2024 Control'!$C$4)-1))/IF(BF95="Sum",1,MONTH('2024 Control'!$C$4)))</f>
        <v>0</v>
      </c>
      <c r="BM95" s="304">
        <f t="shared" si="155"/>
        <v>0</v>
      </c>
    </row>
    <row r="96" spans="2:65">
      <c r="B96" s="26" t="s">
        <v>198</v>
      </c>
      <c r="C96" s="26" t="s">
        <v>198</v>
      </c>
      <c r="D96" s="204" t="str">
        <f t="shared" si="157"/>
        <v>Onboarding + New in Period</v>
      </c>
      <c r="E96" s="26" t="s">
        <v>201</v>
      </c>
      <c r="F96" s="253" t="s">
        <v>247</v>
      </c>
      <c r="G96" s="253" t="s">
        <v>261</v>
      </c>
      <c r="H96" s="229" t="s">
        <v>261</v>
      </c>
      <c r="I96" s="229" t="s">
        <v>261</v>
      </c>
      <c r="J96" s="229" t="s">
        <v>261</v>
      </c>
      <c r="K96" s="229" t="s">
        <v>261</v>
      </c>
      <c r="L96" s="229" t="s">
        <v>261</v>
      </c>
      <c r="M96" s="229" t="s">
        <v>261</v>
      </c>
      <c r="N96" s="229" t="s">
        <v>261</v>
      </c>
      <c r="O96" s="229" t="s">
        <v>261</v>
      </c>
      <c r="P96" s="229" t="s">
        <v>261</v>
      </c>
      <c r="Q96" s="229" t="s">
        <v>261</v>
      </c>
      <c r="R96" s="229"/>
      <c r="S96" s="229"/>
      <c r="T96" s="229"/>
      <c r="U96" s="229"/>
      <c r="V96" s="229"/>
      <c r="W96" s="229"/>
      <c r="X96" s="229"/>
      <c r="Y96" s="229"/>
      <c r="Z96" s="229"/>
      <c r="AA96" s="229"/>
      <c r="AB96" s="229"/>
      <c r="AC96" s="229"/>
      <c r="AD96" s="229"/>
      <c r="AE96" s="229"/>
      <c r="AF96" s="229" t="s">
        <v>261</v>
      </c>
      <c r="AG96" s="229" t="s">
        <v>261</v>
      </c>
      <c r="AH96" s="229"/>
      <c r="AI96" s="229"/>
      <c r="AJ96" s="229"/>
      <c r="AK96" s="229"/>
      <c r="AL96" s="229"/>
      <c r="AM96" s="229"/>
      <c r="AN96" s="229"/>
      <c r="AO96" s="229"/>
      <c r="AP96" s="229"/>
      <c r="AQ96" s="229"/>
      <c r="AR96" s="229"/>
      <c r="AS96" s="229"/>
      <c r="AT96" s="229"/>
      <c r="AU96" s="229"/>
      <c r="AV96" s="229"/>
      <c r="AW96" s="229"/>
      <c r="AX96" s="229"/>
      <c r="AY96" s="229"/>
      <c r="AZ96" s="229"/>
      <c r="BA96" s="229"/>
      <c r="BB96" s="229"/>
      <c r="BC96" s="229"/>
      <c r="BD96" s="229"/>
      <c r="BE96" s="26"/>
      <c r="BF96" s="26" t="s">
        <v>250</v>
      </c>
      <c r="BG96" s="26" t="str">
        <f t="shared" si="149"/>
        <v>Onboarding + New in Period</v>
      </c>
      <c r="BH96" s="195">
        <f t="shared" si="194"/>
        <v>0</v>
      </c>
      <c r="BI96" s="195">
        <f t="shared" si="195"/>
        <v>0</v>
      </c>
      <c r="BJ96" s="195">
        <f t="shared" si="196"/>
        <v>0</v>
      </c>
      <c r="BK96" s="304">
        <f t="shared" si="197"/>
        <v>0</v>
      </c>
      <c r="BL96" s="195">
        <f ca="1">IF(BF96="EoP",OFFSET(AR96,0,MONTH('2024 Control'!$C$4)-1),SUM(AR96:OFFSET(AR96,0,MONTH('2024 Control'!$C$4)-1))/IF(BF96="Sum",1,MONTH('2024 Control'!$C$4)))</f>
        <v>0</v>
      </c>
      <c r="BM96" s="304">
        <f t="shared" si="155"/>
        <v>0</v>
      </c>
    </row>
    <row r="97" spans="2:65">
      <c r="B97" s="26" t="s">
        <v>198</v>
      </c>
      <c r="C97" s="26" t="s">
        <v>198</v>
      </c>
      <c r="D97" s="204" t="str">
        <f t="shared" si="157"/>
        <v>Onboarding - Closed in Period</v>
      </c>
      <c r="E97" s="26" t="s">
        <v>202</v>
      </c>
      <c r="F97" s="253" t="s">
        <v>247</v>
      </c>
      <c r="G97" s="253" t="s">
        <v>261</v>
      </c>
      <c r="H97" s="229" t="s">
        <v>261</v>
      </c>
      <c r="I97" s="229" t="s">
        <v>261</v>
      </c>
      <c r="J97" s="229" t="s">
        <v>261</v>
      </c>
      <c r="K97" s="229" t="s">
        <v>261</v>
      </c>
      <c r="L97" s="229" t="s">
        <v>261</v>
      </c>
      <c r="M97" s="229" t="s">
        <v>261</v>
      </c>
      <c r="N97" s="229" t="s">
        <v>261</v>
      </c>
      <c r="O97" s="229" t="s">
        <v>261</v>
      </c>
      <c r="P97" s="229" t="s">
        <v>261</v>
      </c>
      <c r="Q97" s="229" t="s">
        <v>261</v>
      </c>
      <c r="R97" s="229"/>
      <c r="S97" s="229"/>
      <c r="T97" s="229"/>
      <c r="U97" s="229"/>
      <c r="V97" s="229"/>
      <c r="W97" s="229"/>
      <c r="X97" s="229"/>
      <c r="Y97" s="229"/>
      <c r="Z97" s="229"/>
      <c r="AA97" s="229"/>
      <c r="AB97" s="229"/>
      <c r="AC97" s="229"/>
      <c r="AD97" s="229"/>
      <c r="AE97" s="229"/>
      <c r="AF97" s="229" t="s">
        <v>261</v>
      </c>
      <c r="AG97" s="229" t="s">
        <v>261</v>
      </c>
      <c r="AH97" s="229"/>
      <c r="AI97" s="229"/>
      <c r="AJ97" s="229"/>
      <c r="AK97" s="229"/>
      <c r="AL97" s="229"/>
      <c r="AM97" s="229"/>
      <c r="AN97" s="229"/>
      <c r="AO97" s="229"/>
      <c r="AP97" s="229"/>
      <c r="AQ97" s="229"/>
      <c r="AR97" s="229"/>
      <c r="AS97" s="229"/>
      <c r="AT97" s="229"/>
      <c r="AU97" s="229"/>
      <c r="AV97" s="229"/>
      <c r="AW97" s="229"/>
      <c r="AX97" s="229"/>
      <c r="AY97" s="229"/>
      <c r="AZ97" s="229"/>
      <c r="BA97" s="229"/>
      <c r="BB97" s="229"/>
      <c r="BC97" s="229"/>
      <c r="BD97" s="229"/>
      <c r="BE97" s="26"/>
      <c r="BF97" s="26" t="s">
        <v>250</v>
      </c>
      <c r="BG97" s="26" t="str">
        <f t="shared" si="149"/>
        <v>Onboarding - Closed in Period</v>
      </c>
      <c r="BH97" s="195">
        <f t="shared" si="194"/>
        <v>0</v>
      </c>
      <c r="BI97" s="195">
        <f t="shared" si="195"/>
        <v>0</v>
      </c>
      <c r="BJ97" s="195">
        <f t="shared" si="196"/>
        <v>0</v>
      </c>
      <c r="BK97" s="304">
        <f t="shared" si="197"/>
        <v>0</v>
      </c>
      <c r="BL97" s="195">
        <f ca="1">IF(BF97="EoP",OFFSET(AR97,0,MONTH('2024 Control'!$C$4)-1),SUM(AR97:OFFSET(AR97,0,MONTH('2024 Control'!$C$4)-1))/IF(BF97="Sum",1,MONTH('2024 Control'!$C$4)))</f>
        <v>0</v>
      </c>
      <c r="BM97" s="304">
        <f t="shared" si="155"/>
        <v>0</v>
      </c>
    </row>
    <row r="98" spans="2:65">
      <c r="B98" s="26" t="s">
        <v>198</v>
      </c>
      <c r="C98" s="26" t="s">
        <v>198</v>
      </c>
      <c r="D98" s="204" t="str">
        <f t="shared" si="157"/>
        <v>Onboarding In-Progress (EoP)</v>
      </c>
      <c r="E98" s="26" t="s">
        <v>203</v>
      </c>
      <c r="F98" s="253" t="s">
        <v>247</v>
      </c>
      <c r="G98" s="253" t="s">
        <v>261</v>
      </c>
      <c r="H98" s="229" t="s">
        <v>261</v>
      </c>
      <c r="I98" s="229" t="s">
        <v>261</v>
      </c>
      <c r="J98" s="229" t="s">
        <v>261</v>
      </c>
      <c r="K98" s="229" t="s">
        <v>261</v>
      </c>
      <c r="L98" s="229" t="s">
        <v>261</v>
      </c>
      <c r="M98" s="229" t="s">
        <v>261</v>
      </c>
      <c r="N98" s="229" t="s">
        <v>261</v>
      </c>
      <c r="O98" s="229" t="s">
        <v>261</v>
      </c>
      <c r="P98" s="229" t="s">
        <v>261</v>
      </c>
      <c r="Q98" s="229" t="s">
        <v>261</v>
      </c>
      <c r="R98" s="229"/>
      <c r="S98" s="229"/>
      <c r="T98" s="229"/>
      <c r="U98" s="229"/>
      <c r="V98" s="229"/>
      <c r="W98" s="229"/>
      <c r="X98" s="229"/>
      <c r="Y98" s="229"/>
      <c r="Z98" s="229"/>
      <c r="AA98" s="229"/>
      <c r="AB98" s="229"/>
      <c r="AC98" s="229"/>
      <c r="AD98" s="229"/>
      <c r="AE98" s="229"/>
      <c r="AF98" s="229" t="s">
        <v>261</v>
      </c>
      <c r="AG98" s="229" t="s">
        <v>261</v>
      </c>
      <c r="AH98" s="229"/>
      <c r="AI98" s="229"/>
      <c r="AJ98" s="229"/>
      <c r="AK98" s="229"/>
      <c r="AL98" s="229"/>
      <c r="AM98" s="229"/>
      <c r="AN98" s="229"/>
      <c r="AO98" s="229"/>
      <c r="AP98" s="229"/>
      <c r="AQ98" s="229"/>
      <c r="AR98" s="229"/>
      <c r="AS98" s="229"/>
      <c r="AT98" s="229"/>
      <c r="AU98" s="229"/>
      <c r="AV98" s="229"/>
      <c r="AW98" s="229"/>
      <c r="AX98" s="229"/>
      <c r="AY98" s="229"/>
      <c r="AZ98" s="229"/>
      <c r="BA98" s="229"/>
      <c r="BB98" s="229"/>
      <c r="BC98" s="229"/>
      <c r="BD98" s="229"/>
      <c r="BE98" s="26"/>
      <c r="BF98" s="26" t="s">
        <v>47</v>
      </c>
      <c r="BG98" s="26" t="str">
        <f t="shared" si="149"/>
        <v>Onboarding In-Progress (EoP)</v>
      </c>
      <c r="BH98" s="195">
        <f t="shared" si="194"/>
        <v>0</v>
      </c>
      <c r="BI98" s="195">
        <f t="shared" si="195"/>
        <v>0</v>
      </c>
      <c r="BJ98" s="195">
        <f t="shared" si="196"/>
        <v>0</v>
      </c>
      <c r="BK98" s="304">
        <f t="shared" si="197"/>
        <v>0</v>
      </c>
      <c r="BL98" s="195">
        <f ca="1">IF(BF98="EoP",OFFSET(AR98,0,MONTH('2024 Control'!$C$4)-1),SUM(AR98:OFFSET(AR98,0,MONTH('2024 Control'!$C$4)-1))/IF(BF98="Sum",1,MONTH('2024 Control'!$C$4)))</f>
        <v>0</v>
      </c>
      <c r="BM98" s="304">
        <f t="shared" si="155"/>
        <v>0</v>
      </c>
    </row>
    <row r="99" spans="2:65">
      <c r="B99" s="26" t="s">
        <v>198</v>
      </c>
      <c r="C99" s="26" t="s">
        <v>198</v>
      </c>
      <c r="D99" s="204" t="str">
        <f t="shared" si="157"/>
        <v>Onboarding Avg. Age of Ongoing Onboardings</v>
      </c>
      <c r="E99" s="26" t="s">
        <v>204</v>
      </c>
      <c r="F99" s="253" t="s">
        <v>247</v>
      </c>
      <c r="G99" s="253" t="s">
        <v>261</v>
      </c>
      <c r="H99" s="229" t="s">
        <v>261</v>
      </c>
      <c r="I99" s="229" t="s">
        <v>261</v>
      </c>
      <c r="J99" s="229" t="s">
        <v>261</v>
      </c>
      <c r="K99" s="229" t="s">
        <v>261</v>
      </c>
      <c r="L99" s="229" t="s">
        <v>261</v>
      </c>
      <c r="M99" s="229" t="s">
        <v>261</v>
      </c>
      <c r="N99" s="229" t="s">
        <v>261</v>
      </c>
      <c r="O99" s="229" t="s">
        <v>261</v>
      </c>
      <c r="P99" s="229" t="s">
        <v>261</v>
      </c>
      <c r="Q99" s="229" t="s">
        <v>261</v>
      </c>
      <c r="R99" s="229"/>
      <c r="S99" s="229"/>
      <c r="T99" s="229"/>
      <c r="U99" s="229"/>
      <c r="V99" s="229"/>
      <c r="W99" s="229"/>
      <c r="X99" s="229"/>
      <c r="Y99" s="229"/>
      <c r="Z99" s="229"/>
      <c r="AA99" s="229"/>
      <c r="AB99" s="229"/>
      <c r="AC99" s="229"/>
      <c r="AD99" s="229"/>
      <c r="AE99" s="229"/>
      <c r="AF99" s="229" t="s">
        <v>261</v>
      </c>
      <c r="AG99" s="229" t="s">
        <v>261</v>
      </c>
      <c r="AH99" s="229"/>
      <c r="AI99" s="229"/>
      <c r="AJ99" s="229"/>
      <c r="AK99" s="229"/>
      <c r="AL99" s="229"/>
      <c r="AM99" s="229"/>
      <c r="AN99" s="229"/>
      <c r="AO99" s="229"/>
      <c r="AP99" s="229"/>
      <c r="AQ99" s="229"/>
      <c r="AR99" s="229"/>
      <c r="AS99" s="229"/>
      <c r="AT99" s="229"/>
      <c r="AU99" s="229"/>
      <c r="AV99" s="229"/>
      <c r="AW99" s="229"/>
      <c r="AX99" s="229"/>
      <c r="AY99" s="229"/>
      <c r="AZ99" s="229"/>
      <c r="BA99" s="229"/>
      <c r="BB99" s="229"/>
      <c r="BC99" s="229"/>
      <c r="BD99" s="229"/>
      <c r="BE99" s="26"/>
      <c r="BF99" s="26" t="s">
        <v>249</v>
      </c>
      <c r="BG99" s="26" t="str">
        <f t="shared" ref="BG99:BG130" si="198">D99</f>
        <v>Onboarding Avg. Age of Ongoing Onboardings</v>
      </c>
      <c r="BH99" s="195" t="str">
        <f t="shared" si="194"/>
        <v>-</v>
      </c>
      <c r="BI99" s="195" t="str">
        <f t="shared" si="195"/>
        <v>-</v>
      </c>
      <c r="BJ99" s="195" t="str">
        <f t="shared" si="196"/>
        <v>-</v>
      </c>
      <c r="BK99" s="304" t="str">
        <f t="shared" si="197"/>
        <v>-</v>
      </c>
      <c r="BL99" s="195">
        <f ca="1">IF(BF99="EoP",OFFSET(AR99,0,MONTH('2024 Control'!$C$4)-1),SUM(AR99:OFFSET(AR99,0,MONTH('2024 Control'!$C$4)-1))/IF(BF99="Sum",1,MONTH('2024 Control'!$C$4)))</f>
        <v>0</v>
      </c>
      <c r="BM99" s="304" t="e">
        <f t="shared" si="155"/>
        <v>#DIV/0!</v>
      </c>
    </row>
    <row r="100" spans="2:65">
      <c r="B100" s="26" t="s">
        <v>198</v>
      </c>
      <c r="C100" s="26" t="s">
        <v>198</v>
      </c>
      <c r="D100" s="204" t="str">
        <f t="shared" si="157"/>
        <v>Onboarding Onboarding Revenue</v>
      </c>
      <c r="E100" s="26" t="s">
        <v>205</v>
      </c>
      <c r="F100" s="253" t="s">
        <v>253</v>
      </c>
      <c r="G100" s="253" t="s">
        <v>261</v>
      </c>
      <c r="H100" s="229" t="s">
        <v>261</v>
      </c>
      <c r="I100" s="229" t="s">
        <v>261</v>
      </c>
      <c r="J100" s="229" t="s">
        <v>261</v>
      </c>
      <c r="K100" s="229" t="s">
        <v>261</v>
      </c>
      <c r="L100" s="229" t="s">
        <v>261</v>
      </c>
      <c r="M100" s="229" t="s">
        <v>261</v>
      </c>
      <c r="N100" s="229" t="s">
        <v>261</v>
      </c>
      <c r="O100" s="229" t="s">
        <v>261</v>
      </c>
      <c r="P100" s="229" t="s">
        <v>261</v>
      </c>
      <c r="Q100" s="229" t="s">
        <v>261</v>
      </c>
      <c r="R100" s="229"/>
      <c r="S100" s="229"/>
      <c r="T100" s="229"/>
      <c r="U100" s="229"/>
      <c r="V100" s="229"/>
      <c r="W100" s="229"/>
      <c r="X100" s="229"/>
      <c r="Y100" s="229"/>
      <c r="Z100" s="229"/>
      <c r="AA100" s="229"/>
      <c r="AB100" s="229"/>
      <c r="AC100" s="229"/>
      <c r="AD100" s="229"/>
      <c r="AE100" s="229"/>
      <c r="AF100" s="229" t="s">
        <v>261</v>
      </c>
      <c r="AG100" s="229" t="s">
        <v>261</v>
      </c>
      <c r="AH100" s="229"/>
      <c r="AI100" s="229"/>
      <c r="AJ100" s="229"/>
      <c r="AK100" s="229"/>
      <c r="AL100" s="229"/>
      <c r="AM100" s="229"/>
      <c r="AN100" s="229"/>
      <c r="AO100" s="229"/>
      <c r="AP100" s="229"/>
      <c r="AQ100" s="229"/>
      <c r="AR100" s="229"/>
      <c r="AS100" s="229"/>
      <c r="AT100" s="229"/>
      <c r="AU100" s="229"/>
      <c r="AV100" s="229"/>
      <c r="AW100" s="229"/>
      <c r="AX100" s="229"/>
      <c r="AY100" s="229"/>
      <c r="AZ100" s="229"/>
      <c r="BA100" s="229"/>
      <c r="BB100" s="229"/>
      <c r="BC100" s="229"/>
      <c r="BD100" s="229"/>
      <c r="BE100" s="26"/>
      <c r="BF100" s="26" t="s">
        <v>250</v>
      </c>
      <c r="BG100" s="26" t="str">
        <f t="shared" si="198"/>
        <v>Onboarding Onboarding Revenue</v>
      </c>
      <c r="BH100" s="195">
        <f t="shared" si="194"/>
        <v>0</v>
      </c>
      <c r="BI100" s="195">
        <f t="shared" si="195"/>
        <v>0</v>
      </c>
      <c r="BJ100" s="195">
        <f t="shared" si="196"/>
        <v>0</v>
      </c>
      <c r="BK100" s="304">
        <f t="shared" si="197"/>
        <v>0</v>
      </c>
      <c r="BL100" s="195">
        <f ca="1">IF(BF100="EoP",OFFSET(AR100,0,MONTH('2024 Control'!$C$4)-1),SUM(AR100:OFFSET(AR100,0,MONTH('2024 Control'!$C$4)-1))/IF(BF100="Sum",1,MONTH('2024 Control'!$C$4)))</f>
        <v>0</v>
      </c>
      <c r="BM100" s="304">
        <f t="shared" si="155"/>
        <v>0</v>
      </c>
    </row>
    <row r="101" spans="2:65">
      <c r="B101" s="26" t="s">
        <v>198</v>
      </c>
      <c r="C101" s="26" t="s">
        <v>57</v>
      </c>
      <c r="D101" s="204" t="str">
        <f t="shared" si="157"/>
        <v>Onboarding Headcount</v>
      </c>
      <c r="E101" s="26" t="s">
        <v>97</v>
      </c>
      <c r="F101" s="253" t="s">
        <v>247</v>
      </c>
      <c r="G101" s="253" t="s">
        <v>261</v>
      </c>
      <c r="H101" s="229" t="s">
        <v>261</v>
      </c>
      <c r="I101" s="229" t="s">
        <v>261</v>
      </c>
      <c r="J101" s="229" t="s">
        <v>261</v>
      </c>
      <c r="K101" s="229" t="s">
        <v>261</v>
      </c>
      <c r="L101" s="229" t="s">
        <v>261</v>
      </c>
      <c r="M101" s="229" t="s">
        <v>261</v>
      </c>
      <c r="N101" s="229" t="s">
        <v>261</v>
      </c>
      <c r="O101" s="229" t="s">
        <v>261</v>
      </c>
      <c r="P101" s="229" t="s">
        <v>261</v>
      </c>
      <c r="Q101" s="229" t="s">
        <v>261</v>
      </c>
      <c r="R101" s="229"/>
      <c r="S101" s="229"/>
      <c r="T101" s="229"/>
      <c r="U101" s="229"/>
      <c r="V101" s="229"/>
      <c r="W101" s="229"/>
      <c r="X101" s="229"/>
      <c r="Y101" s="229"/>
      <c r="Z101" s="229"/>
      <c r="AA101" s="229"/>
      <c r="AB101" s="229"/>
      <c r="AC101" s="229"/>
      <c r="AD101" s="229"/>
      <c r="AE101" s="229"/>
      <c r="AF101" s="229" t="s">
        <v>261</v>
      </c>
      <c r="AG101" s="229" t="s">
        <v>261</v>
      </c>
      <c r="AH101" s="229"/>
      <c r="AI101" s="229"/>
      <c r="AJ101" s="229"/>
      <c r="AK101" s="229"/>
      <c r="AL101" s="229"/>
      <c r="AM101" s="229"/>
      <c r="AN101" s="229"/>
      <c r="AO101" s="229"/>
      <c r="AP101" s="229"/>
      <c r="AQ101" s="229"/>
      <c r="AR101" s="229"/>
      <c r="AS101" s="229"/>
      <c r="AT101" s="229"/>
      <c r="AU101" s="229"/>
      <c r="AV101" s="229"/>
      <c r="AW101" s="229"/>
      <c r="AX101" s="229"/>
      <c r="AY101" s="229"/>
      <c r="AZ101" s="229"/>
      <c r="BA101" s="229"/>
      <c r="BB101" s="229"/>
      <c r="BC101" s="229"/>
      <c r="BD101" s="229"/>
      <c r="BE101" s="26"/>
      <c r="BF101" s="26" t="s">
        <v>47</v>
      </c>
      <c r="BG101" s="26" t="str">
        <f t="shared" si="198"/>
        <v>Onboarding Headcount</v>
      </c>
      <c r="BH101" s="195">
        <f t="shared" si="194"/>
        <v>0</v>
      </c>
      <c r="BI101" s="195">
        <f t="shared" si="195"/>
        <v>0</v>
      </c>
      <c r="BJ101" s="195">
        <f t="shared" si="196"/>
        <v>0</v>
      </c>
      <c r="BK101" s="304">
        <f t="shared" si="197"/>
        <v>0</v>
      </c>
      <c r="BL101" s="195">
        <f ca="1">IF(BF101="EoP",OFFSET(AR101,0,MONTH('2024 Control'!$C$4)-1),SUM(AR101:OFFSET(AR101,0,MONTH('2024 Control'!$C$4)-1))/IF(BF101="Sum",1,MONTH('2024 Control'!$C$4)))</f>
        <v>0</v>
      </c>
      <c r="BM101" s="304">
        <f t="shared" si="155"/>
        <v>0</v>
      </c>
    </row>
    <row r="102" spans="2:65">
      <c r="B102" s="26" t="s">
        <v>198</v>
      </c>
      <c r="C102" s="26" t="s">
        <v>57</v>
      </c>
      <c r="D102" s="204" t="str">
        <f t="shared" si="157"/>
        <v>Onboarding Onboarding. Rev - Onboarding Costs</v>
      </c>
      <c r="E102" s="26" t="s">
        <v>206</v>
      </c>
      <c r="F102" s="253" t="s">
        <v>253</v>
      </c>
      <c r="G102" s="253" t="s">
        <v>261</v>
      </c>
      <c r="H102" s="229" t="s">
        <v>261</v>
      </c>
      <c r="I102" s="229" t="s">
        <v>261</v>
      </c>
      <c r="J102" s="229" t="s">
        <v>261</v>
      </c>
      <c r="K102" s="229" t="s">
        <v>261</v>
      </c>
      <c r="L102" s="229" t="s">
        <v>261</v>
      </c>
      <c r="M102" s="229" t="s">
        <v>261</v>
      </c>
      <c r="N102" s="229" t="s">
        <v>261</v>
      </c>
      <c r="O102" s="229" t="s">
        <v>261</v>
      </c>
      <c r="P102" s="229" t="s">
        <v>261</v>
      </c>
      <c r="Q102" s="229" t="s">
        <v>261</v>
      </c>
      <c r="R102" s="229"/>
      <c r="S102" s="229"/>
      <c r="T102" s="229"/>
      <c r="U102" s="229"/>
      <c r="V102" s="229"/>
      <c r="W102" s="229"/>
      <c r="X102" s="229"/>
      <c r="Y102" s="229"/>
      <c r="Z102" s="229"/>
      <c r="AA102" s="229"/>
      <c r="AB102" s="229"/>
      <c r="AC102" s="229"/>
      <c r="AD102" s="229"/>
      <c r="AE102" s="229"/>
      <c r="AF102" s="229" t="s">
        <v>261</v>
      </c>
      <c r="AG102" s="229" t="s">
        <v>261</v>
      </c>
      <c r="AH102" s="229"/>
      <c r="AI102" s="229"/>
      <c r="AJ102" s="229"/>
      <c r="AK102" s="229"/>
      <c r="AL102" s="229"/>
      <c r="AM102" s="229"/>
      <c r="AN102" s="229"/>
      <c r="AO102" s="229"/>
      <c r="AP102" s="229"/>
      <c r="AQ102" s="229"/>
      <c r="AR102" s="229"/>
      <c r="AS102" s="229"/>
      <c r="AT102" s="229"/>
      <c r="AU102" s="229"/>
      <c r="AV102" s="229"/>
      <c r="AW102" s="229"/>
      <c r="AX102" s="229"/>
      <c r="AY102" s="229"/>
      <c r="AZ102" s="229"/>
      <c r="BA102" s="229"/>
      <c r="BB102" s="229"/>
      <c r="BC102" s="229"/>
      <c r="BD102" s="229"/>
      <c r="BE102" s="26"/>
      <c r="BF102" s="26" t="s">
        <v>250</v>
      </c>
      <c r="BG102" s="26" t="str">
        <f t="shared" si="198"/>
        <v>Onboarding Onboarding. Rev - Onboarding Costs</v>
      </c>
      <c r="BH102" s="195">
        <f t="shared" si="194"/>
        <v>0</v>
      </c>
      <c r="BI102" s="195">
        <f t="shared" si="195"/>
        <v>0</v>
      </c>
      <c r="BJ102" s="195">
        <f t="shared" si="196"/>
        <v>0</v>
      </c>
      <c r="BK102" s="304">
        <f t="shared" si="197"/>
        <v>0</v>
      </c>
      <c r="BL102" s="195">
        <f ca="1">IF(BF102="EoP",OFFSET(AR102,0,MONTH('2024 Control'!$C$4)-1),SUM(AR102:OFFSET(AR102,0,MONTH('2024 Control'!$C$4)-1))/IF(BF102="Sum",1,MONTH('2024 Control'!$C$4)))</f>
        <v>0</v>
      </c>
      <c r="BM102" s="304">
        <f t="shared" si="155"/>
        <v>0</v>
      </c>
    </row>
    <row r="103" spans="2:65">
      <c r="B103" s="26" t="s">
        <v>4</v>
      </c>
      <c r="C103" s="26" t="s">
        <v>207</v>
      </c>
      <c r="D103" s="204" t="str">
        <f t="shared" si="157"/>
        <v>Finance ARR</v>
      </c>
      <c r="E103" s="26" t="s">
        <v>208</v>
      </c>
      <c r="F103" s="183" t="s">
        <v>253</v>
      </c>
      <c r="G103" s="183" t="s">
        <v>4</v>
      </c>
      <c r="H103" s="225">
        <v>6931845</v>
      </c>
      <c r="I103" s="225">
        <v>7103938</v>
      </c>
      <c r="J103" s="225">
        <v>7312615</v>
      </c>
      <c r="K103" s="225">
        <v>7522355</v>
      </c>
      <c r="L103" s="225">
        <v>7561800</v>
      </c>
      <c r="M103" s="225">
        <v>7752073</v>
      </c>
      <c r="N103" s="225">
        <v>7669823</v>
      </c>
      <c r="O103" s="225">
        <v>8036627</v>
      </c>
      <c r="P103" s="225">
        <v>7997245</v>
      </c>
      <c r="Q103" s="225">
        <v>8117232</v>
      </c>
      <c r="R103" s="225"/>
      <c r="S103" s="225"/>
      <c r="T103" s="225"/>
      <c r="U103" s="225"/>
      <c r="V103" s="225"/>
      <c r="W103" s="225"/>
      <c r="X103" s="225"/>
      <c r="Y103" s="225"/>
      <c r="Z103" s="225"/>
      <c r="AA103" s="225"/>
      <c r="AB103" s="225"/>
      <c r="AC103" s="225"/>
      <c r="AD103" s="225"/>
      <c r="AE103" s="225"/>
      <c r="AF103" s="225">
        <v>7946733.3100000005</v>
      </c>
      <c r="AG103" s="225">
        <v>8026200.6431000009</v>
      </c>
      <c r="AH103" s="225">
        <v>8106462.6495310012</v>
      </c>
      <c r="AI103" s="225">
        <v>8187527.2760263113</v>
      </c>
      <c r="AJ103" s="225">
        <v>8269402.548786574</v>
      </c>
      <c r="AK103" s="225">
        <v>8352096.5742744394</v>
      </c>
      <c r="AL103" s="225">
        <v>8435617.5400171839</v>
      </c>
      <c r="AM103" s="225">
        <v>8519973.7154173553</v>
      </c>
      <c r="AN103" s="225">
        <v>8605173.452571528</v>
      </c>
      <c r="AO103" s="225">
        <v>8691225.187097244</v>
      </c>
      <c r="AP103" s="225">
        <v>8778137.438968217</v>
      </c>
      <c r="AQ103" s="225">
        <v>8865918.813357899</v>
      </c>
      <c r="AR103" s="225">
        <v>8954578.0014914777</v>
      </c>
      <c r="AS103" s="225">
        <v>9044123.7815063931</v>
      </c>
      <c r="AT103" s="225">
        <v>9134565.0193214566</v>
      </c>
      <c r="AU103" s="225"/>
      <c r="AV103" s="225"/>
      <c r="AW103" s="225"/>
      <c r="AX103" s="225"/>
      <c r="AY103" s="225"/>
      <c r="AZ103" s="225"/>
      <c r="BA103" s="225"/>
      <c r="BB103" s="225"/>
      <c r="BC103" s="225"/>
      <c r="BD103" s="225"/>
      <c r="BE103" s="26"/>
      <c r="BF103" s="26" t="s">
        <v>47</v>
      </c>
      <c r="BG103" s="26" t="str">
        <f t="shared" si="198"/>
        <v>Finance ARR</v>
      </c>
      <c r="BH103" s="195">
        <f t="shared" si="194"/>
        <v>9134565.0193214566</v>
      </c>
      <c r="BI103" s="195">
        <f t="shared" si="195"/>
        <v>0</v>
      </c>
      <c r="BJ103" s="195">
        <f t="shared" si="196"/>
        <v>0</v>
      </c>
      <c r="BK103" s="304">
        <f t="shared" si="197"/>
        <v>0</v>
      </c>
      <c r="BL103" s="195">
        <f ca="1">IF(BF103="EoP",OFFSET(AR103,0,MONTH('2024 Control'!$C$4)-1),SUM(AR103:OFFSET(AR103,0,MONTH('2024 Control'!$C$4)-1))/IF(BF103="Sum",1,MONTH('2024 Control'!$C$4)))</f>
        <v>0</v>
      </c>
      <c r="BM103" s="304">
        <f t="shared" si="155"/>
        <v>8954578.0014914777</v>
      </c>
    </row>
    <row r="104" spans="2:65">
      <c r="B104" s="26" t="s">
        <v>4</v>
      </c>
      <c r="C104" s="26" t="s">
        <v>207</v>
      </c>
      <c r="D104" s="204" t="str">
        <f t="shared" si="157"/>
        <v>Finance Revenue</v>
      </c>
      <c r="E104" s="26" t="s">
        <v>209</v>
      </c>
      <c r="F104" s="183" t="s">
        <v>253</v>
      </c>
      <c r="G104" s="183" t="s">
        <v>4</v>
      </c>
      <c r="H104" s="225">
        <v>579394.13</v>
      </c>
      <c r="I104" s="225">
        <v>549751.16</v>
      </c>
      <c r="J104" s="225">
        <v>610196.36</v>
      </c>
      <c r="K104" s="225">
        <f>542999.11+28042.63</f>
        <v>571041.74</v>
      </c>
      <c r="L104" s="225">
        <v>707556.21</v>
      </c>
      <c r="M104" s="225">
        <v>666239</v>
      </c>
      <c r="N104" s="225">
        <v>635609.93000000005</v>
      </c>
      <c r="O104" s="225">
        <v>624865.65</v>
      </c>
      <c r="P104" s="225">
        <v>754985</v>
      </c>
      <c r="Q104" s="225">
        <v>662942.24</v>
      </c>
      <c r="R104" s="225"/>
      <c r="S104" s="225"/>
      <c r="T104" s="225"/>
      <c r="U104" s="225"/>
      <c r="V104" s="225"/>
      <c r="W104" s="225"/>
      <c r="X104" s="225"/>
      <c r="Y104" s="225"/>
      <c r="Z104" s="225"/>
      <c r="AA104" s="225"/>
      <c r="AB104" s="225"/>
      <c r="AC104" s="225"/>
      <c r="AD104" s="225"/>
      <c r="AE104" s="225"/>
      <c r="AF104" s="225">
        <v>670348.32999999996</v>
      </c>
      <c r="AG104" s="225">
        <v>677051.81329999992</v>
      </c>
      <c r="AH104" s="225">
        <v>683822.33143299993</v>
      </c>
      <c r="AI104" s="225">
        <v>690660.55474732991</v>
      </c>
      <c r="AJ104" s="225">
        <v>697567.16029480321</v>
      </c>
      <c r="AK104" s="225">
        <v>704542.8318977512</v>
      </c>
      <c r="AL104" s="225">
        <v>711588.26021672867</v>
      </c>
      <c r="AM104" s="225">
        <v>718704.14281889598</v>
      </c>
      <c r="AN104" s="225">
        <v>725891.18424708489</v>
      </c>
      <c r="AO104" s="225">
        <v>733150.09608955577</v>
      </c>
      <c r="AP104" s="225">
        <v>740481.59705045132</v>
      </c>
      <c r="AQ104" s="225">
        <v>747886.41302095586</v>
      </c>
      <c r="AR104" s="225">
        <v>755365.27715116541</v>
      </c>
      <c r="AS104" s="225">
        <v>762918.92992267711</v>
      </c>
      <c r="AT104" s="225">
        <v>770548.11922190385</v>
      </c>
      <c r="AU104" s="225"/>
      <c r="AV104" s="225"/>
      <c r="AW104" s="225"/>
      <c r="AX104" s="225"/>
      <c r="AY104" s="225"/>
      <c r="AZ104" s="225"/>
      <c r="BA104" s="225"/>
      <c r="BB104" s="225"/>
      <c r="BC104" s="225"/>
      <c r="BD104" s="225"/>
      <c r="BE104" s="26"/>
      <c r="BF104" s="26" t="s">
        <v>250</v>
      </c>
      <c r="BG104" s="26" t="str">
        <f t="shared" si="198"/>
        <v>Finance Revenue</v>
      </c>
      <c r="BH104" s="195">
        <f t="shared" si="194"/>
        <v>2288832.3262957465</v>
      </c>
      <c r="BI104" s="195">
        <f t="shared" si="195"/>
        <v>0</v>
      </c>
      <c r="BJ104" s="195">
        <f t="shared" si="196"/>
        <v>0</v>
      </c>
      <c r="BK104" s="304">
        <f t="shared" si="197"/>
        <v>0</v>
      </c>
      <c r="BL104" s="195">
        <f ca="1">IF(BF104="EoP",OFFSET(AR104,0,MONTH('2024 Control'!$C$4)-1),SUM(AR104:OFFSET(AR104,0,MONTH('2024 Control'!$C$4)-1))/IF(BF104="Sum",1,MONTH('2024 Control'!$C$4)))</f>
        <v>2288832.3262957465</v>
      </c>
      <c r="BM104" s="304">
        <f t="shared" si="155"/>
        <v>8586711.6622677222</v>
      </c>
    </row>
    <row r="105" spans="2:65">
      <c r="B105" s="26" t="s">
        <v>4</v>
      </c>
      <c r="C105" s="26" t="s">
        <v>207</v>
      </c>
      <c r="D105" s="204" t="str">
        <f t="shared" si="157"/>
        <v>Finance (-) Service/Delivery (CoS/CoGS)</v>
      </c>
      <c r="E105" s="26" t="s">
        <v>210</v>
      </c>
      <c r="F105" s="183" t="s">
        <v>253</v>
      </c>
      <c r="G105" s="183" t="s">
        <v>4</v>
      </c>
      <c r="H105" s="254">
        <v>-222134.94</v>
      </c>
      <c r="I105" s="225">
        <f>-255152.71</f>
        <v>-255152.71</v>
      </c>
      <c r="J105" s="225">
        <v>-268055.39</v>
      </c>
      <c r="K105" s="225">
        <v>-275785.14</v>
      </c>
      <c r="L105" s="225">
        <v>-252797.66</v>
      </c>
      <c r="M105" s="225">
        <v>-279179</v>
      </c>
      <c r="N105" s="225">
        <f>-299729.73+45000</f>
        <v>-254729.72999999998</v>
      </c>
      <c r="O105" s="225">
        <f>-362428.38+90000</f>
        <v>-272428.38</v>
      </c>
      <c r="P105" s="225">
        <f>-393322+75000</f>
        <v>-318322</v>
      </c>
      <c r="Q105" s="225">
        <f>-373594.94+75000</f>
        <v>-298594.94</v>
      </c>
      <c r="R105" s="225"/>
      <c r="S105" s="225"/>
      <c r="T105" s="225"/>
      <c r="U105" s="225"/>
      <c r="V105" s="225"/>
      <c r="W105" s="225"/>
      <c r="X105" s="225"/>
      <c r="Y105" s="225"/>
      <c r="Z105" s="225"/>
      <c r="AA105" s="225"/>
      <c r="AB105" s="225"/>
      <c r="AC105" s="225"/>
      <c r="AD105" s="225"/>
      <c r="AE105" s="225"/>
      <c r="AF105" s="225">
        <v>-314989.21000000002</v>
      </c>
      <c r="AG105" s="225">
        <v>-318139.10210000002</v>
      </c>
      <c r="AH105" s="225">
        <v>-321320.49312100001</v>
      </c>
      <c r="AI105" s="225">
        <v>-324533.69805221003</v>
      </c>
      <c r="AJ105" s="225">
        <v>-327779.03503273212</v>
      </c>
      <c r="AK105" s="225">
        <v>-331056.82538305945</v>
      </c>
      <c r="AL105" s="225">
        <v>-334367.39363689005</v>
      </c>
      <c r="AM105" s="225">
        <v>-337711.06757325894</v>
      </c>
      <c r="AN105" s="225">
        <v>-341088.17824899155</v>
      </c>
      <c r="AO105" s="225">
        <v>-344499.06003148144</v>
      </c>
      <c r="AP105" s="225">
        <v>-347944.05063179624</v>
      </c>
      <c r="AQ105" s="225">
        <v>-351423.49113811419</v>
      </c>
      <c r="AR105" s="225">
        <v>-354937.72604949534</v>
      </c>
      <c r="AS105" s="225">
        <v>-358487.10330999031</v>
      </c>
      <c r="AT105" s="225">
        <v>-362071.9743430902</v>
      </c>
      <c r="AU105" s="225"/>
      <c r="AV105" s="225"/>
      <c r="AW105" s="225"/>
      <c r="AX105" s="225"/>
      <c r="AY105" s="225"/>
      <c r="AZ105" s="225"/>
      <c r="BA105" s="225"/>
      <c r="BB105" s="225"/>
      <c r="BC105" s="225"/>
      <c r="BD105" s="225"/>
      <c r="BE105" s="26"/>
      <c r="BF105" s="26" t="s">
        <v>250</v>
      </c>
      <c r="BG105" s="26" t="str">
        <f t="shared" si="198"/>
        <v>Finance (-) Service/Delivery (CoS/CoGS)</v>
      </c>
      <c r="BH105" s="195">
        <f t="shared" si="194"/>
        <v>-1075496.8037025759</v>
      </c>
      <c r="BI105" s="195">
        <f t="shared" si="195"/>
        <v>0</v>
      </c>
      <c r="BJ105" s="195">
        <f t="shared" si="196"/>
        <v>0</v>
      </c>
      <c r="BK105" s="304">
        <f t="shared" si="197"/>
        <v>0</v>
      </c>
      <c r="BL105" s="195">
        <f ca="1">IF(BF105="EoP",OFFSET(AR105,0,MONTH('2024 Control'!$C$4)-1),SUM(AR105:OFFSET(AR105,0,MONTH('2024 Control'!$C$4)-1))/IF(BF105="Sum",1,MONTH('2024 Control'!$C$4)))</f>
        <v>-1075496.8037025759</v>
      </c>
      <c r="BM105" s="304">
        <f t="shared" si="155"/>
        <v>-4034800.1209990298</v>
      </c>
    </row>
    <row r="106" spans="2:65">
      <c r="B106" s="26" t="s">
        <v>4</v>
      </c>
      <c r="C106" s="26" t="s">
        <v>207</v>
      </c>
      <c r="D106" s="204" t="str">
        <f t="shared" si="157"/>
        <v>Finance (-) Product</v>
      </c>
      <c r="E106" s="26" t="s">
        <v>211</v>
      </c>
      <c r="F106" s="183" t="s">
        <v>253</v>
      </c>
      <c r="G106" s="183" t="s">
        <v>4</v>
      </c>
      <c r="H106" s="287">
        <f>-19876.29-1050.05</f>
        <v>-20926.34</v>
      </c>
      <c r="I106" s="288">
        <f>-19317.39-3059.53</f>
        <v>-22376.92</v>
      </c>
      <c r="J106" s="288">
        <f>-27863.22-832.71</f>
        <v>-28695.93</v>
      </c>
      <c r="K106" s="225">
        <f>-28811.48-1156.69</f>
        <v>-29968.17</v>
      </c>
      <c r="L106" s="225">
        <f>-28483.61-3497.6</f>
        <v>-31981.21</v>
      </c>
      <c r="M106" s="225">
        <f>-27753.66-493.92</f>
        <v>-28247.579999999998</v>
      </c>
      <c r="N106" s="225">
        <f>-28173.72-2270.7</f>
        <v>-30444.420000000002</v>
      </c>
      <c r="O106" s="225">
        <f>-28173.72-328</f>
        <v>-28501.72</v>
      </c>
      <c r="P106" s="225">
        <f>-28173.72-328</f>
        <v>-28501.72</v>
      </c>
      <c r="Q106" s="225">
        <v>-33236.07</v>
      </c>
      <c r="R106" s="225"/>
      <c r="S106" s="225"/>
      <c r="T106" s="225"/>
      <c r="U106" s="225"/>
      <c r="V106" s="225"/>
      <c r="W106" s="225"/>
      <c r="X106" s="225"/>
      <c r="Y106" s="225"/>
      <c r="Z106" s="225"/>
      <c r="AA106" s="225"/>
      <c r="AB106" s="225"/>
      <c r="AC106" s="225"/>
      <c r="AD106" s="225"/>
      <c r="AE106" s="225"/>
      <c r="AF106" s="225">
        <v>-83009.08</v>
      </c>
      <c r="AG106" s="225">
        <v>-83839.170800000007</v>
      </c>
      <c r="AH106" s="225">
        <v>-84677.562508000003</v>
      </c>
      <c r="AI106" s="225">
        <v>-85524.338133080004</v>
      </c>
      <c r="AJ106" s="225">
        <v>-86379.581514410806</v>
      </c>
      <c r="AK106" s="225">
        <v>-87243.377329554918</v>
      </c>
      <c r="AL106" s="225">
        <v>-88115.811102850465</v>
      </c>
      <c r="AM106" s="225">
        <v>-88996.969213878969</v>
      </c>
      <c r="AN106" s="225">
        <v>-89886.938906017764</v>
      </c>
      <c r="AO106" s="225">
        <v>-90785.808295077935</v>
      </c>
      <c r="AP106" s="225">
        <v>-91693.66637802872</v>
      </c>
      <c r="AQ106" s="225">
        <v>-92610.603041809009</v>
      </c>
      <c r="AR106" s="225">
        <v>-93536.709072227095</v>
      </c>
      <c r="AS106" s="225">
        <v>-94472.076162949365</v>
      </c>
      <c r="AT106" s="225">
        <v>-95416.796924578855</v>
      </c>
      <c r="AU106" s="225"/>
      <c r="AV106" s="225"/>
      <c r="AW106" s="225"/>
      <c r="AX106" s="225"/>
      <c r="AY106" s="225"/>
      <c r="AZ106" s="225"/>
      <c r="BA106" s="225"/>
      <c r="BB106" s="225"/>
      <c r="BC106" s="225"/>
      <c r="BD106" s="225"/>
      <c r="BE106" s="26"/>
      <c r="BF106" s="26" t="s">
        <v>250</v>
      </c>
      <c r="BG106" s="26" t="str">
        <f t="shared" si="198"/>
        <v>Finance (-) Product</v>
      </c>
      <c r="BH106" s="195">
        <f t="shared" si="194"/>
        <v>-283425.58215975529</v>
      </c>
      <c r="BI106" s="195">
        <f t="shared" si="195"/>
        <v>0</v>
      </c>
      <c r="BJ106" s="195">
        <f t="shared" si="196"/>
        <v>0</v>
      </c>
      <c r="BK106" s="304">
        <f t="shared" si="197"/>
        <v>0</v>
      </c>
      <c r="BL106" s="195">
        <f ca="1">IF(BF106="EoP",OFFSET(AR106,0,MONTH('2024 Control'!$C$4)-1),SUM(AR106:OFFSET(AR106,0,MONTH('2024 Control'!$C$4)-1))/IF(BF106="Sum",1,MONTH('2024 Control'!$C$4)))</f>
        <v>-283425.58215975529</v>
      </c>
      <c r="BM106" s="304">
        <f t="shared" si="155"/>
        <v>-1063290.5362949357</v>
      </c>
    </row>
    <row r="107" spans="2:65">
      <c r="B107" s="26" t="s">
        <v>4</v>
      </c>
      <c r="C107" s="26" t="s">
        <v>207</v>
      </c>
      <c r="D107" s="204" t="str">
        <f t="shared" si="157"/>
        <v>Finance (-) Technology</v>
      </c>
      <c r="E107" s="26" t="s">
        <v>212</v>
      </c>
      <c r="F107" s="183" t="s">
        <v>253</v>
      </c>
      <c r="G107" s="183" t="s">
        <v>4</v>
      </c>
      <c r="H107" s="225">
        <f>-118367.14-2490.83</f>
        <v>-120857.97</v>
      </c>
      <c r="I107" s="225">
        <f>-125678-9596.31</f>
        <v>-135274.31</v>
      </c>
      <c r="J107" s="225">
        <f>-120344.15-4738.52</f>
        <v>-125082.67</v>
      </c>
      <c r="K107" s="225">
        <f>-115460.14-2795.56</f>
        <v>-118255.7</v>
      </c>
      <c r="L107" s="225">
        <f>-112127.75-3654.17</f>
        <v>-115781.92</v>
      </c>
      <c r="M107" s="225">
        <f>-126669.08-2987.35</f>
        <v>-129656.43000000001</v>
      </c>
      <c r="N107" s="225">
        <f>-143814.03-26120.59</f>
        <v>-169934.62</v>
      </c>
      <c r="O107" s="225">
        <f>-149933.4-3276.27</f>
        <v>-153209.66999999998</v>
      </c>
      <c r="P107" s="225">
        <f>-140649.96-4490.01</f>
        <v>-145139.97</v>
      </c>
      <c r="Q107" s="225">
        <v>-159561.97</v>
      </c>
      <c r="R107" s="225"/>
      <c r="S107" s="225"/>
      <c r="T107" s="225"/>
      <c r="U107" s="225"/>
      <c r="V107" s="225"/>
      <c r="W107" s="225"/>
      <c r="X107" s="225"/>
      <c r="Y107" s="225"/>
      <c r="Z107" s="225"/>
      <c r="AA107" s="225"/>
      <c r="AB107" s="225"/>
      <c r="AC107" s="225"/>
      <c r="AD107" s="225"/>
      <c r="AE107" s="225"/>
      <c r="AF107" s="225">
        <v>-151522.20000000001</v>
      </c>
      <c r="AG107" s="225">
        <v>-153037.42200000002</v>
      </c>
      <c r="AH107" s="225">
        <v>-154567.79622000002</v>
      </c>
      <c r="AI107" s="225">
        <v>-156113.47418220001</v>
      </c>
      <c r="AJ107" s="225">
        <v>-157674.608924022</v>
      </c>
      <c r="AK107" s="225">
        <v>-159251.35501326222</v>
      </c>
      <c r="AL107" s="225">
        <v>-160843.86856339485</v>
      </c>
      <c r="AM107" s="225">
        <v>-162452.30724902879</v>
      </c>
      <c r="AN107" s="225">
        <v>-164076.83032151908</v>
      </c>
      <c r="AO107" s="225">
        <v>-165717.59862473427</v>
      </c>
      <c r="AP107" s="225">
        <v>-167374.77461098161</v>
      </c>
      <c r="AQ107" s="225">
        <v>-169048.52235709142</v>
      </c>
      <c r="AR107" s="225">
        <v>-170739.00758066235</v>
      </c>
      <c r="AS107" s="225">
        <v>-172446.39765646897</v>
      </c>
      <c r="AT107" s="225">
        <v>-174170.86163303367</v>
      </c>
      <c r="AU107" s="225"/>
      <c r="AV107" s="225"/>
      <c r="AW107" s="225"/>
      <c r="AX107" s="225"/>
      <c r="AY107" s="225"/>
      <c r="AZ107" s="225"/>
      <c r="BA107" s="225"/>
      <c r="BB107" s="225"/>
      <c r="BC107" s="225"/>
      <c r="BD107" s="225"/>
      <c r="BE107" s="26"/>
      <c r="BF107" s="26" t="s">
        <v>250</v>
      </c>
      <c r="BG107" s="26" t="str">
        <f t="shared" si="198"/>
        <v>Finance (-) Technology</v>
      </c>
      <c r="BH107" s="195">
        <f t="shared" si="194"/>
        <v>-517356.26687016495</v>
      </c>
      <c r="BI107" s="195">
        <f t="shared" si="195"/>
        <v>0</v>
      </c>
      <c r="BJ107" s="195">
        <f t="shared" si="196"/>
        <v>0</v>
      </c>
      <c r="BK107" s="304">
        <f t="shared" si="197"/>
        <v>0</v>
      </c>
      <c r="BL107" s="195">
        <f ca="1">IF(BF107="EoP",OFFSET(AR107,0,MONTH('2024 Control'!$C$4)-1),SUM(AR107:OFFSET(AR107,0,MONTH('2024 Control'!$C$4)-1))/IF(BF107="Sum",1,MONTH('2024 Control'!$C$4)))</f>
        <v>-517356.26687016495</v>
      </c>
      <c r="BM107" s="304">
        <f t="shared" si="155"/>
        <v>-1940897.5656468968</v>
      </c>
    </row>
    <row r="108" spans="2:65">
      <c r="B108" s="26" t="s">
        <v>4</v>
      </c>
      <c r="C108" s="26" t="s">
        <v>207</v>
      </c>
      <c r="D108" s="204" t="str">
        <f t="shared" si="157"/>
        <v>Finance (-) Sales</v>
      </c>
      <c r="E108" s="26" t="s">
        <v>213</v>
      </c>
      <c r="F108" s="183" t="s">
        <v>253</v>
      </c>
      <c r="G108" s="183" t="s">
        <v>4</v>
      </c>
      <c r="H108" s="225">
        <f>-108346.18-26891.35</f>
        <v>-135237.53</v>
      </c>
      <c r="I108" s="225">
        <f>-110336.51-8160.13</f>
        <v>-118496.64</v>
      </c>
      <c r="J108" s="225">
        <f>-111296.38-29430.25</f>
        <v>-140726.63</v>
      </c>
      <c r="K108" s="225">
        <f>-137997.01-10814.21</f>
        <v>-148811.22</v>
      </c>
      <c r="L108" s="225">
        <f>-139684.97-11565.03</f>
        <v>-151250</v>
      </c>
      <c r="M108" s="225">
        <f>-133358.22-12859.46</f>
        <v>-146217.68</v>
      </c>
      <c r="N108" s="225">
        <f>-114905.59-7226.06</f>
        <v>-122131.65</v>
      </c>
      <c r="O108" s="225">
        <f>-118846.32-9985.28</f>
        <v>-128831.6</v>
      </c>
      <c r="P108" s="225">
        <f>-104148.95-8396.29</f>
        <v>-112545.23999999999</v>
      </c>
      <c r="Q108" s="225">
        <v>-110157.75999999999</v>
      </c>
      <c r="R108" s="225"/>
      <c r="S108" s="225"/>
      <c r="T108" s="225"/>
      <c r="U108" s="225"/>
      <c r="V108" s="225"/>
      <c r="W108" s="225"/>
      <c r="X108" s="225"/>
      <c r="Y108" s="225"/>
      <c r="Z108" s="225"/>
      <c r="AA108" s="225"/>
      <c r="AB108" s="225"/>
      <c r="AC108" s="225"/>
      <c r="AD108" s="225"/>
      <c r="AE108" s="225"/>
      <c r="AF108" s="225">
        <v>-47234.7</v>
      </c>
      <c r="AG108" s="225">
        <v>-47707.046999999999</v>
      </c>
      <c r="AH108" s="225">
        <v>-48184.117469999997</v>
      </c>
      <c r="AI108" s="225">
        <v>-48665.958644699997</v>
      </c>
      <c r="AJ108" s="225">
        <v>-49152.618231146997</v>
      </c>
      <c r="AK108" s="225">
        <v>-49644.144413458467</v>
      </c>
      <c r="AL108" s="225">
        <v>-50140.585857593054</v>
      </c>
      <c r="AM108" s="225">
        <v>-50641.991716168988</v>
      </c>
      <c r="AN108" s="225">
        <v>-51148.411633330681</v>
      </c>
      <c r="AO108" s="225">
        <v>-51659.895749663985</v>
      </c>
      <c r="AP108" s="225">
        <v>-52176.494707160622</v>
      </c>
      <c r="AQ108" s="225">
        <v>-52698.259654232228</v>
      </c>
      <c r="AR108" s="225">
        <v>-53225.24225077455</v>
      </c>
      <c r="AS108" s="225">
        <v>-53757.494673282294</v>
      </c>
      <c r="AT108" s="225">
        <v>-54295.069620015114</v>
      </c>
      <c r="AU108" s="225"/>
      <c r="AV108" s="225"/>
      <c r="AW108" s="225"/>
      <c r="AX108" s="225"/>
      <c r="AY108" s="225"/>
      <c r="AZ108" s="225"/>
      <c r="BA108" s="225"/>
      <c r="BB108" s="225"/>
      <c r="BC108" s="225"/>
      <c r="BD108" s="225"/>
      <c r="BE108" s="26"/>
      <c r="BF108" s="26" t="s">
        <v>250</v>
      </c>
      <c r="BG108" s="26" t="str">
        <f t="shared" si="198"/>
        <v>Finance (-) Sales</v>
      </c>
      <c r="BH108" s="195">
        <f t="shared" si="194"/>
        <v>-161277.80654407194</v>
      </c>
      <c r="BI108" s="195">
        <f t="shared" si="195"/>
        <v>0</v>
      </c>
      <c r="BJ108" s="195">
        <f t="shared" si="196"/>
        <v>0</v>
      </c>
      <c r="BK108" s="304">
        <f t="shared" si="197"/>
        <v>0</v>
      </c>
      <c r="BL108" s="195">
        <f ca="1">IF(BF108="EoP",OFFSET(AR108,0,MONTH('2024 Control'!$C$4)-1),SUM(AR108:OFFSET(AR108,0,MONTH('2024 Control'!$C$4)-1))/IF(BF108="Sum",1,MONTH('2024 Control'!$C$4)))</f>
        <v>-161277.80654407194</v>
      </c>
      <c r="BM108" s="304">
        <f t="shared" si="155"/>
        <v>-605044.76732822962</v>
      </c>
    </row>
    <row r="109" spans="2:65">
      <c r="B109" s="26" t="s">
        <v>4</v>
      </c>
      <c r="C109" s="26" t="s">
        <v>207</v>
      </c>
      <c r="D109" s="204" t="str">
        <f t="shared" ref="D109:D131" si="199">B109&amp;" "&amp;E109</f>
        <v>Finance (-) Marketing</v>
      </c>
      <c r="E109" s="26" t="s">
        <v>214</v>
      </c>
      <c r="F109" s="183" t="s">
        <v>253</v>
      </c>
      <c r="G109" s="183" t="s">
        <v>4</v>
      </c>
      <c r="H109" s="225">
        <f>-23330.89-54701.05</f>
        <v>-78031.94</v>
      </c>
      <c r="I109" s="225">
        <f>-23311.32-8783.32</f>
        <v>-32094.639999999999</v>
      </c>
      <c r="J109" s="225">
        <f>-23079.93-7267.71</f>
        <v>-30347.64</v>
      </c>
      <c r="K109" s="225">
        <f>-22952.62-19015.01</f>
        <v>-41967.63</v>
      </c>
      <c r="L109" s="225">
        <f>-22952.62-16736.7</f>
        <v>-39689.32</v>
      </c>
      <c r="M109" s="225">
        <f>-22952.62-32469.08</f>
        <v>-55421.7</v>
      </c>
      <c r="N109" s="225">
        <f>-24366.24-14616.25</f>
        <v>-38982.490000000005</v>
      </c>
      <c r="O109" s="225">
        <f>-31077.51-25614</f>
        <v>-56691.509999999995</v>
      </c>
      <c r="P109" s="225">
        <f>-24308.44-70119.61</f>
        <v>-94428.05</v>
      </c>
      <c r="Q109" s="225">
        <v>-78576.52</v>
      </c>
      <c r="R109" s="225"/>
      <c r="S109" s="225"/>
      <c r="T109" s="225"/>
      <c r="U109" s="225"/>
      <c r="V109" s="225"/>
      <c r="W109" s="225"/>
      <c r="X109" s="225"/>
      <c r="Y109" s="225"/>
      <c r="Z109" s="225"/>
      <c r="AA109" s="225"/>
      <c r="AB109" s="225"/>
      <c r="AC109" s="225"/>
      <c r="AD109" s="225"/>
      <c r="AE109" s="225"/>
      <c r="AF109" s="225">
        <v>-71648.460000000006</v>
      </c>
      <c r="AG109" s="225">
        <v>-72364.944600000003</v>
      </c>
      <c r="AH109" s="225">
        <v>-73088.594045999998</v>
      </c>
      <c r="AI109" s="225">
        <v>-73819.479986459992</v>
      </c>
      <c r="AJ109" s="225">
        <v>-74557.674786324598</v>
      </c>
      <c r="AK109" s="225">
        <v>-75303.251534187846</v>
      </c>
      <c r="AL109" s="225">
        <v>-76056.284049529728</v>
      </c>
      <c r="AM109" s="225">
        <v>-76816.84689002503</v>
      </c>
      <c r="AN109" s="225">
        <v>-77585.015358925273</v>
      </c>
      <c r="AO109" s="225">
        <v>-78360.865512514531</v>
      </c>
      <c r="AP109" s="225">
        <v>-79144.474167639681</v>
      </c>
      <c r="AQ109" s="225">
        <v>-79935.918909316082</v>
      </c>
      <c r="AR109" s="225">
        <v>-80735.278098409239</v>
      </c>
      <c r="AS109" s="225">
        <v>-81542.630879393328</v>
      </c>
      <c r="AT109" s="225">
        <v>-82358.05718818726</v>
      </c>
      <c r="AU109" s="225"/>
      <c r="AV109" s="225"/>
      <c r="AW109" s="225"/>
      <c r="AX109" s="225"/>
      <c r="AY109" s="225"/>
      <c r="AZ109" s="225"/>
      <c r="BA109" s="225"/>
      <c r="BB109" s="225"/>
      <c r="BC109" s="225"/>
      <c r="BD109" s="225"/>
      <c r="BE109" s="26"/>
      <c r="BF109" s="26" t="s">
        <v>250</v>
      </c>
      <c r="BG109" s="26" t="str">
        <f t="shared" si="198"/>
        <v>Finance (-) Marketing</v>
      </c>
      <c r="BH109" s="195">
        <f t="shared" si="194"/>
        <v>-244635.96616598981</v>
      </c>
      <c r="BI109" s="195">
        <f t="shared" si="195"/>
        <v>0</v>
      </c>
      <c r="BJ109" s="195">
        <f t="shared" si="196"/>
        <v>0</v>
      </c>
      <c r="BK109" s="304">
        <f t="shared" si="197"/>
        <v>0</v>
      </c>
      <c r="BL109" s="195">
        <f ca="1">IF(BF109="EoP",OFFSET(AR109,0,MONTH('2024 Control'!$C$4)-1),SUM(AR109:OFFSET(AR109,0,MONTH('2024 Control'!$C$4)-1))/IF(BF109="Sum",1,MONTH('2024 Control'!$C$4)))</f>
        <v>-244635.96616598981</v>
      </c>
      <c r="BM109" s="304">
        <f t="shared" si="155"/>
        <v>-917768.62793933181</v>
      </c>
    </row>
    <row r="110" spans="2:65">
      <c r="B110" s="26" t="s">
        <v>4</v>
      </c>
      <c r="C110" s="26" t="s">
        <v>207</v>
      </c>
      <c r="D110" s="204" t="str">
        <f t="shared" si="199"/>
        <v>Finance (-) Customer Success</v>
      </c>
      <c r="E110" s="26" t="s">
        <v>215</v>
      </c>
      <c r="F110" s="183" t="s">
        <v>253</v>
      </c>
      <c r="G110" s="183" t="s">
        <v>4</v>
      </c>
      <c r="H110" s="287">
        <f>-30045.6-7682.08</f>
        <v>-37727.68</v>
      </c>
      <c r="I110" s="288">
        <f>-32706.35-15184.83</f>
        <v>-47891.18</v>
      </c>
      <c r="J110" s="288">
        <f>-32575.93-13064.8</f>
        <v>-45640.729999999996</v>
      </c>
      <c r="K110" s="225">
        <f>-33055.93-13441.68</f>
        <v>-46497.61</v>
      </c>
      <c r="L110" s="225">
        <f>-43861.76-1177.39</f>
        <v>-45039.15</v>
      </c>
      <c r="M110" s="225">
        <f>-29589.3-6026.66</f>
        <v>-35615.96</v>
      </c>
      <c r="N110" s="225">
        <f>-26514.56-2386.67</f>
        <v>-28901.230000000003</v>
      </c>
      <c r="O110" s="225">
        <f>-57437.63-2511.59</f>
        <v>-59949.22</v>
      </c>
      <c r="P110" s="225">
        <f>-53521.59-1235.3</f>
        <v>-54756.89</v>
      </c>
      <c r="Q110" s="225">
        <v>-59823.76</v>
      </c>
      <c r="R110" s="225"/>
      <c r="S110" s="225"/>
      <c r="T110" s="225"/>
      <c r="U110" s="225"/>
      <c r="V110" s="225"/>
      <c r="W110" s="225"/>
      <c r="X110" s="225"/>
      <c r="Y110" s="225"/>
      <c r="Z110" s="225"/>
      <c r="AA110" s="225"/>
      <c r="AB110" s="225"/>
      <c r="AC110" s="225"/>
      <c r="AD110" s="225"/>
      <c r="AE110" s="225"/>
      <c r="AF110" s="225">
        <v>-162623.82999999999</v>
      </c>
      <c r="AG110" s="225">
        <v>-164250.06829999998</v>
      </c>
      <c r="AH110" s="225">
        <v>-165892.56898299998</v>
      </c>
      <c r="AI110" s="225">
        <v>-167551.49467282998</v>
      </c>
      <c r="AJ110" s="225">
        <v>-169227.00961955829</v>
      </c>
      <c r="AK110" s="225">
        <v>-170919.27971575386</v>
      </c>
      <c r="AL110" s="225">
        <v>-172628.47251291139</v>
      </c>
      <c r="AM110" s="225">
        <v>-174354.7572380405</v>
      </c>
      <c r="AN110" s="225">
        <v>-176098.3048104209</v>
      </c>
      <c r="AO110" s="225">
        <v>-177859.28785852512</v>
      </c>
      <c r="AP110" s="225">
        <v>-179637.88073711036</v>
      </c>
      <c r="AQ110" s="225">
        <v>-181434.25954448147</v>
      </c>
      <c r="AR110" s="225">
        <v>-183248.60213992628</v>
      </c>
      <c r="AS110" s="225">
        <v>-185081.08816132555</v>
      </c>
      <c r="AT110" s="225">
        <v>-186931.89904293881</v>
      </c>
      <c r="AU110" s="225"/>
      <c r="AV110" s="225"/>
      <c r="AW110" s="225"/>
      <c r="AX110" s="225"/>
      <c r="AY110" s="225"/>
      <c r="AZ110" s="225"/>
      <c r="BA110" s="225"/>
      <c r="BB110" s="225"/>
      <c r="BC110" s="225"/>
      <c r="BD110" s="225"/>
      <c r="BE110" s="26"/>
      <c r="BF110" s="26" t="s">
        <v>250</v>
      </c>
      <c r="BG110" s="26" t="str">
        <f t="shared" si="198"/>
        <v>Finance (-) Customer Success</v>
      </c>
      <c r="BH110" s="195">
        <f t="shared" si="194"/>
        <v>-555261.58934419067</v>
      </c>
      <c r="BI110" s="195">
        <f t="shared" si="195"/>
        <v>0</v>
      </c>
      <c r="BJ110" s="195">
        <f t="shared" si="196"/>
        <v>0</v>
      </c>
      <c r="BK110" s="304">
        <f t="shared" si="197"/>
        <v>0</v>
      </c>
      <c r="BL110" s="195">
        <f ca="1">IF(BF110="EoP",OFFSET(AR110,0,MONTH('2024 Control'!$C$4)-1),SUM(AR110:OFFSET(AR110,0,MONTH('2024 Control'!$C$4)-1))/IF(BF110="Sum",1,MONTH('2024 Control'!$C$4)))</f>
        <v>-555261.58934419067</v>
      </c>
      <c r="BM110" s="304">
        <f t="shared" si="155"/>
        <v>-2083101.986132558</v>
      </c>
    </row>
    <row r="111" spans="2:65">
      <c r="B111" s="26" t="s">
        <v>4</v>
      </c>
      <c r="C111" s="26" t="s">
        <v>207</v>
      </c>
      <c r="D111" s="204" t="str">
        <f t="shared" si="199"/>
        <v>Finance (-) G&amp;A</v>
      </c>
      <c r="E111" s="26" t="s">
        <v>216</v>
      </c>
      <c r="F111" s="183" t="s">
        <v>253</v>
      </c>
      <c r="G111" s="183" t="s">
        <v>4</v>
      </c>
      <c r="H111" s="225">
        <f>-146066.93-73323.08</f>
        <v>-219390.01</v>
      </c>
      <c r="I111" s="225">
        <f>-95271.65-50964.66</f>
        <v>-146236.31</v>
      </c>
      <c r="J111" s="225">
        <f>-96794.88-47608.08</f>
        <v>-144402.96000000002</v>
      </c>
      <c r="K111" s="225">
        <f>-103976.25-66136.92</f>
        <v>-170113.16999999998</v>
      </c>
      <c r="L111" s="225">
        <f>-94869.1-75716.62</f>
        <v>-170585.72</v>
      </c>
      <c r="M111" s="225">
        <f>-125141.28-80048.97-45000</f>
        <v>-250190.25</v>
      </c>
      <c r="N111" s="225">
        <f>-156965.78-70981.67-45000</f>
        <v>-272947.45</v>
      </c>
      <c r="O111" s="225">
        <f>-101274.98-71910.79-90000</f>
        <v>-263185.77</v>
      </c>
      <c r="P111" s="225">
        <f>-104681.22-72671.3-75000</f>
        <v>-252352.52000000002</v>
      </c>
      <c r="Q111" s="225">
        <f>-(194296.91+75000)</f>
        <v>-269296.91000000003</v>
      </c>
      <c r="R111" s="225"/>
      <c r="S111" s="225"/>
      <c r="T111" s="225"/>
      <c r="U111" s="225"/>
      <c r="V111" s="225"/>
      <c r="W111" s="225"/>
      <c r="X111" s="225"/>
      <c r="Y111" s="225"/>
      <c r="Z111" s="225"/>
      <c r="AA111" s="225"/>
      <c r="AB111" s="225"/>
      <c r="AC111" s="225"/>
      <c r="AD111" s="225"/>
      <c r="AE111" s="225"/>
      <c r="AF111" s="225">
        <v>-305269.15000000002</v>
      </c>
      <c r="AG111" s="225">
        <v>-308321.84150000004</v>
      </c>
      <c r="AH111" s="225">
        <v>-311405.05991500005</v>
      </c>
      <c r="AI111" s="225">
        <v>-314519.11051415006</v>
      </c>
      <c r="AJ111" s="225">
        <v>-317664.30161929154</v>
      </c>
      <c r="AK111" s="225">
        <v>-320840.94463548443</v>
      </c>
      <c r="AL111" s="225">
        <v>-324049.35408183926</v>
      </c>
      <c r="AM111" s="225">
        <v>-327289.84762265766</v>
      </c>
      <c r="AN111" s="225">
        <v>-330562.74609888426</v>
      </c>
      <c r="AO111" s="225">
        <v>-333868.37355987309</v>
      </c>
      <c r="AP111" s="225">
        <v>-337207.05729547184</v>
      </c>
      <c r="AQ111" s="225">
        <v>-340579.12786842656</v>
      </c>
      <c r="AR111" s="225">
        <v>-343984.91914711084</v>
      </c>
      <c r="AS111" s="225">
        <v>-347424.76833858195</v>
      </c>
      <c r="AT111" s="225">
        <v>-350899.01602196775</v>
      </c>
      <c r="AU111" s="225"/>
      <c r="AV111" s="225"/>
      <c r="AW111" s="225"/>
      <c r="AX111" s="225"/>
      <c r="AY111" s="225"/>
      <c r="AZ111" s="225"/>
      <c r="BA111" s="225"/>
      <c r="BB111" s="225"/>
      <c r="BC111" s="225"/>
      <c r="BD111" s="225"/>
      <c r="BE111" s="26"/>
      <c r="BF111" s="26" t="s">
        <v>250</v>
      </c>
      <c r="BG111" s="26" t="str">
        <f t="shared" si="198"/>
        <v>Finance (-) G&amp;A</v>
      </c>
      <c r="BH111" s="195">
        <f t="shared" si="194"/>
        <v>-1042308.7035076605</v>
      </c>
      <c r="BI111" s="195">
        <f t="shared" si="195"/>
        <v>0</v>
      </c>
      <c r="BJ111" s="195">
        <f t="shared" si="196"/>
        <v>0</v>
      </c>
      <c r="BK111" s="304">
        <f t="shared" si="197"/>
        <v>0</v>
      </c>
      <c r="BL111" s="195">
        <f ca="1">IF(BF111="EoP",OFFSET(AR111,0,MONTH('2024 Control'!$C$4)-1),SUM(AR111:OFFSET(AR111,0,MONTH('2024 Control'!$C$4)-1))/IF(BF111="Sum",1,MONTH('2024 Control'!$C$4)))</f>
        <v>-1042308.7035076605</v>
      </c>
      <c r="BM111" s="304">
        <f t="shared" si="155"/>
        <v>-3910292.6838581897</v>
      </c>
    </row>
    <row r="112" spans="2:65">
      <c r="B112" s="26" t="s">
        <v>4</v>
      </c>
      <c r="C112" s="26" t="s">
        <v>207</v>
      </c>
      <c r="D112" s="204" t="str">
        <f t="shared" si="199"/>
        <v>Finance Adj. EBITDA</v>
      </c>
      <c r="E112" s="26" t="s">
        <v>217</v>
      </c>
      <c r="F112" s="183" t="s">
        <v>253</v>
      </c>
      <c r="G112" s="183" t="s">
        <v>4</v>
      </c>
      <c r="H112" s="246">
        <f>SUM(H104:H111)</f>
        <v>-254912.28000000003</v>
      </c>
      <c r="I112" s="246">
        <f t="shared" ref="I112:J112" si="200">SUM(I104:I111)</f>
        <v>-207771.5499999999</v>
      </c>
      <c r="J112" s="246">
        <f t="shared" si="200"/>
        <v>-172755.59000000003</v>
      </c>
      <c r="K112" s="246">
        <f t="shared" ref="K112:BD112" si="201">SUM(K104:K111)</f>
        <v>-260356.9</v>
      </c>
      <c r="L112" s="246">
        <f t="shared" si="201"/>
        <v>-99568.770000000077</v>
      </c>
      <c r="M112" s="246">
        <f t="shared" si="201"/>
        <v>-258289.6</v>
      </c>
      <c r="N112" s="246">
        <f t="shared" si="201"/>
        <v>-282461.65999999992</v>
      </c>
      <c r="O112" s="246">
        <f t="shared" si="201"/>
        <v>-337932.22</v>
      </c>
      <c r="P112" s="246">
        <f t="shared" si="201"/>
        <v>-251061.38999999996</v>
      </c>
      <c r="Q112" s="246">
        <f t="shared" si="201"/>
        <v>-346305.69000000006</v>
      </c>
      <c r="R112" s="246">
        <f t="shared" si="201"/>
        <v>0</v>
      </c>
      <c r="S112" s="246">
        <f t="shared" si="201"/>
        <v>0</v>
      </c>
      <c r="T112" s="246">
        <f t="shared" si="201"/>
        <v>0</v>
      </c>
      <c r="U112" s="246">
        <f t="shared" si="201"/>
        <v>0</v>
      </c>
      <c r="V112" s="246">
        <f t="shared" si="201"/>
        <v>0</v>
      </c>
      <c r="W112" s="246">
        <f t="shared" si="201"/>
        <v>0</v>
      </c>
      <c r="X112" s="246">
        <f t="shared" si="201"/>
        <v>0</v>
      </c>
      <c r="Y112" s="246">
        <f t="shared" si="201"/>
        <v>0</v>
      </c>
      <c r="Z112" s="246">
        <f t="shared" si="201"/>
        <v>0</v>
      </c>
      <c r="AA112" s="246">
        <f t="shared" si="201"/>
        <v>0</v>
      </c>
      <c r="AB112" s="246">
        <f t="shared" si="201"/>
        <v>0</v>
      </c>
      <c r="AC112" s="246">
        <f t="shared" si="201"/>
        <v>0</v>
      </c>
      <c r="AD112" s="246">
        <f t="shared" si="201"/>
        <v>0</v>
      </c>
      <c r="AE112" s="246">
        <f t="shared" si="201"/>
        <v>0</v>
      </c>
      <c r="AF112" s="246">
        <f t="shared" si="201"/>
        <v>-465948.3000000001</v>
      </c>
      <c r="AG112" s="246">
        <f t="shared" si="201"/>
        <v>-470607.78300000017</v>
      </c>
      <c r="AH112" s="246">
        <f t="shared" si="201"/>
        <v>-475313.86083000014</v>
      </c>
      <c r="AI112" s="246">
        <f t="shared" si="201"/>
        <v>-480066.99943830015</v>
      </c>
      <c r="AJ112" s="246">
        <f t="shared" si="201"/>
        <v>-484867.66943268315</v>
      </c>
      <c r="AK112" s="246">
        <f t="shared" si="201"/>
        <v>-489716.34612701001</v>
      </c>
      <c r="AL112" s="246">
        <f t="shared" si="201"/>
        <v>-494613.50958828011</v>
      </c>
      <c r="AM112" s="246">
        <f t="shared" si="201"/>
        <v>-499559.64468416292</v>
      </c>
      <c r="AN112" s="246">
        <f t="shared" si="201"/>
        <v>-504555.24113100464</v>
      </c>
      <c r="AO112" s="246">
        <f t="shared" si="201"/>
        <v>-509600.79354231461</v>
      </c>
      <c r="AP112" s="246">
        <f t="shared" si="201"/>
        <v>-514696.80147773772</v>
      </c>
      <c r="AQ112" s="246">
        <f t="shared" si="201"/>
        <v>-519843.76949251507</v>
      </c>
      <c r="AR112" s="246">
        <f t="shared" si="201"/>
        <v>-525042.20718744025</v>
      </c>
      <c r="AS112" s="246">
        <f t="shared" si="201"/>
        <v>-530292.62925931462</v>
      </c>
      <c r="AT112" s="246">
        <f t="shared" si="201"/>
        <v>-535595.55555190775</v>
      </c>
      <c r="AU112" s="246">
        <f t="shared" si="201"/>
        <v>0</v>
      </c>
      <c r="AV112" s="246">
        <f t="shared" si="201"/>
        <v>0</v>
      </c>
      <c r="AW112" s="246">
        <f t="shared" si="201"/>
        <v>0</v>
      </c>
      <c r="AX112" s="246">
        <f t="shared" si="201"/>
        <v>0</v>
      </c>
      <c r="AY112" s="246">
        <f t="shared" si="201"/>
        <v>0</v>
      </c>
      <c r="AZ112" s="246">
        <f t="shared" si="201"/>
        <v>0</v>
      </c>
      <c r="BA112" s="246">
        <f t="shared" si="201"/>
        <v>0</v>
      </c>
      <c r="BB112" s="246">
        <f t="shared" si="201"/>
        <v>0</v>
      </c>
      <c r="BC112" s="246">
        <f t="shared" si="201"/>
        <v>0</v>
      </c>
      <c r="BD112" s="246">
        <f t="shared" si="201"/>
        <v>0</v>
      </c>
      <c r="BE112" s="26"/>
      <c r="BF112" s="26" t="s">
        <v>250</v>
      </c>
      <c r="BG112" s="26" t="str">
        <f t="shared" si="198"/>
        <v>Finance Adj. EBITDA</v>
      </c>
      <c r="BH112" s="195">
        <f t="shared" si="194"/>
        <v>-1590930.3919986626</v>
      </c>
      <c r="BI112" s="195">
        <f t="shared" si="195"/>
        <v>0</v>
      </c>
      <c r="BJ112" s="195">
        <f t="shared" si="196"/>
        <v>0</v>
      </c>
      <c r="BK112" s="304">
        <f t="shared" si="197"/>
        <v>0</v>
      </c>
      <c r="BL112" s="195">
        <f ca="1">IF(BF112="EoP",OFFSET(AR112,0,MONTH('2024 Control'!$C$4)-1),SUM(AR112:OFFSET(AR112,0,MONTH('2024 Control'!$C$4)-1))/IF(BF112="Sum",1,MONTH('2024 Control'!$C$4)))</f>
        <v>-1590930.3919986626</v>
      </c>
      <c r="BM112" s="304">
        <f t="shared" si="155"/>
        <v>-5968484.6259314492</v>
      </c>
    </row>
    <row r="113" spans="2:65">
      <c r="B113" s="26" t="s">
        <v>4</v>
      </c>
      <c r="C113" s="26" t="s">
        <v>207</v>
      </c>
      <c r="D113" s="204" t="str">
        <f t="shared" si="199"/>
        <v>Finance Other (Severance, Legal, etc.)</v>
      </c>
      <c r="E113" s="26" t="s">
        <v>218</v>
      </c>
      <c r="F113" s="183" t="s">
        <v>253</v>
      </c>
      <c r="G113" s="183" t="s">
        <v>4</v>
      </c>
      <c r="H113" s="225">
        <v>0</v>
      </c>
      <c r="I113" s="225">
        <v>0</v>
      </c>
      <c r="J113" s="190">
        <v>0</v>
      </c>
      <c r="K113" s="190">
        <v>0</v>
      </c>
      <c r="L113" s="190">
        <v>0</v>
      </c>
      <c r="M113" s="190"/>
      <c r="N113" s="190"/>
      <c r="O113" s="190"/>
      <c r="P113" s="190">
        <v>0</v>
      </c>
      <c r="Q113" s="190">
        <v>0</v>
      </c>
      <c r="R113" s="190"/>
      <c r="S113" s="190"/>
      <c r="T113" s="190"/>
      <c r="U113" s="190"/>
      <c r="V113" s="190"/>
      <c r="W113" s="190"/>
      <c r="X113" s="190"/>
      <c r="Y113" s="190"/>
      <c r="Z113" s="190"/>
      <c r="AA113" s="190"/>
      <c r="AB113" s="190"/>
      <c r="AC113" s="190"/>
      <c r="AD113" s="190"/>
      <c r="AE113" s="190"/>
      <c r="AF113" s="190">
        <v>0</v>
      </c>
      <c r="AG113" s="190">
        <v>0</v>
      </c>
      <c r="AH113" s="190">
        <v>0</v>
      </c>
      <c r="AI113" s="190">
        <v>0</v>
      </c>
      <c r="AJ113" s="190"/>
      <c r="AK113" s="190">
        <v>0</v>
      </c>
      <c r="AL113" s="190">
        <v>0</v>
      </c>
      <c r="AM113" s="191"/>
      <c r="AN113" s="191"/>
      <c r="AO113" s="190"/>
      <c r="AP113" s="190"/>
      <c r="AQ113" s="190"/>
      <c r="AR113" s="190"/>
      <c r="AS113" s="190"/>
      <c r="AT113" s="190"/>
      <c r="AU113" s="190"/>
      <c r="AV113" s="190"/>
      <c r="AW113" s="190"/>
      <c r="AX113" s="190"/>
      <c r="AY113" s="190"/>
      <c r="AZ113" s="190"/>
      <c r="BA113" s="190"/>
      <c r="BB113" s="190"/>
      <c r="BC113" s="190"/>
      <c r="BD113" s="190"/>
      <c r="BE113" s="26"/>
      <c r="BF113" s="26" t="s">
        <v>250</v>
      </c>
      <c r="BG113" s="26" t="str">
        <f t="shared" si="198"/>
        <v>Finance Other (Severance, Legal, etc.)</v>
      </c>
      <c r="BH113" s="195">
        <f t="shared" si="194"/>
        <v>0</v>
      </c>
      <c r="BI113" s="195">
        <f t="shared" si="195"/>
        <v>0</v>
      </c>
      <c r="BJ113" s="195">
        <f t="shared" si="196"/>
        <v>0</v>
      </c>
      <c r="BK113" s="304">
        <f t="shared" si="197"/>
        <v>0</v>
      </c>
      <c r="BL113" s="195">
        <f ca="1">IF(BF113="EoP",OFFSET(AR113,0,MONTH('2024 Control'!$C$4)-1),SUM(AR113:OFFSET(AR113,0,MONTH('2024 Control'!$C$4)-1))/IF(BF113="Sum",1,MONTH('2024 Control'!$C$4)))</f>
        <v>0</v>
      </c>
      <c r="BM113" s="304">
        <f t="shared" si="155"/>
        <v>0</v>
      </c>
    </row>
    <row r="114" spans="2:65">
      <c r="B114" s="26" t="s">
        <v>4</v>
      </c>
      <c r="C114" s="26" t="s">
        <v>219</v>
      </c>
      <c r="D114" s="204" t="str">
        <f t="shared" si="199"/>
        <v>Finance Debt &amp; Debt-like Items</v>
      </c>
      <c r="E114" s="26" t="s">
        <v>220</v>
      </c>
      <c r="F114" s="183" t="s">
        <v>253</v>
      </c>
      <c r="G114" s="183" t="s">
        <v>4</v>
      </c>
      <c r="H114" s="225">
        <v>0</v>
      </c>
      <c r="I114" s="225">
        <v>0</v>
      </c>
      <c r="J114" s="190">
        <v>0</v>
      </c>
      <c r="K114" s="190">
        <v>0</v>
      </c>
      <c r="L114" s="190">
        <v>0</v>
      </c>
      <c r="M114" s="190"/>
      <c r="N114" s="190"/>
      <c r="O114" s="190"/>
      <c r="P114" s="190">
        <v>0</v>
      </c>
      <c r="Q114" s="190">
        <v>0</v>
      </c>
      <c r="R114" s="190"/>
      <c r="S114" s="190"/>
      <c r="T114" s="190"/>
      <c r="U114" s="190"/>
      <c r="V114" s="190"/>
      <c r="W114" s="190"/>
      <c r="X114" s="190"/>
      <c r="Y114" s="190"/>
      <c r="Z114" s="190"/>
      <c r="AA114" s="190"/>
      <c r="AB114" s="190"/>
      <c r="AC114" s="190"/>
      <c r="AD114" s="190"/>
      <c r="AE114" s="190"/>
      <c r="AF114" s="190">
        <v>0</v>
      </c>
      <c r="AG114" s="190">
        <v>0</v>
      </c>
      <c r="AH114" s="190">
        <v>0</v>
      </c>
      <c r="AI114" s="190">
        <v>0</v>
      </c>
      <c r="AJ114" s="190"/>
      <c r="AK114" s="190">
        <v>0</v>
      </c>
      <c r="AL114" s="190">
        <v>0</v>
      </c>
      <c r="AM114" s="190">
        <v>0</v>
      </c>
      <c r="AN114" s="190"/>
      <c r="AO114" s="190"/>
      <c r="AP114" s="190"/>
      <c r="AQ114" s="190"/>
      <c r="AR114" s="190"/>
      <c r="AS114" s="190"/>
      <c r="AT114" s="190"/>
      <c r="AU114" s="190"/>
      <c r="AV114" s="190"/>
      <c r="AW114" s="190"/>
      <c r="AX114" s="190"/>
      <c r="AY114" s="190"/>
      <c r="AZ114" s="190"/>
      <c r="BA114" s="190"/>
      <c r="BB114" s="190"/>
      <c r="BC114" s="190"/>
      <c r="BD114" s="190"/>
      <c r="BE114" s="26"/>
      <c r="BF114" s="26" t="s">
        <v>47</v>
      </c>
      <c r="BG114" s="26" t="str">
        <f t="shared" si="198"/>
        <v>Finance Debt &amp; Debt-like Items</v>
      </c>
      <c r="BH114" s="195">
        <f t="shared" si="194"/>
        <v>0</v>
      </c>
      <c r="BI114" s="195">
        <f t="shared" si="195"/>
        <v>0</v>
      </c>
      <c r="BJ114" s="195">
        <f t="shared" si="196"/>
        <v>0</v>
      </c>
      <c r="BK114" s="304">
        <f t="shared" si="197"/>
        <v>0</v>
      </c>
      <c r="BL114" s="195">
        <f ca="1">IF(BF114="EoP",OFFSET(AR114,0,MONTH('2024 Control'!$C$4)-1),SUM(AR114:OFFSET(AR114,0,MONTH('2024 Control'!$C$4)-1))/IF(BF114="Sum",1,MONTH('2024 Control'!$C$4)))</f>
        <v>0</v>
      </c>
      <c r="BM114" s="304">
        <f t="shared" si="155"/>
        <v>0</v>
      </c>
    </row>
    <row r="115" spans="2:65">
      <c r="B115" s="26" t="s">
        <v>4</v>
      </c>
      <c r="C115" s="26" t="s">
        <v>219</v>
      </c>
      <c r="D115" s="204" t="str">
        <f t="shared" si="199"/>
        <v>Finance (-) Cash</v>
      </c>
      <c r="E115" s="26" t="s">
        <v>221</v>
      </c>
      <c r="F115" s="183" t="s">
        <v>253</v>
      </c>
      <c r="G115" s="183" t="s">
        <v>4</v>
      </c>
      <c r="H115" s="225">
        <v>-12913819</v>
      </c>
      <c r="I115" s="225">
        <v>-12701021</v>
      </c>
      <c r="J115" s="226">
        <f>-5502100.97-8000000+27843+27843</f>
        <v>-13446414.969999999</v>
      </c>
      <c r="K115" s="225">
        <f>-830342.1-4153347.95-8000000</f>
        <v>-12983690.050000001</v>
      </c>
      <c r="L115" s="225">
        <v>-13086022</v>
      </c>
      <c r="M115" s="225">
        <v>-12720813</v>
      </c>
      <c r="N115" s="225">
        <f>-3530533.72-8000000-805997.93</f>
        <v>-12336531.65</v>
      </c>
      <c r="O115" s="225">
        <f>-3374320.9-8132533.02-805997.93</f>
        <v>-12312851.85</v>
      </c>
      <c r="P115" s="225">
        <v>-11970032.08</v>
      </c>
      <c r="Q115" s="225">
        <f>-2955075.72-8132533.02-742238.39</f>
        <v>-11829847.130000001</v>
      </c>
      <c r="R115" s="225"/>
      <c r="S115" s="225"/>
      <c r="T115" s="225"/>
      <c r="U115" s="225"/>
      <c r="V115" s="225"/>
      <c r="W115" s="225"/>
      <c r="X115" s="225"/>
      <c r="Y115" s="225"/>
      <c r="Z115" s="225"/>
      <c r="AA115" s="225"/>
      <c r="AB115" s="225"/>
      <c r="AC115" s="225"/>
      <c r="AD115" s="225"/>
      <c r="AE115" s="225"/>
      <c r="AF115" s="225">
        <v>-5336986.5599999996</v>
      </c>
      <c r="AG115" s="225">
        <v>-4232964.32</v>
      </c>
      <c r="AH115" s="225">
        <v>-3954706.82</v>
      </c>
      <c r="AI115" s="225">
        <v>-3682272.41</v>
      </c>
      <c r="AJ115" s="226">
        <v>-3911792.7499999995</v>
      </c>
      <c r="AK115" s="225">
        <v>-3764928.4899999998</v>
      </c>
      <c r="AL115" s="225">
        <v>-3664951.2399999998</v>
      </c>
      <c r="AM115" s="225">
        <v>-3352282.14</v>
      </c>
      <c r="AN115" s="225">
        <v>-3216289.08</v>
      </c>
      <c r="AO115" s="225">
        <v>-2577631.75</v>
      </c>
      <c r="AP115" s="225">
        <v>-2374633.73</v>
      </c>
      <c r="AQ115" s="225">
        <v>-2051669.68</v>
      </c>
      <c r="AR115" s="225">
        <v>-1344652.29</v>
      </c>
      <c r="AS115" s="225">
        <v>-1056941.22</v>
      </c>
      <c r="AT115" s="225">
        <v>-1290064.29</v>
      </c>
      <c r="AU115" s="225"/>
      <c r="AV115" s="225"/>
      <c r="AW115" s="225"/>
      <c r="AX115" s="225"/>
      <c r="AY115" s="225"/>
      <c r="AZ115" s="225"/>
      <c r="BA115" s="225"/>
      <c r="BB115" s="225"/>
      <c r="BC115" s="225"/>
      <c r="BD115" s="225"/>
      <c r="BE115" s="315"/>
      <c r="BF115" s="26" t="s">
        <v>47</v>
      </c>
      <c r="BG115" s="26" t="str">
        <f t="shared" si="198"/>
        <v>Finance (-) Cash</v>
      </c>
      <c r="BH115" s="195">
        <f t="shared" si="194"/>
        <v>-1290064.29</v>
      </c>
      <c r="BI115" s="195">
        <f t="shared" si="195"/>
        <v>0</v>
      </c>
      <c r="BJ115" s="195">
        <f t="shared" si="196"/>
        <v>0</v>
      </c>
      <c r="BK115" s="304">
        <f t="shared" si="197"/>
        <v>0</v>
      </c>
      <c r="BL115" s="195">
        <f ca="1">IF(BF115="EoP",OFFSET(AR115,0,MONTH('2024 Control'!$C$4)-1),SUM(AR115:OFFSET(AR115,0,MONTH('2024 Control'!$C$4)-1))/IF(BF115="Sum",1,MONTH('2024 Control'!$C$4)))</f>
        <v>0</v>
      </c>
      <c r="BM115" s="304">
        <f t="shared" si="155"/>
        <v>-1344652.29</v>
      </c>
    </row>
    <row r="116" spans="2:65">
      <c r="B116" s="26" t="s">
        <v>4</v>
      </c>
      <c r="C116" s="26" t="s">
        <v>219</v>
      </c>
      <c r="D116" s="204" t="str">
        <f t="shared" si="199"/>
        <v>Finance Net Debt</v>
      </c>
      <c r="E116" s="26" t="s">
        <v>222</v>
      </c>
      <c r="F116" s="183" t="s">
        <v>253</v>
      </c>
      <c r="G116" s="183" t="s">
        <v>4</v>
      </c>
      <c r="H116" s="246">
        <f>H114+H115</f>
        <v>-12913819</v>
      </c>
      <c r="I116" s="246">
        <f t="shared" ref="I116:J116" si="202">I114+I115</f>
        <v>-12701021</v>
      </c>
      <c r="J116" s="246">
        <f t="shared" si="202"/>
        <v>-13446414.969999999</v>
      </c>
      <c r="K116" s="246">
        <f t="shared" ref="K116:AF116" si="203">K114+K115</f>
        <v>-12983690.050000001</v>
      </c>
      <c r="L116" s="246">
        <f t="shared" si="203"/>
        <v>-13086022</v>
      </c>
      <c r="M116" s="246">
        <f t="shared" si="203"/>
        <v>-12720813</v>
      </c>
      <c r="N116" s="246">
        <f t="shared" si="203"/>
        <v>-12336531.65</v>
      </c>
      <c r="O116" s="246">
        <f t="shared" si="203"/>
        <v>-12312851.85</v>
      </c>
      <c r="P116" s="246">
        <f t="shared" si="203"/>
        <v>-11970032.08</v>
      </c>
      <c r="Q116" s="246">
        <f t="shared" si="203"/>
        <v>-11829847.130000001</v>
      </c>
      <c r="R116" s="246">
        <f t="shared" ref="R116:AE116" si="204">R114+R115</f>
        <v>0</v>
      </c>
      <c r="S116" s="246">
        <f t="shared" si="204"/>
        <v>0</v>
      </c>
      <c r="T116" s="246">
        <f t="shared" si="204"/>
        <v>0</v>
      </c>
      <c r="U116" s="246">
        <f t="shared" si="204"/>
        <v>0</v>
      </c>
      <c r="V116" s="246">
        <f t="shared" si="204"/>
        <v>0</v>
      </c>
      <c r="W116" s="246">
        <f t="shared" si="204"/>
        <v>0</v>
      </c>
      <c r="X116" s="246">
        <f t="shared" si="204"/>
        <v>0</v>
      </c>
      <c r="Y116" s="246">
        <f t="shared" si="204"/>
        <v>0</v>
      </c>
      <c r="Z116" s="246">
        <f t="shared" si="204"/>
        <v>0</v>
      </c>
      <c r="AA116" s="246">
        <f t="shared" si="204"/>
        <v>0</v>
      </c>
      <c r="AB116" s="246">
        <f t="shared" si="204"/>
        <v>0</v>
      </c>
      <c r="AC116" s="246">
        <f t="shared" si="204"/>
        <v>0</v>
      </c>
      <c r="AD116" s="246">
        <f t="shared" si="204"/>
        <v>0</v>
      </c>
      <c r="AE116" s="246">
        <f t="shared" si="204"/>
        <v>0</v>
      </c>
      <c r="AF116" s="246">
        <f t="shared" si="203"/>
        <v>-5336986.5599999996</v>
      </c>
      <c r="AG116" s="246">
        <f t="shared" ref="AG116:AP116" si="205">AG114+AG115</f>
        <v>-4232964.32</v>
      </c>
      <c r="AH116" s="246">
        <f t="shared" si="205"/>
        <v>-3954706.82</v>
      </c>
      <c r="AI116" s="246">
        <f t="shared" si="205"/>
        <v>-3682272.41</v>
      </c>
      <c r="AJ116" s="246">
        <f t="shared" si="205"/>
        <v>-3911792.7499999995</v>
      </c>
      <c r="AK116" s="246">
        <f t="shared" si="205"/>
        <v>-3764928.4899999998</v>
      </c>
      <c r="AL116" s="246">
        <f t="shared" si="205"/>
        <v>-3664951.2399999998</v>
      </c>
      <c r="AM116" s="246">
        <f t="shared" si="205"/>
        <v>-3352282.14</v>
      </c>
      <c r="AN116" s="246">
        <f t="shared" si="205"/>
        <v>-3216289.08</v>
      </c>
      <c r="AO116" s="246">
        <f t="shared" si="205"/>
        <v>-2577631.75</v>
      </c>
      <c r="AP116" s="246">
        <f t="shared" si="205"/>
        <v>-2374633.73</v>
      </c>
      <c r="AQ116" s="246">
        <f t="shared" ref="AQ116:BD116" si="206">AQ114+AQ115</f>
        <v>-2051669.68</v>
      </c>
      <c r="AR116" s="246">
        <f t="shared" si="206"/>
        <v>-1344652.29</v>
      </c>
      <c r="AS116" s="246">
        <f t="shared" si="206"/>
        <v>-1056941.22</v>
      </c>
      <c r="AT116" s="246">
        <f t="shared" si="206"/>
        <v>-1290064.29</v>
      </c>
      <c r="AU116" s="246">
        <f t="shared" si="206"/>
        <v>0</v>
      </c>
      <c r="AV116" s="246">
        <f t="shared" si="206"/>
        <v>0</v>
      </c>
      <c r="AW116" s="246">
        <f t="shared" si="206"/>
        <v>0</v>
      </c>
      <c r="AX116" s="246">
        <f t="shared" si="206"/>
        <v>0</v>
      </c>
      <c r="AY116" s="246">
        <f t="shared" si="206"/>
        <v>0</v>
      </c>
      <c r="AZ116" s="246">
        <f t="shared" si="206"/>
        <v>0</v>
      </c>
      <c r="BA116" s="246">
        <f t="shared" si="206"/>
        <v>0</v>
      </c>
      <c r="BB116" s="246">
        <f t="shared" si="206"/>
        <v>0</v>
      </c>
      <c r="BC116" s="246">
        <f t="shared" si="206"/>
        <v>0</v>
      </c>
      <c r="BD116" s="246">
        <f t="shared" si="206"/>
        <v>0</v>
      </c>
      <c r="BE116" s="26"/>
      <c r="BF116" s="26" t="s">
        <v>47</v>
      </c>
      <c r="BG116" s="26" t="str">
        <f t="shared" si="198"/>
        <v>Finance Net Debt</v>
      </c>
      <c r="BH116" s="195">
        <f t="shared" si="194"/>
        <v>-1290064.29</v>
      </c>
      <c r="BI116" s="195">
        <f t="shared" si="195"/>
        <v>0</v>
      </c>
      <c r="BJ116" s="195">
        <f t="shared" si="196"/>
        <v>0</v>
      </c>
      <c r="BK116" s="304">
        <f t="shared" si="197"/>
        <v>0</v>
      </c>
      <c r="BL116" s="195">
        <f ca="1">IF(BF116="EoP",OFFSET(AR116,0,MONTH('2024 Control'!$C$4)-1),SUM(AR116:OFFSET(AR116,0,MONTH('2024 Control'!$C$4)-1))/IF(BF116="Sum",1,MONTH('2024 Control'!$C$4)))</f>
        <v>0</v>
      </c>
      <c r="BM116" s="304">
        <f t="shared" si="155"/>
        <v>-1344652.29</v>
      </c>
    </row>
    <row r="117" spans="2:65">
      <c r="B117" s="26" t="s">
        <v>4</v>
      </c>
      <c r="C117" s="26" t="s">
        <v>223</v>
      </c>
      <c r="D117" s="204" t="str">
        <f t="shared" si="199"/>
        <v>Finance Total Headcount</v>
      </c>
      <c r="E117" s="26" t="s">
        <v>262</v>
      </c>
      <c r="F117" s="183" t="s">
        <v>247</v>
      </c>
      <c r="G117" s="183" t="s">
        <v>4</v>
      </c>
      <c r="H117" s="193">
        <f t="shared" ref="H117:M117" si="207">SUM(H118:H119)</f>
        <v>42</v>
      </c>
      <c r="I117" s="193">
        <f t="shared" si="207"/>
        <v>46</v>
      </c>
      <c r="J117" s="193">
        <f t="shared" si="207"/>
        <v>48</v>
      </c>
      <c r="K117" s="193">
        <f t="shared" si="207"/>
        <v>47</v>
      </c>
      <c r="L117" s="193">
        <f t="shared" si="207"/>
        <v>48</v>
      </c>
      <c r="M117" s="193">
        <f t="shared" si="207"/>
        <v>52</v>
      </c>
      <c r="N117" s="195">
        <f t="shared" ref="N117:AP117" si="208">SUM(N118:N119)</f>
        <v>56</v>
      </c>
      <c r="O117" s="195">
        <f t="shared" si="208"/>
        <v>54</v>
      </c>
      <c r="P117" s="195">
        <f t="shared" si="208"/>
        <v>57</v>
      </c>
      <c r="Q117" s="195">
        <f t="shared" si="208"/>
        <v>63</v>
      </c>
      <c r="R117" s="195">
        <f t="shared" ref="R117:AE117" si="209">SUM(R118:R119)</f>
        <v>0</v>
      </c>
      <c r="S117" s="195">
        <f t="shared" si="209"/>
        <v>0</v>
      </c>
      <c r="T117" s="195">
        <f t="shared" si="209"/>
        <v>0</v>
      </c>
      <c r="U117" s="195">
        <f t="shared" si="209"/>
        <v>0</v>
      </c>
      <c r="V117" s="195">
        <f t="shared" si="209"/>
        <v>0</v>
      </c>
      <c r="W117" s="195">
        <f t="shared" si="209"/>
        <v>0</v>
      </c>
      <c r="X117" s="195">
        <f t="shared" si="209"/>
        <v>0</v>
      </c>
      <c r="Y117" s="195">
        <f t="shared" si="209"/>
        <v>0</v>
      </c>
      <c r="Z117" s="195">
        <f t="shared" si="209"/>
        <v>0</v>
      </c>
      <c r="AA117" s="195">
        <f t="shared" si="209"/>
        <v>0</v>
      </c>
      <c r="AB117" s="195">
        <f t="shared" si="209"/>
        <v>0</v>
      </c>
      <c r="AC117" s="195">
        <f t="shared" si="209"/>
        <v>0</v>
      </c>
      <c r="AD117" s="195">
        <f t="shared" si="209"/>
        <v>0</v>
      </c>
      <c r="AE117" s="195">
        <f t="shared" si="209"/>
        <v>0</v>
      </c>
      <c r="AF117" s="195">
        <f t="shared" si="208"/>
        <v>71</v>
      </c>
      <c r="AG117" s="195">
        <f t="shared" si="208"/>
        <v>75</v>
      </c>
      <c r="AH117" s="195">
        <f t="shared" si="208"/>
        <v>74</v>
      </c>
      <c r="AI117" s="195">
        <f t="shared" si="208"/>
        <v>72</v>
      </c>
      <c r="AJ117" s="195">
        <f t="shared" si="208"/>
        <v>67</v>
      </c>
      <c r="AK117" s="195">
        <f t="shared" si="208"/>
        <v>67</v>
      </c>
      <c r="AL117" s="195">
        <f t="shared" si="208"/>
        <v>65</v>
      </c>
      <c r="AM117" s="195">
        <f t="shared" si="208"/>
        <v>66</v>
      </c>
      <c r="AN117" s="195">
        <f t="shared" si="208"/>
        <v>64</v>
      </c>
      <c r="AO117" s="195">
        <f t="shared" si="208"/>
        <v>63</v>
      </c>
      <c r="AP117" s="195">
        <f t="shared" si="208"/>
        <v>57</v>
      </c>
      <c r="AQ117" s="195">
        <f t="shared" ref="AQ117:BD117" si="210">SUM(AQ118:AQ119)</f>
        <v>59</v>
      </c>
      <c r="AR117" s="195">
        <f t="shared" si="210"/>
        <v>58</v>
      </c>
      <c r="AS117" s="195">
        <f t="shared" si="210"/>
        <v>58</v>
      </c>
      <c r="AT117" s="195">
        <f t="shared" si="210"/>
        <v>46</v>
      </c>
      <c r="AU117" s="195">
        <f t="shared" si="210"/>
        <v>0</v>
      </c>
      <c r="AV117" s="195">
        <f t="shared" si="210"/>
        <v>0</v>
      </c>
      <c r="AW117" s="195">
        <f t="shared" si="210"/>
        <v>0</v>
      </c>
      <c r="AX117" s="195">
        <f t="shared" si="210"/>
        <v>0</v>
      </c>
      <c r="AY117" s="195">
        <f t="shared" si="210"/>
        <v>0</v>
      </c>
      <c r="AZ117" s="195">
        <f t="shared" si="210"/>
        <v>0</v>
      </c>
      <c r="BA117" s="195">
        <f t="shared" si="210"/>
        <v>0</v>
      </c>
      <c r="BB117" s="195">
        <f t="shared" si="210"/>
        <v>0</v>
      </c>
      <c r="BC117" s="195">
        <f t="shared" si="210"/>
        <v>0</v>
      </c>
      <c r="BD117" s="195">
        <f t="shared" si="210"/>
        <v>0</v>
      </c>
      <c r="BE117" s="26"/>
      <c r="BF117" s="26" t="s">
        <v>47</v>
      </c>
      <c r="BG117" s="26" t="str">
        <f t="shared" si="198"/>
        <v>Finance Total Headcount</v>
      </c>
      <c r="BH117" s="195">
        <f t="shared" si="194"/>
        <v>46</v>
      </c>
      <c r="BI117" s="195">
        <f t="shared" si="195"/>
        <v>0</v>
      </c>
      <c r="BJ117" s="195">
        <f t="shared" si="196"/>
        <v>0</v>
      </c>
      <c r="BK117" s="304">
        <f t="shared" si="197"/>
        <v>0</v>
      </c>
      <c r="BL117" s="195">
        <f ca="1">IF(BF117="EoP",OFFSET(AR117,0,MONTH('2024 Control'!$C$4)-1),SUM(AR117:OFFSET(AR117,0,MONTH('2024 Control'!$C$4)-1))/IF(BF117="Sum",1,MONTH('2024 Control'!$C$4)))</f>
        <v>0</v>
      </c>
      <c r="BM117" s="304">
        <f t="shared" si="155"/>
        <v>58</v>
      </c>
    </row>
    <row r="118" spans="2:65">
      <c r="B118" s="26" t="s">
        <v>4</v>
      </c>
      <c r="C118" s="26" t="s">
        <v>223</v>
      </c>
      <c r="D118" s="204" t="str">
        <f t="shared" si="199"/>
        <v>Finance Employees</v>
      </c>
      <c r="E118" s="26" t="s">
        <v>224</v>
      </c>
      <c r="F118" s="183" t="s">
        <v>247</v>
      </c>
      <c r="G118" s="183" t="s">
        <v>4</v>
      </c>
      <c r="H118" s="160">
        <v>37</v>
      </c>
      <c r="I118" s="191">
        <v>39</v>
      </c>
      <c r="J118" s="191">
        <v>41</v>
      </c>
      <c r="K118" s="191">
        <v>40</v>
      </c>
      <c r="L118" s="191">
        <v>41</v>
      </c>
      <c r="M118" s="191">
        <v>43</v>
      </c>
      <c r="N118" s="191">
        <v>45</v>
      </c>
      <c r="O118" s="191">
        <v>42</v>
      </c>
      <c r="P118" s="191">
        <v>46</v>
      </c>
      <c r="Q118" s="191">
        <v>48</v>
      </c>
      <c r="R118" s="191"/>
      <c r="S118" s="191"/>
      <c r="T118" s="191"/>
      <c r="U118" s="191"/>
      <c r="V118" s="191"/>
      <c r="W118" s="191"/>
      <c r="X118" s="191"/>
      <c r="Y118" s="191"/>
      <c r="Z118" s="191"/>
      <c r="AA118" s="191"/>
      <c r="AB118" s="191"/>
      <c r="AC118" s="191"/>
      <c r="AD118" s="191"/>
      <c r="AE118" s="191"/>
      <c r="AF118" s="191">
        <v>47</v>
      </c>
      <c r="AG118" s="191">
        <v>49</v>
      </c>
      <c r="AH118" s="160">
        <v>49</v>
      </c>
      <c r="AI118" s="191">
        <v>47</v>
      </c>
      <c r="AJ118" s="191">
        <v>44</v>
      </c>
      <c r="AK118" s="191">
        <v>44</v>
      </c>
      <c r="AL118" s="191">
        <v>42</v>
      </c>
      <c r="AM118" s="191">
        <v>43</v>
      </c>
      <c r="AN118" s="191">
        <v>41</v>
      </c>
      <c r="AO118" s="191">
        <v>41</v>
      </c>
      <c r="AP118" s="191">
        <v>36</v>
      </c>
      <c r="AQ118" s="191">
        <v>38</v>
      </c>
      <c r="AR118" s="191">
        <v>37</v>
      </c>
      <c r="AS118" s="191">
        <v>37</v>
      </c>
      <c r="AT118" s="191">
        <v>24</v>
      </c>
      <c r="AU118" s="191"/>
      <c r="AV118" s="191"/>
      <c r="AW118" s="191"/>
      <c r="AX118" s="191"/>
      <c r="AY118" s="191"/>
      <c r="AZ118" s="191"/>
      <c r="BA118" s="191"/>
      <c r="BB118" s="191"/>
      <c r="BC118" s="191"/>
      <c r="BD118" s="191"/>
      <c r="BE118" s="26"/>
      <c r="BF118" s="26" t="s">
        <v>47</v>
      </c>
      <c r="BG118" s="26" t="str">
        <f t="shared" si="198"/>
        <v>Finance Employees</v>
      </c>
      <c r="BH118" s="195">
        <f t="shared" si="194"/>
        <v>24</v>
      </c>
      <c r="BI118" s="195">
        <f t="shared" si="195"/>
        <v>0</v>
      </c>
      <c r="BJ118" s="195">
        <f t="shared" si="196"/>
        <v>0</v>
      </c>
      <c r="BK118" s="304">
        <f t="shared" si="197"/>
        <v>0</v>
      </c>
      <c r="BL118" s="195">
        <f ca="1">IF(BF118="EoP",OFFSET(AR118,0,MONTH('2024 Control'!$C$4)-1),SUM(AR118:OFFSET(AR118,0,MONTH('2024 Control'!$C$4)-1))/IF(BF118="Sum",1,MONTH('2024 Control'!$C$4)))</f>
        <v>0</v>
      </c>
      <c r="BM118" s="304">
        <f t="shared" si="155"/>
        <v>37</v>
      </c>
    </row>
    <row r="119" spans="2:65">
      <c r="B119" s="26" t="s">
        <v>4</v>
      </c>
      <c r="C119" s="26" t="s">
        <v>223</v>
      </c>
      <c r="D119" s="204" t="str">
        <f t="shared" si="199"/>
        <v>Finance VeArc</v>
      </c>
      <c r="E119" s="26" t="s">
        <v>225</v>
      </c>
      <c r="F119" s="183" t="s">
        <v>247</v>
      </c>
      <c r="G119" s="183" t="s">
        <v>4</v>
      </c>
      <c r="H119" s="160">
        <v>5</v>
      </c>
      <c r="I119" s="191">
        <v>7</v>
      </c>
      <c r="J119" s="191">
        <v>7</v>
      </c>
      <c r="K119" s="191">
        <v>7</v>
      </c>
      <c r="L119" s="191">
        <v>7</v>
      </c>
      <c r="M119" s="191">
        <v>9</v>
      </c>
      <c r="N119" s="191">
        <v>11</v>
      </c>
      <c r="O119" s="191">
        <v>12</v>
      </c>
      <c r="P119" s="191">
        <v>11</v>
      </c>
      <c r="Q119" s="191">
        <v>15</v>
      </c>
      <c r="R119" s="191"/>
      <c r="S119" s="191"/>
      <c r="T119" s="191"/>
      <c r="U119" s="191"/>
      <c r="V119" s="191"/>
      <c r="W119" s="191"/>
      <c r="X119" s="191"/>
      <c r="Y119" s="191"/>
      <c r="Z119" s="191"/>
      <c r="AA119" s="191"/>
      <c r="AB119" s="191"/>
      <c r="AC119" s="191"/>
      <c r="AD119" s="191"/>
      <c r="AE119" s="191"/>
      <c r="AF119" s="191">
        <v>24</v>
      </c>
      <c r="AG119" s="191">
        <v>26</v>
      </c>
      <c r="AH119" s="160">
        <v>25</v>
      </c>
      <c r="AI119" s="191">
        <v>25</v>
      </c>
      <c r="AJ119" s="191">
        <v>23</v>
      </c>
      <c r="AK119" s="191">
        <v>23</v>
      </c>
      <c r="AL119" s="191">
        <v>23</v>
      </c>
      <c r="AM119" s="191">
        <v>23</v>
      </c>
      <c r="AN119" s="191">
        <v>23</v>
      </c>
      <c r="AO119" s="191">
        <v>22</v>
      </c>
      <c r="AP119" s="191">
        <v>21</v>
      </c>
      <c r="AQ119" s="191">
        <v>21</v>
      </c>
      <c r="AR119" s="191">
        <v>21</v>
      </c>
      <c r="AS119" s="191">
        <v>21</v>
      </c>
      <c r="AT119" s="191">
        <v>22</v>
      </c>
      <c r="AU119" s="191"/>
      <c r="AV119" s="191"/>
      <c r="AW119" s="191"/>
      <c r="AX119" s="191"/>
      <c r="AY119" s="191"/>
      <c r="AZ119" s="191"/>
      <c r="BA119" s="191"/>
      <c r="BB119" s="191"/>
      <c r="BC119" s="191"/>
      <c r="BD119" s="191"/>
      <c r="BE119" s="26"/>
      <c r="BF119" s="26" t="s">
        <v>47</v>
      </c>
      <c r="BG119" s="26" t="str">
        <f t="shared" si="198"/>
        <v>Finance VeArc</v>
      </c>
      <c r="BH119" s="195">
        <f t="shared" si="194"/>
        <v>22</v>
      </c>
      <c r="BI119" s="195">
        <f t="shared" si="195"/>
        <v>0</v>
      </c>
      <c r="BJ119" s="195">
        <f t="shared" si="196"/>
        <v>0</v>
      </c>
      <c r="BK119" s="304">
        <f t="shared" si="197"/>
        <v>0</v>
      </c>
      <c r="BL119" s="195">
        <f ca="1">IF(BF119="EoP",OFFSET(AR119,0,MONTH('2024 Control'!$C$4)-1),SUM(AR119:OFFSET(AR119,0,MONTH('2024 Control'!$C$4)-1))/IF(BF119="Sum",1,MONTH('2024 Control'!$C$4)))</f>
        <v>0</v>
      </c>
      <c r="BM119" s="304">
        <f t="shared" si="155"/>
        <v>21</v>
      </c>
    </row>
    <row r="120" spans="2:65">
      <c r="B120" s="26" t="s">
        <v>4</v>
      </c>
      <c r="C120" s="26" t="s">
        <v>223</v>
      </c>
      <c r="D120" s="204" t="str">
        <f t="shared" si="199"/>
        <v>Finance 3rd Party Providers</v>
      </c>
      <c r="E120" s="26" t="s">
        <v>226</v>
      </c>
      <c r="F120" s="183" t="s">
        <v>247</v>
      </c>
      <c r="G120" s="183" t="s">
        <v>4</v>
      </c>
      <c r="H120" s="255">
        <v>0</v>
      </c>
      <c r="I120" s="226">
        <v>0</v>
      </c>
      <c r="J120" s="191">
        <v>0</v>
      </c>
      <c r="K120" s="191">
        <v>0</v>
      </c>
      <c r="L120" s="191">
        <v>1</v>
      </c>
      <c r="M120" s="191">
        <v>2</v>
      </c>
      <c r="N120" s="191">
        <v>2</v>
      </c>
      <c r="O120" s="191">
        <v>3</v>
      </c>
      <c r="P120" s="191">
        <v>3</v>
      </c>
      <c r="Q120" s="191">
        <v>3</v>
      </c>
      <c r="R120" s="191"/>
      <c r="S120" s="191"/>
      <c r="T120" s="191"/>
      <c r="U120" s="191"/>
      <c r="V120" s="191"/>
      <c r="W120" s="191"/>
      <c r="X120" s="191"/>
      <c r="Y120" s="191"/>
      <c r="Z120" s="191"/>
      <c r="AA120" s="191"/>
      <c r="AB120" s="191"/>
      <c r="AC120" s="191"/>
      <c r="AD120" s="191"/>
      <c r="AE120" s="191"/>
      <c r="AF120" s="191"/>
      <c r="AG120" s="191"/>
      <c r="AH120" s="191"/>
      <c r="AI120" s="226"/>
      <c r="AJ120" s="191"/>
      <c r="AK120" s="191"/>
      <c r="AL120" s="191"/>
      <c r="AM120" s="191"/>
      <c r="AN120" s="191"/>
      <c r="AO120" s="191"/>
      <c r="AP120" s="191"/>
      <c r="AQ120" s="191"/>
      <c r="AR120" s="191"/>
      <c r="AS120" s="191"/>
      <c r="AT120" s="191"/>
      <c r="AU120" s="191"/>
      <c r="AV120" s="191"/>
      <c r="AW120" s="191"/>
      <c r="AX120" s="191"/>
      <c r="AY120" s="191"/>
      <c r="AZ120" s="191"/>
      <c r="BA120" s="191"/>
      <c r="BB120" s="191"/>
      <c r="BC120" s="191"/>
      <c r="BD120" s="191"/>
      <c r="BE120" s="26"/>
      <c r="BF120" s="26" t="s">
        <v>47</v>
      </c>
      <c r="BG120" s="26" t="str">
        <f t="shared" si="198"/>
        <v>Finance 3rd Party Providers</v>
      </c>
      <c r="BH120" s="195">
        <f t="shared" si="194"/>
        <v>0</v>
      </c>
      <c r="BI120" s="195">
        <f t="shared" si="195"/>
        <v>0</v>
      </c>
      <c r="BJ120" s="195">
        <f t="shared" si="196"/>
        <v>0</v>
      </c>
      <c r="BK120" s="304">
        <f t="shared" si="197"/>
        <v>0</v>
      </c>
      <c r="BL120" s="195">
        <f ca="1">IF(BF120="EoP",OFFSET(AR120,0,MONTH('2024 Control'!$C$4)-1),SUM(AR120:OFFSET(AR120,0,MONTH('2024 Control'!$C$4)-1))/IF(BF120="Sum",1,MONTH('2024 Control'!$C$4)))</f>
        <v>0</v>
      </c>
      <c r="BM120" s="304">
        <f t="shared" si="155"/>
        <v>0</v>
      </c>
    </row>
    <row r="121" spans="2:65">
      <c r="B121" s="26" t="s">
        <v>4</v>
      </c>
      <c r="C121" s="26" t="s">
        <v>227</v>
      </c>
      <c r="D121" s="204" t="str">
        <f t="shared" si="199"/>
        <v>Finance Avg. Personnel Cost per Squad</v>
      </c>
      <c r="E121" s="26" t="s">
        <v>62</v>
      </c>
      <c r="F121" s="183" t="s">
        <v>253</v>
      </c>
      <c r="G121" s="183" t="s">
        <v>4</v>
      </c>
      <c r="H121" s="246">
        <f t="shared" ref="H121:AG121" si="211">H15</f>
        <v>69121.714999999997</v>
      </c>
      <c r="I121" s="246">
        <f t="shared" si="211"/>
        <v>72497.695000000007</v>
      </c>
      <c r="J121" s="246">
        <f t="shared" si="211"/>
        <v>74103.684999999998</v>
      </c>
      <c r="K121" s="246">
        <f t="shared" si="211"/>
        <v>72135.81</v>
      </c>
      <c r="L121" s="246">
        <f t="shared" si="211"/>
        <v>70305.679999999993</v>
      </c>
      <c r="M121" s="246">
        <f t="shared" si="211"/>
        <v>77211.37</v>
      </c>
      <c r="N121" s="246">
        <f t="shared" si="211"/>
        <v>57329.25</v>
      </c>
      <c r="O121" s="246">
        <f t="shared" si="211"/>
        <v>59369.04</v>
      </c>
      <c r="P121" s="246">
        <f t="shared" si="211"/>
        <v>56274.559999999998</v>
      </c>
      <c r="Q121" s="246">
        <f t="shared" si="211"/>
        <v>61662.713333333326</v>
      </c>
      <c r="R121" s="246">
        <f t="shared" ref="R121:AE121" si="212">R15</f>
        <v>0</v>
      </c>
      <c r="S121" s="246">
        <f t="shared" si="212"/>
        <v>0</v>
      </c>
      <c r="T121" s="246">
        <f t="shared" si="212"/>
        <v>0</v>
      </c>
      <c r="U121" s="246">
        <f t="shared" si="212"/>
        <v>0</v>
      </c>
      <c r="V121" s="246">
        <f t="shared" si="212"/>
        <v>0</v>
      </c>
      <c r="W121" s="246">
        <f t="shared" si="212"/>
        <v>0</v>
      </c>
      <c r="X121" s="246">
        <f t="shared" si="212"/>
        <v>0</v>
      </c>
      <c r="Y121" s="246">
        <f t="shared" si="212"/>
        <v>0</v>
      </c>
      <c r="Z121" s="246">
        <f t="shared" si="212"/>
        <v>0</v>
      </c>
      <c r="AA121" s="246">
        <f t="shared" si="212"/>
        <v>0</v>
      </c>
      <c r="AB121" s="246">
        <f t="shared" si="212"/>
        <v>0</v>
      </c>
      <c r="AC121" s="246">
        <f t="shared" si="212"/>
        <v>0</v>
      </c>
      <c r="AD121" s="246">
        <f t="shared" si="212"/>
        <v>0</v>
      </c>
      <c r="AE121" s="246">
        <f t="shared" si="212"/>
        <v>0</v>
      </c>
      <c r="AF121" s="246">
        <f t="shared" si="211"/>
        <v>75495.760000000009</v>
      </c>
      <c r="AG121" s="246">
        <f t="shared" si="211"/>
        <v>75135.530933333343</v>
      </c>
      <c r="AH121" s="246">
        <f t="shared" ref="AH121:AI121" si="213">AH15</f>
        <v>75845.786242666669</v>
      </c>
      <c r="AI121" s="358">
        <f t="shared" si="213"/>
        <v>78563.604105093342</v>
      </c>
      <c r="AJ121" s="284">
        <f t="shared" ref="AJ121:AK121" si="214">AJ15</f>
        <v>78607.396812810926</v>
      </c>
      <c r="AK121" s="284">
        <f t="shared" si="214"/>
        <v>78757.244114272369</v>
      </c>
      <c r="AL121" s="284">
        <f t="shared" ref="AL121:AM121" si="215">AL15</f>
        <v>121684.83983312265</v>
      </c>
      <c r="AM121" s="284">
        <f t="shared" si="215"/>
        <v>121424.63823145388</v>
      </c>
      <c r="AN121" s="284">
        <f t="shared" ref="AN121:AP121" si="216">AN15</f>
        <v>123465.38461376843</v>
      </c>
      <c r="AO121" s="284">
        <f t="shared" si="216"/>
        <v>125551.7034599061</v>
      </c>
      <c r="AP121" s="284">
        <f t="shared" si="216"/>
        <v>125683.22049450516</v>
      </c>
      <c r="AQ121" s="284">
        <f>AQ15</f>
        <v>127811.37269945021</v>
      </c>
      <c r="AR121" s="284">
        <f t="shared" ref="AR121:BD121" si="217">AR15</f>
        <v>82492.058884296479</v>
      </c>
      <c r="AS121" s="284">
        <f t="shared" si="217"/>
        <v>84530.011273139447</v>
      </c>
      <c r="AT121" s="284">
        <f t="shared" si="217"/>
        <v>86948.846185870832</v>
      </c>
      <c r="AU121" s="284">
        <f t="shared" si="217"/>
        <v>0</v>
      </c>
      <c r="AV121" s="284">
        <f t="shared" si="217"/>
        <v>0</v>
      </c>
      <c r="AW121" s="284">
        <f t="shared" si="217"/>
        <v>0</v>
      </c>
      <c r="AX121" s="284">
        <f t="shared" si="217"/>
        <v>0</v>
      </c>
      <c r="AY121" s="284">
        <f t="shared" si="217"/>
        <v>0</v>
      </c>
      <c r="AZ121" s="284">
        <f t="shared" si="217"/>
        <v>0</v>
      </c>
      <c r="BA121" s="284">
        <f t="shared" si="217"/>
        <v>0</v>
      </c>
      <c r="BB121" s="284">
        <f t="shared" si="217"/>
        <v>0</v>
      </c>
      <c r="BC121" s="284">
        <f t="shared" si="217"/>
        <v>0</v>
      </c>
      <c r="BD121" s="284">
        <f t="shared" si="217"/>
        <v>0</v>
      </c>
      <c r="BE121" s="26"/>
      <c r="BF121" s="26" t="s">
        <v>249</v>
      </c>
      <c r="BG121" s="26" t="str">
        <f t="shared" si="198"/>
        <v>Finance Avg. Personnel Cost per Squad</v>
      </c>
      <c r="BH121" s="195">
        <f t="shared" si="194"/>
        <v>84656.972114435586</v>
      </c>
      <c r="BI121" s="195">
        <f t="shared" si="195"/>
        <v>0</v>
      </c>
      <c r="BJ121" s="195">
        <f t="shared" si="196"/>
        <v>0</v>
      </c>
      <c r="BK121" s="304">
        <f t="shared" si="197"/>
        <v>0</v>
      </c>
      <c r="BL121" s="195">
        <f ca="1">IF(BF121="EoP",OFFSET(AR121,0,MONTH('2024 Control'!$C$4)-1),SUM(AR121:OFFSET(AR121,0,MONTH('2024 Control'!$C$4)-1))/IF(BF121="Sum",1,MONTH('2024 Control'!$C$4)))</f>
        <v>21164.243028608897</v>
      </c>
      <c r="BM121" s="304">
        <f t="shared" si="155"/>
        <v>101251.89836872328</v>
      </c>
    </row>
    <row r="122" spans="2:65">
      <c r="B122" s="26" t="s">
        <v>4</v>
      </c>
      <c r="C122" s="26" t="s">
        <v>227</v>
      </c>
      <c r="D122" s="204" t="str">
        <f t="shared" si="199"/>
        <v>Finance P&amp;T Overhead</v>
      </c>
      <c r="E122" s="26" t="s">
        <v>64</v>
      </c>
      <c r="F122" s="183" t="s">
        <v>253</v>
      </c>
      <c r="G122" s="183" t="s">
        <v>4</v>
      </c>
      <c r="H122" s="246">
        <f t="shared" ref="H122:AG122" si="218">H16</f>
        <v>3540.88</v>
      </c>
      <c r="I122" s="246">
        <f t="shared" si="218"/>
        <v>12655.84</v>
      </c>
      <c r="J122" s="246">
        <f t="shared" si="218"/>
        <v>5571.2300000000005</v>
      </c>
      <c r="K122" s="246">
        <f t="shared" si="218"/>
        <v>3952.25</v>
      </c>
      <c r="L122" s="246">
        <f t="shared" si="218"/>
        <v>7151.77</v>
      </c>
      <c r="M122" s="246">
        <f t="shared" si="218"/>
        <v>3481.27</v>
      </c>
      <c r="N122" s="246">
        <f t="shared" si="218"/>
        <v>28391.06</v>
      </c>
      <c r="O122" s="246">
        <f t="shared" si="218"/>
        <v>3604.27</v>
      </c>
      <c r="P122" s="246">
        <f t="shared" si="218"/>
        <v>4818.01</v>
      </c>
      <c r="Q122" s="246">
        <f t="shared" si="218"/>
        <v>7809.3</v>
      </c>
      <c r="R122" s="246">
        <f t="shared" ref="R122:AE122" si="219">R16</f>
        <v>0</v>
      </c>
      <c r="S122" s="246">
        <f t="shared" si="219"/>
        <v>0</v>
      </c>
      <c r="T122" s="246">
        <f t="shared" si="219"/>
        <v>0</v>
      </c>
      <c r="U122" s="246">
        <f t="shared" si="219"/>
        <v>0</v>
      </c>
      <c r="V122" s="246">
        <f t="shared" si="219"/>
        <v>0</v>
      </c>
      <c r="W122" s="246">
        <f t="shared" si="219"/>
        <v>0</v>
      </c>
      <c r="X122" s="246">
        <f t="shared" si="219"/>
        <v>0</v>
      </c>
      <c r="Y122" s="246">
        <f t="shared" si="219"/>
        <v>0</v>
      </c>
      <c r="Z122" s="246">
        <f t="shared" si="219"/>
        <v>0</v>
      </c>
      <c r="AA122" s="246">
        <f t="shared" si="219"/>
        <v>0</v>
      </c>
      <c r="AB122" s="246">
        <f t="shared" si="219"/>
        <v>0</v>
      </c>
      <c r="AC122" s="246">
        <f t="shared" si="219"/>
        <v>0</v>
      </c>
      <c r="AD122" s="246">
        <f t="shared" si="219"/>
        <v>0</v>
      </c>
      <c r="AE122" s="246">
        <f t="shared" si="219"/>
        <v>0</v>
      </c>
      <c r="AF122" s="246">
        <f t="shared" si="218"/>
        <v>8044</v>
      </c>
      <c r="AG122" s="246">
        <f t="shared" si="218"/>
        <v>11470</v>
      </c>
      <c r="AH122" s="246">
        <f t="shared" ref="AH122:AI122" si="220">AH16</f>
        <v>11708</v>
      </c>
      <c r="AI122" s="358">
        <f t="shared" si="220"/>
        <v>5947</v>
      </c>
      <c r="AJ122" s="284">
        <f t="shared" ref="AJ122:AK122" si="221">AJ16</f>
        <v>8232</v>
      </c>
      <c r="AK122" s="284">
        <f t="shared" si="221"/>
        <v>10223</v>
      </c>
      <c r="AL122" s="284">
        <f t="shared" ref="AL122:AM122" si="222">AL16</f>
        <v>5590</v>
      </c>
      <c r="AM122" s="284">
        <f t="shared" si="222"/>
        <v>8600</v>
      </c>
      <c r="AN122" s="284">
        <f t="shared" ref="AN122:AP122" si="223">AN16</f>
        <v>7033</v>
      </c>
      <c r="AO122" s="284">
        <f t="shared" si="223"/>
        <v>5400</v>
      </c>
      <c r="AP122" s="284">
        <f t="shared" si="223"/>
        <v>7702</v>
      </c>
      <c r="AQ122" s="284">
        <f t="shared" ref="AQ122:BD122" si="224">AQ16</f>
        <v>6036.38</v>
      </c>
      <c r="AR122" s="284">
        <f t="shared" si="224"/>
        <v>16799.54</v>
      </c>
      <c r="AS122" s="284">
        <f t="shared" si="224"/>
        <v>13328.44</v>
      </c>
      <c r="AT122" s="284">
        <f t="shared" si="224"/>
        <v>8741.1200000000008</v>
      </c>
      <c r="AU122" s="284">
        <f t="shared" si="224"/>
        <v>0</v>
      </c>
      <c r="AV122" s="284">
        <f t="shared" si="224"/>
        <v>0</v>
      </c>
      <c r="AW122" s="284">
        <f t="shared" si="224"/>
        <v>0</v>
      </c>
      <c r="AX122" s="284">
        <f t="shared" si="224"/>
        <v>0</v>
      </c>
      <c r="AY122" s="284">
        <f t="shared" si="224"/>
        <v>0</v>
      </c>
      <c r="AZ122" s="284">
        <f t="shared" si="224"/>
        <v>0</v>
      </c>
      <c r="BA122" s="284">
        <f t="shared" si="224"/>
        <v>0</v>
      </c>
      <c r="BB122" s="284">
        <f t="shared" si="224"/>
        <v>0</v>
      </c>
      <c r="BC122" s="284">
        <f t="shared" si="224"/>
        <v>0</v>
      </c>
      <c r="BD122" s="284">
        <f t="shared" si="224"/>
        <v>0</v>
      </c>
      <c r="BE122" s="26"/>
      <c r="BF122" s="188" t="s">
        <v>250</v>
      </c>
      <c r="BG122" s="26" t="str">
        <f t="shared" si="198"/>
        <v>Finance P&amp;T Overhead</v>
      </c>
      <c r="BH122" s="195">
        <f t="shared" si="194"/>
        <v>38869.100000000006</v>
      </c>
      <c r="BI122" s="195">
        <f t="shared" si="195"/>
        <v>0</v>
      </c>
      <c r="BJ122" s="195">
        <f t="shared" si="196"/>
        <v>0</v>
      </c>
      <c r="BK122" s="304">
        <f t="shared" si="197"/>
        <v>0</v>
      </c>
      <c r="BL122" s="195">
        <f ca="1">IF(BF122="EoP",OFFSET(AR122,0,MONTH('2024 Control'!$C$4)-1),SUM(AR122:OFFSET(AR122,0,MONTH('2024 Control'!$C$4)-1))/IF(BF122="Sum",1,MONTH('2024 Control'!$C$4)))</f>
        <v>38869.100000000006</v>
      </c>
      <c r="BM122" s="304">
        <f t="shared" si="155"/>
        <v>104740.92000000001</v>
      </c>
    </row>
    <row r="123" spans="2:65">
      <c r="B123" s="26" t="s">
        <v>4</v>
      </c>
      <c r="C123" s="26" t="s">
        <v>227</v>
      </c>
      <c r="D123" s="204" t="str">
        <f t="shared" si="199"/>
        <v>Finance Mktg exp. per $1 ARR</v>
      </c>
      <c r="E123" s="26" t="s">
        <v>134</v>
      </c>
      <c r="F123" s="183" t="s">
        <v>253</v>
      </c>
      <c r="G123" s="183" t="s">
        <v>4</v>
      </c>
      <c r="H123" s="249">
        <f>H39</f>
        <v>1.5924885714285715</v>
      </c>
      <c r="I123" s="284" t="str">
        <f t="shared" ref="I123:J123" si="225">I39</f>
        <v>-</v>
      </c>
      <c r="J123" s="249">
        <f t="shared" si="225"/>
        <v>0.45294985074626865</v>
      </c>
      <c r="K123" s="284">
        <f t="shared" ref="K123:L123" si="226">K39</f>
        <v>6.7148207999999991</v>
      </c>
      <c r="L123" s="284" t="str">
        <f t="shared" si="226"/>
        <v>-</v>
      </c>
      <c r="M123" s="284">
        <f t="shared" ref="M123:N123" si="227">M39</f>
        <v>0.25770942317081674</v>
      </c>
      <c r="N123" s="284" t="str">
        <f t="shared" si="227"/>
        <v>-</v>
      </c>
      <c r="O123" s="284">
        <f t="shared" ref="O123:P123" si="228">O39</f>
        <v>0.15620077698793189</v>
      </c>
      <c r="P123" s="284">
        <f t="shared" si="228"/>
        <v>9.4428049999999999</v>
      </c>
      <c r="Q123" s="284" t="str">
        <f t="shared" ref="Q123:AF123" si="229">Q39</f>
        <v>-</v>
      </c>
      <c r="R123" s="284" t="str">
        <f t="shared" ref="R123:AE123" si="230">R39</f>
        <v>-</v>
      </c>
      <c r="S123" s="284" t="str">
        <f t="shared" si="230"/>
        <v>-</v>
      </c>
      <c r="T123" s="284" t="str">
        <f t="shared" si="230"/>
        <v>-</v>
      </c>
      <c r="U123" s="284" t="str">
        <f t="shared" si="230"/>
        <v>-</v>
      </c>
      <c r="V123" s="284" t="str">
        <f t="shared" si="230"/>
        <v>-</v>
      </c>
      <c r="W123" s="284" t="str">
        <f t="shared" si="230"/>
        <v>-</v>
      </c>
      <c r="X123" s="284" t="str">
        <f t="shared" si="230"/>
        <v>-</v>
      </c>
      <c r="Y123" s="284" t="str">
        <f t="shared" si="230"/>
        <v>-</v>
      </c>
      <c r="Z123" s="284" t="str">
        <f t="shared" si="230"/>
        <v>-</v>
      </c>
      <c r="AA123" s="284" t="str">
        <f t="shared" si="230"/>
        <v>-</v>
      </c>
      <c r="AB123" s="284" t="str">
        <f t="shared" si="230"/>
        <v>-</v>
      </c>
      <c r="AC123" s="284" t="str">
        <f t="shared" si="230"/>
        <v>-</v>
      </c>
      <c r="AD123" s="284" t="str">
        <f t="shared" si="230"/>
        <v>-</v>
      </c>
      <c r="AE123" s="284" t="str">
        <f t="shared" si="230"/>
        <v>-</v>
      </c>
      <c r="AF123" s="284" t="str">
        <f t="shared" si="229"/>
        <v>-</v>
      </c>
      <c r="AG123" s="284" t="str">
        <f t="shared" ref="AG123:AH123" si="231">AG39</f>
        <v>-</v>
      </c>
      <c r="AH123" s="284" t="str">
        <f t="shared" si="231"/>
        <v>-</v>
      </c>
      <c r="AI123" s="284" t="str">
        <f t="shared" ref="AI123:AJ123" si="232">AI39</f>
        <v>-</v>
      </c>
      <c r="AJ123" s="284" t="str">
        <f t="shared" si="232"/>
        <v>-</v>
      </c>
      <c r="AK123" s="284">
        <f t="shared" ref="AK123:AL123" si="233">AK39</f>
        <v>0.81408920577500377</v>
      </c>
      <c r="AL123" s="284">
        <f t="shared" si="233"/>
        <v>3.8028142024764864</v>
      </c>
      <c r="AM123" s="284">
        <f t="shared" ref="AM123:AN123" si="234">AM39</f>
        <v>0.96021058612531285</v>
      </c>
      <c r="AN123" s="284">
        <f t="shared" si="234"/>
        <v>5.1723343572616844</v>
      </c>
      <c r="AO123" s="284">
        <f t="shared" ref="AO123:AP123" si="235">AO39</f>
        <v>15.672173102502907</v>
      </c>
      <c r="AP123" s="284">
        <f t="shared" si="235"/>
        <v>10.552596555685291</v>
      </c>
      <c r="AQ123" s="284">
        <f>AQ39</f>
        <v>0.47722936662278259</v>
      </c>
      <c r="AR123" s="284" t="str">
        <f t="shared" ref="AR123:BD123" si="236">AR39</f>
        <v>-</v>
      </c>
      <c r="AS123" s="284" t="str">
        <f t="shared" si="236"/>
        <v>-</v>
      </c>
      <c r="AT123" s="284" t="str">
        <f t="shared" si="236"/>
        <v>-</v>
      </c>
      <c r="AU123" s="284" t="str">
        <f t="shared" si="236"/>
        <v>-</v>
      </c>
      <c r="AV123" s="284" t="str">
        <f t="shared" si="236"/>
        <v>-</v>
      </c>
      <c r="AW123" s="284" t="str">
        <f t="shared" si="236"/>
        <v>-</v>
      </c>
      <c r="AX123" s="284" t="str">
        <f t="shared" si="236"/>
        <v>-</v>
      </c>
      <c r="AY123" s="284" t="str">
        <f t="shared" si="236"/>
        <v>-</v>
      </c>
      <c r="AZ123" s="284" t="str">
        <f t="shared" si="236"/>
        <v>-</v>
      </c>
      <c r="BA123" s="284" t="str">
        <f t="shared" si="236"/>
        <v>-</v>
      </c>
      <c r="BB123" s="284" t="str">
        <f t="shared" si="236"/>
        <v>-</v>
      </c>
      <c r="BC123" s="284" t="str">
        <f t="shared" si="236"/>
        <v>-</v>
      </c>
      <c r="BD123" s="284" t="str">
        <f t="shared" si="236"/>
        <v>-</v>
      </c>
      <c r="BE123" s="26"/>
      <c r="BF123" s="188"/>
      <c r="BG123" s="26" t="str">
        <f t="shared" si="198"/>
        <v>Finance Mktg exp. per $1 ARR</v>
      </c>
      <c r="BH123" s="161" t="str">
        <f>BH39</f>
        <v>-</v>
      </c>
      <c r="BI123" s="161" t="str">
        <f>BI39</f>
        <v>-</v>
      </c>
      <c r="BJ123" s="161" t="str">
        <f>BJ39</f>
        <v>-</v>
      </c>
      <c r="BK123" s="208" t="str">
        <f>BK39</f>
        <v>-</v>
      </c>
      <c r="BL123" s="195">
        <f ca="1">IF(BF123="EoP",OFFSET(AH123,0,MONTH('2024 Control'!$C$4)-1),SUM(AH123:OFFSET(AH123,0,MONTH('2024 Control'!$C$4)-1))/IF(BF123="Sum",1,MONTH('2024 Control'!$C$4)))</f>
        <v>3.1209539480374553</v>
      </c>
      <c r="BM123" s="304" t="str">
        <f t="shared" si="155"/>
        <v/>
      </c>
    </row>
    <row r="124" spans="2:65">
      <c r="B124" s="26" t="s">
        <v>4</v>
      </c>
      <c r="C124" s="26" t="s">
        <v>227</v>
      </c>
      <c r="D124" s="204" t="str">
        <f t="shared" si="199"/>
        <v>Finance Sales exp. per $1 ARR</v>
      </c>
      <c r="E124" s="26" t="s">
        <v>100</v>
      </c>
      <c r="F124" s="183" t="s">
        <v>253</v>
      </c>
      <c r="G124" s="183" t="s">
        <v>4</v>
      </c>
      <c r="H124" s="249">
        <f>H67</f>
        <v>2.7599495918367345</v>
      </c>
      <c r="I124" s="284" t="str">
        <f t="shared" ref="I124:J124" si="237">I67</f>
        <v>-</v>
      </c>
      <c r="J124" s="249">
        <f t="shared" si="237"/>
        <v>2.1003974626865674</v>
      </c>
      <c r="K124" s="284">
        <f t="shared" ref="K124:L124" si="238">K67</f>
        <v>23.8097952</v>
      </c>
      <c r="L124" s="284" t="str">
        <f t="shared" si="238"/>
        <v>-</v>
      </c>
      <c r="M124" s="284">
        <f t="shared" ref="M124:N124" si="239">M67</f>
        <v>0.67990830252726042</v>
      </c>
      <c r="N124" s="284" t="str">
        <f t="shared" si="239"/>
        <v>-</v>
      </c>
      <c r="O124" s="284">
        <f t="shared" ref="O124:P124" si="240">O67</f>
        <v>0.35496666115611397</v>
      </c>
      <c r="P124" s="284">
        <f t="shared" si="240"/>
        <v>11.254523999999998</v>
      </c>
      <c r="Q124" s="284" t="str">
        <f t="shared" ref="Q124:AF124" si="241">Q67</f>
        <v>-</v>
      </c>
      <c r="R124" s="284" t="str">
        <f t="shared" ref="R124:AE124" si="242">R67</f>
        <v>-</v>
      </c>
      <c r="S124" s="284" t="str">
        <f t="shared" si="242"/>
        <v>-</v>
      </c>
      <c r="T124" s="284" t="str">
        <f t="shared" si="242"/>
        <v>-</v>
      </c>
      <c r="U124" s="284" t="str">
        <f t="shared" si="242"/>
        <v>-</v>
      </c>
      <c r="V124" s="284" t="str">
        <f t="shared" si="242"/>
        <v>-</v>
      </c>
      <c r="W124" s="284" t="str">
        <f t="shared" si="242"/>
        <v>-</v>
      </c>
      <c r="X124" s="284" t="str">
        <f t="shared" si="242"/>
        <v>-</v>
      </c>
      <c r="Y124" s="284" t="str">
        <f t="shared" si="242"/>
        <v>-</v>
      </c>
      <c r="Z124" s="284" t="str">
        <f t="shared" si="242"/>
        <v>-</v>
      </c>
      <c r="AA124" s="284" t="str">
        <f t="shared" si="242"/>
        <v>-</v>
      </c>
      <c r="AB124" s="284" t="str">
        <f t="shared" si="242"/>
        <v>-</v>
      </c>
      <c r="AC124" s="284" t="str">
        <f t="shared" si="242"/>
        <v>-</v>
      </c>
      <c r="AD124" s="284" t="str">
        <f t="shared" si="242"/>
        <v>-</v>
      </c>
      <c r="AE124" s="284" t="str">
        <f t="shared" si="242"/>
        <v>-</v>
      </c>
      <c r="AF124" s="284" t="str">
        <f t="shared" si="241"/>
        <v>-</v>
      </c>
      <c r="AG124" s="284" t="str">
        <f t="shared" ref="AG124:AH124" si="243">AG67</f>
        <v>-</v>
      </c>
      <c r="AH124" s="284" t="str">
        <f t="shared" si="243"/>
        <v>-</v>
      </c>
      <c r="AI124" s="284" t="str">
        <f t="shared" ref="AI124:AJ124" si="244">AI67</f>
        <v>-</v>
      </c>
      <c r="AJ124" s="284" t="str">
        <f t="shared" si="244"/>
        <v>-</v>
      </c>
      <c r="AK124" s="284">
        <f t="shared" ref="AK124:AM124" si="245">AK67</f>
        <v>0.53669345311846994</v>
      </c>
      <c r="AL124" s="284">
        <f t="shared" si="245"/>
        <v>2.5070292928796527</v>
      </c>
      <c r="AM124" s="284">
        <f t="shared" si="245"/>
        <v>0.63302489645211235</v>
      </c>
      <c r="AN124" s="284">
        <f t="shared" ref="AN124:AP124" si="246">AN67</f>
        <v>3.4098941088887122</v>
      </c>
      <c r="AO124" s="284">
        <f t="shared" si="246"/>
        <v>10.331979149932797</v>
      </c>
      <c r="AP124" s="284">
        <f t="shared" si="246"/>
        <v>6.9568659609547492</v>
      </c>
      <c r="AQ124" s="284">
        <f t="shared" ref="AQ124:BD124" si="247">AQ67</f>
        <v>0.31461647554765509</v>
      </c>
      <c r="AR124" s="284" t="str">
        <f t="shared" si="247"/>
        <v>-</v>
      </c>
      <c r="AS124" s="284" t="str">
        <f t="shared" si="247"/>
        <v>-</v>
      </c>
      <c r="AT124" s="284" t="str">
        <f t="shared" si="247"/>
        <v>-</v>
      </c>
      <c r="AU124" s="284" t="str">
        <f t="shared" si="247"/>
        <v>-</v>
      </c>
      <c r="AV124" s="284" t="str">
        <f t="shared" si="247"/>
        <v>-</v>
      </c>
      <c r="AW124" s="284" t="str">
        <f t="shared" si="247"/>
        <v>-</v>
      </c>
      <c r="AX124" s="284" t="str">
        <f t="shared" si="247"/>
        <v>-</v>
      </c>
      <c r="AY124" s="284" t="str">
        <f t="shared" si="247"/>
        <v>-</v>
      </c>
      <c r="AZ124" s="284" t="str">
        <f t="shared" si="247"/>
        <v>-</v>
      </c>
      <c r="BA124" s="284" t="str">
        <f t="shared" si="247"/>
        <v>-</v>
      </c>
      <c r="BB124" s="284" t="str">
        <f t="shared" si="247"/>
        <v>-</v>
      </c>
      <c r="BC124" s="284" t="str">
        <f t="shared" si="247"/>
        <v>-</v>
      </c>
      <c r="BD124" s="284" t="str">
        <f t="shared" si="247"/>
        <v>-</v>
      </c>
      <c r="BE124" s="26"/>
      <c r="BF124" s="188"/>
      <c r="BG124" s="26" t="str">
        <f t="shared" si="198"/>
        <v>Finance Sales exp. per $1 ARR</v>
      </c>
      <c r="BH124" s="161" t="str">
        <f>BH67</f>
        <v>-</v>
      </c>
      <c r="BI124" s="161" t="str">
        <f>BI67</f>
        <v>-</v>
      </c>
      <c r="BJ124" s="161" t="str">
        <f>BJ67</f>
        <v>-</v>
      </c>
      <c r="BK124" s="208" t="str">
        <f>BK67</f>
        <v>-</v>
      </c>
      <c r="BL124" s="195">
        <f ca="1">IF(BF124="EoP",OFFSET(AH124,0,MONTH('2024 Control'!$C$4)-1),SUM(AH124:OFFSET(AH124,0,MONTH('2024 Control'!$C$4)-1))/IF(BF124="Sum",1,MONTH('2024 Control'!$C$4)))</f>
        <v>2.0575086114811794</v>
      </c>
      <c r="BM124" s="304" t="str">
        <f t="shared" si="155"/>
        <v/>
      </c>
    </row>
    <row r="125" spans="2:65">
      <c r="B125" s="26" t="s">
        <v>4</v>
      </c>
      <c r="C125" s="26" t="s">
        <v>227</v>
      </c>
      <c r="D125" s="204" t="str">
        <f t="shared" si="199"/>
        <v>Finance C.S. exp. per $1 ARR</v>
      </c>
      <c r="E125" s="26" t="s">
        <v>197</v>
      </c>
      <c r="F125" s="183" t="s">
        <v>253</v>
      </c>
      <c r="G125" s="183" t="s">
        <v>4</v>
      </c>
      <c r="H125" s="249">
        <f>H94</f>
        <v>0.70142748247717845</v>
      </c>
      <c r="I125" s="284">
        <f t="shared" ref="I125:J125" si="248">I94</f>
        <v>0.38906501588230036</v>
      </c>
      <c r="J125" s="249">
        <f t="shared" si="248"/>
        <v>0.32216910077858635</v>
      </c>
      <c r="K125" s="249">
        <f t="shared" ref="K125:L125" si="249">K94</f>
        <v>0.1909631196353033</v>
      </c>
      <c r="L125" s="249">
        <f t="shared" si="249"/>
        <v>1.141821523640512</v>
      </c>
      <c r="M125" s="249">
        <f t="shared" ref="M125:N125" si="250">M94</f>
        <v>1.1786339267985968</v>
      </c>
      <c r="N125" s="249">
        <f t="shared" si="250"/>
        <v>4.6241968000000009</v>
      </c>
      <c r="O125" s="249">
        <f t="shared" ref="O125:P125" si="251">O94</f>
        <v>7.0971019296791757</v>
      </c>
      <c r="P125" s="249">
        <f t="shared" si="251"/>
        <v>0.63240619044869206</v>
      </c>
      <c r="Q125" s="249">
        <f t="shared" ref="Q125:AF125" si="252">Q94</f>
        <v>0.4985853467458975</v>
      </c>
      <c r="R125" s="249" t="e">
        <f t="shared" ref="R125:AE125" si="253">R94</f>
        <v>#DIV/0!</v>
      </c>
      <c r="S125" s="249" t="e">
        <f t="shared" si="253"/>
        <v>#DIV/0!</v>
      </c>
      <c r="T125" s="249" t="e">
        <f t="shared" si="253"/>
        <v>#DIV/0!</v>
      </c>
      <c r="U125" s="249" t="e">
        <f t="shared" si="253"/>
        <v>#DIV/0!</v>
      </c>
      <c r="V125" s="249" t="e">
        <f t="shared" si="253"/>
        <v>#DIV/0!</v>
      </c>
      <c r="W125" s="249" t="e">
        <f t="shared" si="253"/>
        <v>#DIV/0!</v>
      </c>
      <c r="X125" s="249" t="e">
        <f t="shared" si="253"/>
        <v>#DIV/0!</v>
      </c>
      <c r="Y125" s="249" t="e">
        <f t="shared" si="253"/>
        <v>#DIV/0!</v>
      </c>
      <c r="Z125" s="249" t="e">
        <f t="shared" si="253"/>
        <v>#DIV/0!</v>
      </c>
      <c r="AA125" s="249" t="e">
        <f t="shared" si="253"/>
        <v>#DIV/0!</v>
      </c>
      <c r="AB125" s="249" t="e">
        <f t="shared" si="253"/>
        <v>#DIV/0!</v>
      </c>
      <c r="AC125" s="249" t="e">
        <f t="shared" si="253"/>
        <v>#DIV/0!</v>
      </c>
      <c r="AD125" s="249" t="e">
        <f t="shared" si="253"/>
        <v>#DIV/0!</v>
      </c>
      <c r="AE125" s="249" t="e">
        <f t="shared" si="253"/>
        <v>#DIV/0!</v>
      </c>
      <c r="AF125" s="249">
        <f t="shared" si="252"/>
        <v>4.1611993040096209</v>
      </c>
      <c r="AG125" s="249">
        <f t="shared" ref="AG125:AH125" si="254">AG94</f>
        <v>5.1667212425290971</v>
      </c>
      <c r="AH125" s="249">
        <f t="shared" si="254"/>
        <v>2.3919320796827335</v>
      </c>
      <c r="AI125" s="284">
        <f t="shared" ref="AI125:AJ125" si="255">AI94</f>
        <v>5.5850498224276661</v>
      </c>
      <c r="AJ125" s="284">
        <f t="shared" si="255"/>
        <v>3.4657780294003091</v>
      </c>
      <c r="AK125" s="284">
        <f t="shared" ref="AK125:AL125" si="256">AK94</f>
        <v>3.9676698016563874</v>
      </c>
      <c r="AL125" s="284">
        <f t="shared" si="256"/>
        <v>3.817440404080215</v>
      </c>
      <c r="AM125" s="284">
        <f t="shared" ref="AM125:AN125" si="257">AM94</f>
        <v>8.3515435558374431</v>
      </c>
      <c r="AN125" s="284">
        <f t="shared" si="257"/>
        <v>3.1446125859003731</v>
      </c>
      <c r="AO125" s="284">
        <f t="shared" ref="AO125:AP125" si="258">AO94</f>
        <v>8.8215101606251913</v>
      </c>
      <c r="AP125" s="284">
        <f t="shared" si="258"/>
        <v>15.296141070939234</v>
      </c>
      <c r="AQ125" s="284">
        <f t="shared" ref="AQ125:BD125" si="259">AQ94</f>
        <v>13.805680988014112</v>
      </c>
      <c r="AR125" s="284">
        <f t="shared" si="259"/>
        <v>0</v>
      </c>
      <c r="AS125" s="284">
        <f t="shared" si="259"/>
        <v>0</v>
      </c>
      <c r="AT125" s="284">
        <f t="shared" si="259"/>
        <v>0</v>
      </c>
      <c r="AU125" s="284">
        <f t="shared" si="259"/>
        <v>0</v>
      </c>
      <c r="AV125" s="284">
        <f t="shared" si="259"/>
        <v>0</v>
      </c>
      <c r="AW125" s="284">
        <f t="shared" si="259"/>
        <v>0</v>
      </c>
      <c r="AX125" s="284">
        <f t="shared" si="259"/>
        <v>0</v>
      </c>
      <c r="AY125" s="284">
        <f t="shared" si="259"/>
        <v>0</v>
      </c>
      <c r="AZ125" s="284">
        <f t="shared" si="259"/>
        <v>0</v>
      </c>
      <c r="BA125" s="284">
        <f t="shared" si="259"/>
        <v>0</v>
      </c>
      <c r="BB125" s="284">
        <f t="shared" si="259"/>
        <v>0</v>
      </c>
      <c r="BC125" s="284">
        <f t="shared" si="259"/>
        <v>0</v>
      </c>
      <c r="BD125" s="284">
        <f t="shared" si="259"/>
        <v>0</v>
      </c>
      <c r="BE125" s="26"/>
      <c r="BF125" s="188"/>
      <c r="BG125" s="26" t="str">
        <f t="shared" si="198"/>
        <v>Finance C.S. exp. per $1 ARR</v>
      </c>
      <c r="BH125" s="161" t="str">
        <f>BH94</f>
        <v>-</v>
      </c>
      <c r="BI125" s="161" t="str">
        <f>BI94</f>
        <v>-</v>
      </c>
      <c r="BJ125" s="161" t="str">
        <f>BJ94</f>
        <v>-</v>
      </c>
      <c r="BK125" s="208" t="str">
        <f>BK94</f>
        <v>-</v>
      </c>
      <c r="BL125" s="195">
        <f ca="1">IF(BF125="EoP",OFFSET(AH125,0,MONTH('2024 Control'!$C$4)-1),SUM(AH125:OFFSET(AH125,0,MONTH('2024 Control'!$C$4)-1))/IF(BF125="Sum",1,MONTH('2024 Control'!$C$4)))</f>
        <v>5.7206132082136385</v>
      </c>
      <c r="BM125" s="304" t="str">
        <f t="shared" si="155"/>
        <v/>
      </c>
    </row>
    <row r="126" spans="2:65">
      <c r="B126" s="26" t="s">
        <v>4</v>
      </c>
      <c r="C126" s="26" t="s">
        <v>227</v>
      </c>
      <c r="D126" s="204" t="str">
        <f t="shared" si="199"/>
        <v>Finance Onboarding. Rev - Onboarding Costs</v>
      </c>
      <c r="E126" s="26" t="s">
        <v>206</v>
      </c>
      <c r="F126" s="183" t="s">
        <v>253</v>
      </c>
      <c r="G126" s="183" t="s">
        <v>4</v>
      </c>
      <c r="H126" s="229"/>
      <c r="I126" s="229"/>
      <c r="J126" s="229"/>
      <c r="K126" s="229"/>
      <c r="L126" s="229"/>
      <c r="M126" s="229"/>
      <c r="N126" s="229"/>
      <c r="O126" s="229"/>
      <c r="P126" s="229"/>
      <c r="Q126" s="229"/>
      <c r="R126" s="229"/>
      <c r="S126" s="229"/>
      <c r="T126" s="229"/>
      <c r="U126" s="229"/>
      <c r="V126" s="229"/>
      <c r="W126" s="229"/>
      <c r="X126" s="229"/>
      <c r="Y126" s="229"/>
      <c r="Z126" s="229"/>
      <c r="AA126" s="229"/>
      <c r="AB126" s="229"/>
      <c r="AC126" s="229"/>
      <c r="AD126" s="229"/>
      <c r="AE126" s="229"/>
      <c r="AF126" s="229"/>
      <c r="AG126" s="229"/>
      <c r="AH126" s="229"/>
      <c r="AI126" s="229"/>
      <c r="AJ126" s="229"/>
      <c r="AK126" s="229"/>
      <c r="AL126" s="229"/>
      <c r="AM126" s="229"/>
      <c r="AN126" s="229"/>
      <c r="AO126" s="229"/>
      <c r="AP126" s="229"/>
      <c r="AQ126" s="229"/>
      <c r="AR126" s="229"/>
      <c r="AS126" s="229"/>
      <c r="AT126" s="229"/>
      <c r="AU126" s="229"/>
      <c r="AV126" s="229"/>
      <c r="AW126" s="229"/>
      <c r="AX126" s="229"/>
      <c r="AY126" s="229"/>
      <c r="AZ126" s="229"/>
      <c r="BA126" s="229"/>
      <c r="BB126" s="229"/>
      <c r="BC126" s="229"/>
      <c r="BD126" s="229"/>
      <c r="BE126" s="26"/>
      <c r="BF126" s="188" t="s">
        <v>250</v>
      </c>
      <c r="BG126" s="26" t="str">
        <f t="shared" si="198"/>
        <v>Finance Onboarding. Rev - Onboarding Costs</v>
      </c>
      <c r="BH126" s="195">
        <f t="shared" ref="BH126:BH130" si="260">IF($BF126="Sum",SUM(AR126:AT126),IF($BF126="Average",IFERROR(AVERAGE(AR126:AT126),"-"),IF($BF126="EoP",AT126,"ERROR")))</f>
        <v>0</v>
      </c>
      <c r="BI126" s="195">
        <f t="shared" ref="BI126:BI130" si="261">IF($BF126="Sum",SUM(AU126:AW126),IF($BF126="Average",IFERROR(AVERAGE(AU126:AW126),"-"),IF($BF126="EoP",AW126,"ERROR")))</f>
        <v>0</v>
      </c>
      <c r="BJ126" s="195">
        <f t="shared" ref="BJ126:BJ130" si="262">IF($BF126="Sum",SUM(AX126:AZ126),IF($BF126="Average",IFERROR(AVERAGE(AX126:AZ126),"-"),IF($BF126="EoP",AZ126,"ERROR")))</f>
        <v>0</v>
      </c>
      <c r="BK126" s="304">
        <f t="shared" ref="BK126:BK130" si="263">IF($BF126="Sum",SUM(BA126:BC126),IF($BF126="Average",IFERROR(AVERAGE(BA126:BC126),"-"),IF($BF126="EoP",BC126,"ERROR")))</f>
        <v>0</v>
      </c>
      <c r="BL126" s="195">
        <f ca="1">IF(BF126="EoP",OFFSET(AR126,0,MONTH('2024 Control'!$C$4)-1),SUM(AR126:OFFSET(AR126,0,MONTH('2024 Control'!$C$4)-1))/IF(BF126="Sum",1,MONTH('2024 Control'!$C$4)))</f>
        <v>0</v>
      </c>
      <c r="BM126" s="304">
        <f t="shared" si="155"/>
        <v>0</v>
      </c>
    </row>
    <row r="127" spans="2:65">
      <c r="B127" s="26" t="s">
        <v>4</v>
      </c>
      <c r="C127" s="26" t="s">
        <v>263</v>
      </c>
      <c r="D127" s="204" t="str">
        <f t="shared" si="199"/>
        <v>Finance New Logo ARR Growth (annualized)</v>
      </c>
      <c r="E127" s="26" t="s">
        <v>229</v>
      </c>
      <c r="F127" s="217" t="s">
        <v>252</v>
      </c>
      <c r="G127" s="183" t="s">
        <v>4</v>
      </c>
      <c r="H127" s="243">
        <f>H40/'2023 Control'!$C$5*12</f>
        <v>8.4936632649641589E-2</v>
      </c>
      <c r="I127" s="243">
        <f>I40/'2023 Control'!$C$5*12</f>
        <v>0</v>
      </c>
      <c r="J127" s="243">
        <f>J40/'2023 Control'!$C$5*12</f>
        <v>0.11613784464338749</v>
      </c>
      <c r="K127" s="243">
        <f>K40/'2023 Control'!$C$5*12</f>
        <v>1.0833754164495101E-2</v>
      </c>
      <c r="L127" s="243">
        <f>L40/'2023 Control'!$C$5*12</f>
        <v>0</v>
      </c>
      <c r="M127" s="243">
        <f>M40/'2023 Control'!$C$5*12</f>
        <v>0.37277648029527899</v>
      </c>
      <c r="N127" s="243">
        <f>N40/'2023 Control'!$C$5*12</f>
        <v>0</v>
      </c>
      <c r="O127" s="243">
        <f>O40/'2023 Control'!$C$5*12</f>
        <v>0.62912043783389626</v>
      </c>
      <c r="P127" s="243">
        <f>P40/'2023 Control'!$C$5*12</f>
        <v>1.7334006663192163E-2</v>
      </c>
      <c r="Q127" s="243">
        <f>Q40/'2023 Control'!$C$5*12</f>
        <v>0</v>
      </c>
      <c r="R127" s="243">
        <f>R40/'2023 Control'!$C$5*12</f>
        <v>0</v>
      </c>
      <c r="S127" s="243">
        <f>S40/'2023 Control'!$C$5*12</f>
        <v>0</v>
      </c>
      <c r="T127" s="243">
        <f>T40/'2023 Control'!$C$5*12</f>
        <v>0</v>
      </c>
      <c r="U127" s="243">
        <f>U40/'2023 Control'!$C$5*12</f>
        <v>0</v>
      </c>
      <c r="V127" s="243">
        <f>V40/'2023 Control'!$C$5*12</f>
        <v>0</v>
      </c>
      <c r="W127" s="243">
        <f>W40/'2023 Control'!$C$5*12</f>
        <v>0</v>
      </c>
      <c r="X127" s="243">
        <f>X40/'2023 Control'!$C$5*12</f>
        <v>0</v>
      </c>
      <c r="Y127" s="243">
        <f>Y40/'2023 Control'!$C$5*12</f>
        <v>0</v>
      </c>
      <c r="Z127" s="243">
        <f>Z40/'2023 Control'!$C$5*12</f>
        <v>0</v>
      </c>
      <c r="AA127" s="243">
        <f>AA40/'2023 Control'!$C$5*12</f>
        <v>0</v>
      </c>
      <c r="AB127" s="243">
        <f>AB40/'2023 Control'!$C$5*12</f>
        <v>0</v>
      </c>
      <c r="AC127" s="243">
        <f>AC40/'2023 Control'!$C$5*12</f>
        <v>0</v>
      </c>
      <c r="AD127" s="243">
        <f>AD40/'2023 Control'!$C$5*12</f>
        <v>0</v>
      </c>
      <c r="AE127" s="243">
        <f>AE40/'2023 Control'!$C$5*12</f>
        <v>0</v>
      </c>
      <c r="AF127" s="243">
        <f>AF40/'2024 Control'!$C$5*12</f>
        <v>0</v>
      </c>
      <c r="AG127" s="243">
        <f>AG40/'2024 Control'!$C$5*12</f>
        <v>0</v>
      </c>
      <c r="AH127" s="243">
        <f>AH40/'2024 Control'!$C$5*12</f>
        <v>0</v>
      </c>
      <c r="AI127" s="243">
        <f>AI40/'2024 Control'!$C$5*12</f>
        <v>0</v>
      </c>
      <c r="AJ127" s="243">
        <f>AJ40/'2024 Control'!$C$5*12</f>
        <v>0</v>
      </c>
      <c r="AK127" s="243">
        <f>AK40/'2024 Control'!$C$5*12</f>
        <v>0.1353928992157214</v>
      </c>
      <c r="AL127" s="243">
        <f>AL40/'2024 Control'!$C$5*12</f>
        <v>2.9274140370966786E-2</v>
      </c>
      <c r="AM127" s="243">
        <f>AM40/'2024 Control'!$C$5*12</f>
        <v>0.11709656148386714</v>
      </c>
      <c r="AN127" s="243">
        <f>AN40/'2024 Control'!$C$5*12</f>
        <v>2.1955605278225088E-2</v>
      </c>
      <c r="AO127" s="243">
        <f>AO40/'2024 Control'!$C$5*12</f>
        <v>7.3185350927416964E-3</v>
      </c>
      <c r="AP127" s="243">
        <f>AP40/'2024 Control'!$C$5*12</f>
        <v>1.0977802639112544E-2</v>
      </c>
      <c r="AQ127" s="243">
        <f>AQ40/'2024 Control'!$C$5*12</f>
        <v>0.24517092560684683</v>
      </c>
      <c r="AR127" s="243">
        <f>AR40/'2024 Control'!$C$5*12</f>
        <v>0</v>
      </c>
      <c r="AS127" s="243">
        <f>AS40/'2024 Control'!$C$5*12</f>
        <v>0</v>
      </c>
      <c r="AT127" s="243">
        <f>AT40/'2024 Control'!$C$5*12</f>
        <v>0</v>
      </c>
      <c r="AU127" s="243">
        <f>AU40/'2024 Control'!$C$5*12</f>
        <v>0</v>
      </c>
      <c r="AV127" s="243">
        <f>AV40/'2024 Control'!$C$5*12</f>
        <v>0</v>
      </c>
      <c r="AW127" s="243">
        <f>AW40/'2024 Control'!$C$5*12</f>
        <v>0</v>
      </c>
      <c r="AX127" s="243">
        <f>AX40/'2024 Control'!$C$5*12</f>
        <v>0</v>
      </c>
      <c r="AY127" s="243">
        <f>AY40/'2024 Control'!$C$5*12</f>
        <v>0</v>
      </c>
      <c r="AZ127" s="243">
        <f>AZ40/'2024 Control'!$C$5*12</f>
        <v>0</v>
      </c>
      <c r="BA127" s="243">
        <f>BA40/'2024 Control'!$C$5*12</f>
        <v>0</v>
      </c>
      <c r="BB127" s="243">
        <f>BB40/'2024 Control'!$C$5*12</f>
        <v>0</v>
      </c>
      <c r="BC127" s="243">
        <f>BC40/'2024 Control'!$C$5*12</f>
        <v>0</v>
      </c>
      <c r="BD127" s="243">
        <f>BD40/'2024 Control'!$C$5*12</f>
        <v>0</v>
      </c>
      <c r="BE127" s="26"/>
      <c r="BF127" s="26" t="s">
        <v>249</v>
      </c>
      <c r="BG127" s="26" t="str">
        <f t="shared" si="198"/>
        <v>Finance New Logo ARR Growth (annualized)</v>
      </c>
      <c r="BH127" s="195">
        <f t="shared" si="260"/>
        <v>0</v>
      </c>
      <c r="BI127" s="195">
        <f t="shared" si="261"/>
        <v>0</v>
      </c>
      <c r="BJ127" s="195">
        <f t="shared" si="262"/>
        <v>0</v>
      </c>
      <c r="BK127" s="304">
        <f t="shared" si="263"/>
        <v>0</v>
      </c>
      <c r="BL127" s="195">
        <f ca="1">IF(BF127="EoP",OFFSET(AR127,0,MONTH('2024 Control'!$C$4)-1),SUM(AR127:OFFSET(AR127,0,MONTH('2024 Control'!$C$4)-1))/IF(BF127="Sum",1,MONTH('2024 Control'!$C$4)))</f>
        <v>0</v>
      </c>
      <c r="BM127" s="304">
        <f t="shared" si="155"/>
        <v>4.726553914062346E-2</v>
      </c>
    </row>
    <row r="128" spans="2:65">
      <c r="B128" s="26" t="s">
        <v>4</v>
      </c>
      <c r="C128" s="26" t="s">
        <v>263</v>
      </c>
      <c r="D128" s="204" t="str">
        <f t="shared" si="199"/>
        <v>Finance NRR (annualized)</v>
      </c>
      <c r="E128" s="26" t="s">
        <v>230</v>
      </c>
      <c r="F128" s="217" t="s">
        <v>252</v>
      </c>
      <c r="G128" s="183" t="s">
        <v>4</v>
      </c>
      <c r="H128" s="264">
        <f>IF(H76=0,"-",H73*12/'2023 Control'!$C$5+1)</f>
        <v>1.0156647418215268</v>
      </c>
      <c r="I128" s="264">
        <f>IF(I76=0,"-",I73*12/'2023 Control'!$C$5+1)</f>
        <v>1.2133694882192312</v>
      </c>
      <c r="J128" s="264">
        <f>IF(J76=0,"-",J73*12/'2023 Control'!$C$5+1)</f>
        <v>1.2455656721954445</v>
      </c>
      <c r="K128" s="264">
        <f>IF(K76=0,"-",K73*12/'2023 Control'!$C$5+1)</f>
        <v>1.3527297015892974</v>
      </c>
      <c r="L128" s="264">
        <f>IF(L76=0,"-",L73*12/'2023 Control'!$C$5+1)</f>
        <v>1.0683739892829616</v>
      </c>
      <c r="M128" s="264">
        <f>IF(M76=0,"-",M73*12/'2023 Control'!$C$5+1)</f>
        <v>0.95704286468727717</v>
      </c>
      <c r="N128" s="264">
        <f>IF(N76=0,"-",N73*12/'2023 Control'!$C$5+1)</f>
        <v>0.85742779519524448</v>
      </c>
      <c r="O128" s="264">
        <f>IF(O76=0,"-",O73*12/'2023 Control'!$C$5+1)</f>
        <v>1.0066978601746575</v>
      </c>
      <c r="P128" s="264">
        <f>IF(P76=0,"-",P73*12/'2023 Control'!$C$5+1)</f>
        <v>0.9144012082958245</v>
      </c>
      <c r="Q128" s="264">
        <f>IF(Q76=0,"-",Q73*12/'2023 Control'!$C$5+1)</f>
        <v>1.2079855457496438</v>
      </c>
      <c r="R128" s="264">
        <f>IF(R76=0,"-",R73*12/'2023 Control'!$C$5+1)</f>
        <v>1</v>
      </c>
      <c r="S128" s="264">
        <f>IF(S76=0,"-",S73*12/'2023 Control'!$C$5+1)</f>
        <v>1</v>
      </c>
      <c r="T128" s="264">
        <f>IF(T76=0,"-",T73*12/'2023 Control'!$C$5+1)</f>
        <v>1</v>
      </c>
      <c r="U128" s="264">
        <f>IF(U76=0,"-",U73*12/'2023 Control'!$C$5+1)</f>
        <v>1</v>
      </c>
      <c r="V128" s="264">
        <f>IF(V76=0,"-",V73*12/'2023 Control'!$C$5+1)</f>
        <v>1</v>
      </c>
      <c r="W128" s="264">
        <f>IF(W76=0,"-",W73*12/'2023 Control'!$C$5+1)</f>
        <v>1</v>
      </c>
      <c r="X128" s="264">
        <f>IF(X76=0,"-",X73*12/'2023 Control'!$C$5+1)</f>
        <v>1</v>
      </c>
      <c r="Y128" s="264">
        <f>IF(Y76=0,"-",Y73*12/'2023 Control'!$C$5+1)</f>
        <v>1</v>
      </c>
      <c r="Z128" s="264">
        <f>IF(Z76=0,"-",Z73*12/'2023 Control'!$C$5+1)</f>
        <v>1</v>
      </c>
      <c r="AA128" s="264">
        <f>IF(AA76=0,"-",AA73*12/'2023 Control'!$C$5+1)</f>
        <v>1</v>
      </c>
      <c r="AB128" s="264">
        <f>IF(AB76=0,"-",AB73*12/'2023 Control'!$C$5+1)</f>
        <v>1</v>
      </c>
      <c r="AC128" s="264">
        <f>IF(AC76=0,"-",AC73*12/'2023 Control'!$C$5+1)</f>
        <v>1</v>
      </c>
      <c r="AD128" s="264">
        <f>IF(AD76=0,"-",AD73*12/'2023 Control'!$C$5+1)</f>
        <v>1</v>
      </c>
      <c r="AE128" s="264">
        <f>IF(AE76=0,"-",AE73*12/'2023 Control'!$C$5+1)</f>
        <v>1</v>
      </c>
      <c r="AF128" s="264">
        <f>IF(AF76=0,"-",AF73*12/'2024 Control'!$C$5+1)</f>
        <v>0.1498277338814753</v>
      </c>
      <c r="AG128" s="264">
        <f>IF(AG76=0,"-",AG73*12/'2024 Control'!$C$5+1)</f>
        <v>0.77856161999189588</v>
      </c>
      <c r="AH128" s="264">
        <f>IF(AH76=0,"-",AH73*12/'2024 Control'!$C$5+1)</f>
        <v>0.99560163359461318</v>
      </c>
      <c r="AI128" s="264">
        <f>IF(AI76=0,"-",AI73*12/'2024 Control'!$C$5+1)</f>
        <v>1.0439112105564501</v>
      </c>
      <c r="AJ128" s="264">
        <f>IF(AJ76=0,"-",AJ73*12/'2024 Control'!$C$5+1)</f>
        <v>1.0714698863016783</v>
      </c>
      <c r="AK128" s="264">
        <f>IF(AK76=0,"-",AK73*12/'2024 Control'!$C$5+1)</f>
        <v>1.0630535709450253</v>
      </c>
      <c r="AL128" s="264">
        <f>IF(AL76=0,"-",AL73*12/'2024 Control'!$C$5+1)</f>
        <v>1.0661902950857745</v>
      </c>
      <c r="AM128" s="264">
        <f>IF(AM76=0,"-",AM73*12/'2024 Control'!$C$5+1)</f>
        <v>1.0305577382408828</v>
      </c>
      <c r="AN128" s="264">
        <f>IF(AN76=0,"-",AN73*12/'2024 Control'!$C$5+1)</f>
        <v>0.849334049899236</v>
      </c>
      <c r="AO128" s="264">
        <f>IF(AO76=0,"-",AO73*12/'2024 Control'!$C$5+1)</f>
        <v>0.99621192623599686</v>
      </c>
      <c r="AP128" s="264">
        <f>IF(AP76=0,"-",AP73*12/'2024 Control'!$C$5+1)</f>
        <v>0.93217767158854414</v>
      </c>
      <c r="AQ128" s="264">
        <f>IF(AQ76=0,"-",AQ73*12/'2024 Control'!$C$5+1)</f>
        <v>1.0192360376377623</v>
      </c>
      <c r="AR128" s="264">
        <f>IF(AR76=0,"-",AR73*12/'2024 Control'!$C$5+1)</f>
        <v>1</v>
      </c>
      <c r="AS128" s="264">
        <f>IF(AS76=0,"-",AS73*12/'2024 Control'!$C$5+1)</f>
        <v>1</v>
      </c>
      <c r="AT128" s="264">
        <f>IF(AT76=0,"-",AT73*12/'2024 Control'!$C$5+1)</f>
        <v>1</v>
      </c>
      <c r="AU128" s="264">
        <f>IF(AU76=0,"-",AU73*12/'2024 Control'!$C$5+1)</f>
        <v>1</v>
      </c>
      <c r="AV128" s="264">
        <f>IF(AV76=0,"-",AV73*12/'2024 Control'!$C$5+1)</f>
        <v>1</v>
      </c>
      <c r="AW128" s="264">
        <f>IF(AW76=0,"-",AW73*12/'2024 Control'!$C$5+1)</f>
        <v>1</v>
      </c>
      <c r="AX128" s="264">
        <f>IF(AX76=0,"-",AX73*12/'2024 Control'!$C$5+1)</f>
        <v>1</v>
      </c>
      <c r="AY128" s="264">
        <f>IF(AY76=0,"-",AY73*12/'2024 Control'!$C$5+1)</f>
        <v>1</v>
      </c>
      <c r="AZ128" s="264">
        <f>IF(AZ76=0,"-",AZ73*12/'2024 Control'!$C$5+1)</f>
        <v>1</v>
      </c>
      <c r="BA128" s="264">
        <f>IF(BA76=0,"-",BA73*12/'2024 Control'!$C$5+1)</f>
        <v>1</v>
      </c>
      <c r="BB128" s="264">
        <f>IF(BB76=0,"-",BB73*12/'2024 Control'!$C$5+1)</f>
        <v>1</v>
      </c>
      <c r="BC128" s="264">
        <f>IF(BC76=0,"-",BC73*12/'2024 Control'!$C$5+1)</f>
        <v>1</v>
      </c>
      <c r="BD128" s="264">
        <f>IF(BD76=0,"-",BD73*12/'2024 Control'!$C$5+1)</f>
        <v>1</v>
      </c>
      <c r="BE128" s="26"/>
      <c r="BF128" s="26" t="s">
        <v>249</v>
      </c>
      <c r="BG128" s="26" t="str">
        <f t="shared" si="198"/>
        <v>Finance NRR (annualized)</v>
      </c>
      <c r="BH128" s="195">
        <f t="shared" si="260"/>
        <v>1</v>
      </c>
      <c r="BI128" s="195">
        <f t="shared" si="261"/>
        <v>1</v>
      </c>
      <c r="BJ128" s="195">
        <f t="shared" si="262"/>
        <v>1</v>
      </c>
      <c r="BK128" s="304">
        <f t="shared" si="263"/>
        <v>1</v>
      </c>
      <c r="BL128" s="195">
        <f ca="1">IF(BF128="EoP",OFFSET(AR128,0,MONTH('2024 Control'!$C$4)-1),SUM(AR128:OFFSET(AR128,0,MONTH('2024 Control'!$C$4)-1))/IF(BF128="Sum",1,MONTH('2024 Control'!$C$4)))</f>
        <v>1</v>
      </c>
      <c r="BM128" s="304">
        <f t="shared" si="155"/>
        <v>0.98719213667315486</v>
      </c>
    </row>
    <row r="129" spans="2:65">
      <c r="B129" s="26" t="s">
        <v>4</v>
      </c>
      <c r="C129" s="26" t="s">
        <v>263</v>
      </c>
      <c r="D129" s="204" t="str">
        <f t="shared" si="199"/>
        <v>Finance Gross Margin</v>
      </c>
      <c r="E129" s="26" t="s">
        <v>231</v>
      </c>
      <c r="F129" s="217" t="s">
        <v>252</v>
      </c>
      <c r="G129" s="183" t="s">
        <v>4</v>
      </c>
      <c r="H129" s="243">
        <f t="shared" ref="H129:I129" si="264">1--H105/H104</f>
        <v>0.6166082317748024</v>
      </c>
      <c r="I129" s="243">
        <f t="shared" si="264"/>
        <v>0.53587599524119245</v>
      </c>
      <c r="J129" s="264">
        <f>IFERROR(1--J105/J104,0)</f>
        <v>0.56070634377432205</v>
      </c>
      <c r="K129" s="264">
        <f t="shared" ref="K129:L129" si="265">IFERROR(1--K105/K104,0)</f>
        <v>0.51704906895247271</v>
      </c>
      <c r="L129" s="264">
        <f t="shared" si="265"/>
        <v>0.64271720546414257</v>
      </c>
      <c r="M129" s="264">
        <f t="shared" ref="M129:N129" si="266">IFERROR(1--M105/M104,0)</f>
        <v>0.58096268756407232</v>
      </c>
      <c r="N129" s="264">
        <f t="shared" si="266"/>
        <v>0.59923576083841246</v>
      </c>
      <c r="O129" s="264">
        <f t="shared" ref="O129:P129" si="267">IFERROR(1--O105/O104,0)</f>
        <v>0.56402087392705935</v>
      </c>
      <c r="P129" s="264">
        <f t="shared" si="267"/>
        <v>0.57837308025987277</v>
      </c>
      <c r="Q129" s="264">
        <f t="shared" ref="Q129:AF129" si="268">IFERROR(1--Q105/Q104,0)</f>
        <v>0.54959131884551504</v>
      </c>
      <c r="R129" s="264">
        <f t="shared" ref="R129:AE129" si="269">IFERROR(1--R105/R104,0)</f>
        <v>0</v>
      </c>
      <c r="S129" s="264">
        <f t="shared" si="269"/>
        <v>0</v>
      </c>
      <c r="T129" s="264">
        <f t="shared" si="269"/>
        <v>0</v>
      </c>
      <c r="U129" s="264">
        <f t="shared" si="269"/>
        <v>0</v>
      </c>
      <c r="V129" s="264">
        <f t="shared" si="269"/>
        <v>0</v>
      </c>
      <c r="W129" s="264">
        <f t="shared" si="269"/>
        <v>0</v>
      </c>
      <c r="X129" s="264">
        <f t="shared" si="269"/>
        <v>0</v>
      </c>
      <c r="Y129" s="264">
        <f t="shared" si="269"/>
        <v>0</v>
      </c>
      <c r="Z129" s="264">
        <f t="shared" si="269"/>
        <v>0</v>
      </c>
      <c r="AA129" s="264">
        <f t="shared" si="269"/>
        <v>0</v>
      </c>
      <c r="AB129" s="264">
        <f t="shared" si="269"/>
        <v>0</v>
      </c>
      <c r="AC129" s="264">
        <f t="shared" si="269"/>
        <v>0</v>
      </c>
      <c r="AD129" s="264">
        <f t="shared" si="269"/>
        <v>0</v>
      </c>
      <c r="AE129" s="264">
        <f t="shared" si="269"/>
        <v>0</v>
      </c>
      <c r="AF129" s="264">
        <f t="shared" si="268"/>
        <v>0.53011114385859659</v>
      </c>
      <c r="AG129" s="264">
        <f t="shared" ref="AG129:AI129" si="270">IFERROR(1--AG105/AG104,0)</f>
        <v>0.53011114385859659</v>
      </c>
      <c r="AH129" s="264">
        <f t="shared" si="270"/>
        <v>0.53011114385859659</v>
      </c>
      <c r="AI129" s="264">
        <f t="shared" si="270"/>
        <v>0.53011114385859659</v>
      </c>
      <c r="AJ129" s="264">
        <f t="shared" ref="AJ129:AK129" si="271">IFERROR(1--AJ105/AJ104,0)</f>
        <v>0.53011114385859659</v>
      </c>
      <c r="AK129" s="264">
        <f t="shared" si="271"/>
        <v>0.53011114385859648</v>
      </c>
      <c r="AL129" s="264">
        <f t="shared" ref="AL129:AM129" si="272">IFERROR(1--AL105/AL104,0)</f>
        <v>0.53011114385859648</v>
      </c>
      <c r="AM129" s="264">
        <f t="shared" si="272"/>
        <v>0.53011114385859648</v>
      </c>
      <c r="AN129" s="264">
        <f t="shared" ref="AN129:AP129" si="273">IFERROR(1--AN105/AN104,0)</f>
        <v>0.53011114385859637</v>
      </c>
      <c r="AO129" s="264">
        <f t="shared" si="273"/>
        <v>0.53011114385859648</v>
      </c>
      <c r="AP129" s="264">
        <f t="shared" si="273"/>
        <v>0.53011114385859648</v>
      </c>
      <c r="AQ129" s="264">
        <f t="shared" ref="AQ129:BD129" si="274">IFERROR(1--AQ105/AQ104,0)</f>
        <v>0.53011114385859659</v>
      </c>
      <c r="AR129" s="264">
        <f t="shared" si="274"/>
        <v>0.53011114385859659</v>
      </c>
      <c r="AS129" s="264">
        <f t="shared" si="274"/>
        <v>0.53011114385859659</v>
      </c>
      <c r="AT129" s="264">
        <f t="shared" si="274"/>
        <v>0.53011114385859659</v>
      </c>
      <c r="AU129" s="264">
        <f t="shared" si="274"/>
        <v>0</v>
      </c>
      <c r="AV129" s="264">
        <f t="shared" si="274"/>
        <v>0</v>
      </c>
      <c r="AW129" s="264">
        <f t="shared" si="274"/>
        <v>0</v>
      </c>
      <c r="AX129" s="264">
        <f t="shared" si="274"/>
        <v>0</v>
      </c>
      <c r="AY129" s="264">
        <f t="shared" si="274"/>
        <v>0</v>
      </c>
      <c r="AZ129" s="264">
        <f t="shared" si="274"/>
        <v>0</v>
      </c>
      <c r="BA129" s="264">
        <f t="shared" si="274"/>
        <v>0</v>
      </c>
      <c r="BB129" s="264">
        <f t="shared" si="274"/>
        <v>0</v>
      </c>
      <c r="BC129" s="264">
        <f t="shared" si="274"/>
        <v>0</v>
      </c>
      <c r="BD129" s="264">
        <f t="shared" si="274"/>
        <v>0</v>
      </c>
      <c r="BE129" s="26"/>
      <c r="BF129" s="26" t="s">
        <v>249</v>
      </c>
      <c r="BG129" s="26" t="str">
        <f t="shared" si="198"/>
        <v>Finance Gross Margin</v>
      </c>
      <c r="BH129" s="195">
        <f t="shared" si="260"/>
        <v>0.53011114385859659</v>
      </c>
      <c r="BI129" s="195">
        <f t="shared" si="261"/>
        <v>0</v>
      </c>
      <c r="BJ129" s="195">
        <f t="shared" si="262"/>
        <v>0</v>
      </c>
      <c r="BK129" s="304">
        <f t="shared" si="263"/>
        <v>0</v>
      </c>
      <c r="BL129" s="195">
        <f ca="1">IF(BF129="EoP",OFFSET(AR129,0,MONTH('2024 Control'!$C$4)-1),SUM(AR129:OFFSET(AR129,0,MONTH('2024 Control'!$C$4)-1))/IF(BF129="Sum",1,MONTH('2024 Control'!$C$4)))</f>
        <v>0.13252778596464915</v>
      </c>
      <c r="BM129" s="304">
        <f t="shared" si="155"/>
        <v>0.53011114385859659</v>
      </c>
    </row>
    <row r="130" spans="2:65">
      <c r="B130" s="26" t="s">
        <v>4</v>
      </c>
      <c r="C130" s="26" t="s">
        <v>263</v>
      </c>
      <c r="D130" s="204" t="str">
        <f t="shared" si="199"/>
        <v>Finance EBITDA Margin</v>
      </c>
      <c r="E130" s="26" t="s">
        <v>232</v>
      </c>
      <c r="F130" s="217" t="s">
        <v>252</v>
      </c>
      <c r="G130" s="183" t="s">
        <v>4</v>
      </c>
      <c r="H130" s="244">
        <f>H112/H104</f>
        <v>-0.43996351844296389</v>
      </c>
      <c r="I130" s="244">
        <f t="shared" ref="I130" si="275">I112/I104</f>
        <v>-0.37793744718974287</v>
      </c>
      <c r="J130" s="264">
        <f>IFERROR(J112/J104,0)</f>
        <v>-0.28311475014370791</v>
      </c>
      <c r="K130" s="264">
        <f t="shared" ref="K130:L130" si="276">IFERROR(K112/K104,0)</f>
        <v>-0.45593322127380742</v>
      </c>
      <c r="L130" s="264">
        <f t="shared" si="276"/>
        <v>-0.14072206362233763</v>
      </c>
      <c r="M130" s="264">
        <f t="shared" ref="M130:N130" si="277">IFERROR(M112/M104,0)</f>
        <v>-0.38768309870782108</v>
      </c>
      <c r="N130" s="264">
        <f t="shared" si="277"/>
        <v>-0.4443946619902554</v>
      </c>
      <c r="O130" s="264">
        <f t="shared" ref="O130:P130" si="278">IFERROR(O112/O104,0)</f>
        <v>-0.54080780404555762</v>
      </c>
      <c r="P130" s="264">
        <f t="shared" si="278"/>
        <v>-0.33253824910428675</v>
      </c>
      <c r="Q130" s="264">
        <f t="shared" ref="Q130:AF130" si="279">IFERROR(Q112/Q104,0)</f>
        <v>-0.52237686649744941</v>
      </c>
      <c r="R130" s="264">
        <f t="shared" ref="R130:AE130" si="280">IFERROR(R112/R104,0)</f>
        <v>0</v>
      </c>
      <c r="S130" s="264">
        <f t="shared" si="280"/>
        <v>0</v>
      </c>
      <c r="T130" s="264">
        <f t="shared" si="280"/>
        <v>0</v>
      </c>
      <c r="U130" s="264">
        <f t="shared" si="280"/>
        <v>0</v>
      </c>
      <c r="V130" s="264">
        <f t="shared" si="280"/>
        <v>0</v>
      </c>
      <c r="W130" s="264">
        <f t="shared" si="280"/>
        <v>0</v>
      </c>
      <c r="X130" s="264">
        <f t="shared" si="280"/>
        <v>0</v>
      </c>
      <c r="Y130" s="264">
        <f t="shared" si="280"/>
        <v>0</v>
      </c>
      <c r="Z130" s="264">
        <f t="shared" si="280"/>
        <v>0</v>
      </c>
      <c r="AA130" s="264">
        <f t="shared" si="280"/>
        <v>0</v>
      </c>
      <c r="AB130" s="264">
        <f t="shared" si="280"/>
        <v>0</v>
      </c>
      <c r="AC130" s="264">
        <f t="shared" si="280"/>
        <v>0</v>
      </c>
      <c r="AD130" s="264">
        <f t="shared" si="280"/>
        <v>0</v>
      </c>
      <c r="AE130" s="264">
        <f t="shared" si="280"/>
        <v>0</v>
      </c>
      <c r="AF130" s="264">
        <f t="shared" si="279"/>
        <v>-0.6950838528977914</v>
      </c>
      <c r="AG130" s="264">
        <f t="shared" ref="AG130:AI130" si="281">IFERROR(AG112/AG104,0)</f>
        <v>-0.69508385289779151</v>
      </c>
      <c r="AH130" s="264">
        <f t="shared" si="281"/>
        <v>-0.69508385289779151</v>
      </c>
      <c r="AI130" s="264">
        <f t="shared" si="281"/>
        <v>-0.69508385289779151</v>
      </c>
      <c r="AJ130" s="264">
        <f t="shared" ref="AJ130:AK130" si="282">IFERROR(AJ112/AJ104,0)</f>
        <v>-0.69508385289779151</v>
      </c>
      <c r="AK130" s="264">
        <f t="shared" si="282"/>
        <v>-0.69508385289779162</v>
      </c>
      <c r="AL130" s="264">
        <f t="shared" ref="AL130:AM130" si="283">IFERROR(AL112/AL104,0)</f>
        <v>-0.69508385289779162</v>
      </c>
      <c r="AM130" s="264">
        <f t="shared" si="283"/>
        <v>-0.69508385289779162</v>
      </c>
      <c r="AN130" s="264">
        <f t="shared" ref="AN130:AP130" si="284">IFERROR(AN112/AN104,0)</f>
        <v>-0.69508385289779184</v>
      </c>
      <c r="AO130" s="264">
        <f t="shared" si="284"/>
        <v>-0.69508385289779162</v>
      </c>
      <c r="AP130" s="264">
        <f t="shared" si="284"/>
        <v>-0.69508385289779162</v>
      </c>
      <c r="AQ130" s="264">
        <f t="shared" ref="AQ130:BD130" si="285">IFERROR(AQ112/AQ104,0)</f>
        <v>-0.69508385289779151</v>
      </c>
      <c r="AR130" s="264">
        <f t="shared" si="285"/>
        <v>-0.69508385289779162</v>
      </c>
      <c r="AS130" s="264">
        <f t="shared" si="285"/>
        <v>-0.69508385289779151</v>
      </c>
      <c r="AT130" s="264">
        <f t="shared" si="285"/>
        <v>-0.69508385289779151</v>
      </c>
      <c r="AU130" s="264">
        <f t="shared" si="285"/>
        <v>0</v>
      </c>
      <c r="AV130" s="264">
        <f t="shared" si="285"/>
        <v>0</v>
      </c>
      <c r="AW130" s="264">
        <f t="shared" si="285"/>
        <v>0</v>
      </c>
      <c r="AX130" s="264">
        <f t="shared" si="285"/>
        <v>0</v>
      </c>
      <c r="AY130" s="264">
        <f t="shared" si="285"/>
        <v>0</v>
      </c>
      <c r="AZ130" s="264">
        <f t="shared" si="285"/>
        <v>0</v>
      </c>
      <c r="BA130" s="264">
        <f t="shared" si="285"/>
        <v>0</v>
      </c>
      <c r="BB130" s="264">
        <f t="shared" si="285"/>
        <v>0</v>
      </c>
      <c r="BC130" s="264">
        <f t="shared" si="285"/>
        <v>0</v>
      </c>
      <c r="BD130" s="264">
        <f t="shared" si="285"/>
        <v>0</v>
      </c>
      <c r="BE130" s="26"/>
      <c r="BF130" s="26" t="s">
        <v>249</v>
      </c>
      <c r="BG130" s="26" t="str">
        <f t="shared" si="198"/>
        <v>Finance EBITDA Margin</v>
      </c>
      <c r="BH130" s="195">
        <f t="shared" si="260"/>
        <v>-0.69508385289779151</v>
      </c>
      <c r="BI130" s="195">
        <f t="shared" si="261"/>
        <v>0</v>
      </c>
      <c r="BJ130" s="195">
        <f t="shared" si="262"/>
        <v>0</v>
      </c>
      <c r="BK130" s="304">
        <f t="shared" si="263"/>
        <v>0</v>
      </c>
      <c r="BL130" s="195">
        <f ca="1">IF(BF130="EoP",OFFSET(AR130,0,MONTH('2024 Control'!$C$4)-1),SUM(AR130:OFFSET(AR130,0,MONTH('2024 Control'!$C$4)-1))/IF(BF130="Sum",1,MONTH('2024 Control'!$C$4)))</f>
        <v>-0.17377096322444788</v>
      </c>
      <c r="BM130" s="304">
        <f t="shared" si="155"/>
        <v>-0.69508385289779173</v>
      </c>
    </row>
    <row r="131" spans="2:65">
      <c r="B131" s="26" t="s">
        <v>4</v>
      </c>
      <c r="C131" s="26" t="s">
        <v>263</v>
      </c>
      <c r="D131" s="204" t="str">
        <f t="shared" si="199"/>
        <v>Finance Score</v>
      </c>
      <c r="E131" s="26" t="s">
        <v>233</v>
      </c>
      <c r="F131" s="183" t="s">
        <v>250</v>
      </c>
      <c r="G131" s="183" t="s">
        <v>4</v>
      </c>
      <c r="H131" s="244">
        <f t="shared" ref="H131" si="286">H127+H128+H129+H130</f>
        <v>1.277246087803007</v>
      </c>
      <c r="I131" s="257">
        <f t="shared" ref="I131" si="287">I127+I128+I129+I130</f>
        <v>1.3713080362706807</v>
      </c>
      <c r="J131" s="264">
        <f>IFERROR(J127+J128+J129+J130,"n.a.")</f>
        <v>1.639295110469446</v>
      </c>
      <c r="K131" s="264">
        <f t="shared" ref="K131:L131" si="288">IFERROR(K127+K128+K129+K130,"n.a.")</f>
        <v>1.4246793034324579</v>
      </c>
      <c r="L131" s="264">
        <f t="shared" si="288"/>
        <v>1.5703691311247665</v>
      </c>
      <c r="M131" s="264">
        <f t="shared" ref="M131:N131" si="289">IFERROR(M127+M128+M129+M130,"n.a.")</f>
        <v>1.5230989338388075</v>
      </c>
      <c r="N131" s="264">
        <f t="shared" si="289"/>
        <v>1.0122688940434015</v>
      </c>
      <c r="O131" s="264">
        <f t="shared" ref="O131:P131" si="290">IFERROR(O127+O128+O129+O130,"n.a.")</f>
        <v>1.6590313678900555</v>
      </c>
      <c r="P131" s="264">
        <f t="shared" si="290"/>
        <v>1.1775700461146028</v>
      </c>
      <c r="Q131" s="264">
        <f t="shared" ref="Q131:AF131" si="291">IFERROR(Q127+Q128+Q129+Q130,"n.a.")</f>
        <v>1.2351999980977095</v>
      </c>
      <c r="R131" s="264">
        <f t="shared" ref="R131:AE131" si="292">IFERROR(R127+R128+R129+R130,"n.a.")</f>
        <v>1</v>
      </c>
      <c r="S131" s="264">
        <f t="shared" si="292"/>
        <v>1</v>
      </c>
      <c r="T131" s="264">
        <f t="shared" si="292"/>
        <v>1</v>
      </c>
      <c r="U131" s="264">
        <f t="shared" si="292"/>
        <v>1</v>
      </c>
      <c r="V131" s="264">
        <f t="shared" si="292"/>
        <v>1</v>
      </c>
      <c r="W131" s="264">
        <f t="shared" si="292"/>
        <v>1</v>
      </c>
      <c r="X131" s="264">
        <f t="shared" si="292"/>
        <v>1</v>
      </c>
      <c r="Y131" s="264">
        <f t="shared" si="292"/>
        <v>1</v>
      </c>
      <c r="Z131" s="264">
        <f t="shared" si="292"/>
        <v>1</v>
      </c>
      <c r="AA131" s="264">
        <f t="shared" si="292"/>
        <v>1</v>
      </c>
      <c r="AB131" s="264">
        <f t="shared" si="292"/>
        <v>1</v>
      </c>
      <c r="AC131" s="264">
        <f t="shared" si="292"/>
        <v>1</v>
      </c>
      <c r="AD131" s="264">
        <f t="shared" si="292"/>
        <v>1</v>
      </c>
      <c r="AE131" s="264">
        <f t="shared" si="292"/>
        <v>1</v>
      </c>
      <c r="AF131" s="264">
        <f t="shared" si="291"/>
        <v>-1.5144975157719509E-2</v>
      </c>
      <c r="AG131" s="264">
        <f t="shared" ref="AG131:AI131" si="293">IFERROR(AG127+AG128+AG129+AG130,"n.a.")</f>
        <v>0.61358891095270096</v>
      </c>
      <c r="AH131" s="264">
        <f t="shared" si="293"/>
        <v>0.83062892455541826</v>
      </c>
      <c r="AI131" s="264">
        <f t="shared" si="293"/>
        <v>0.87893850151725517</v>
      </c>
      <c r="AJ131" s="264">
        <f t="shared" ref="AJ131:AK131" si="294">IFERROR(AJ127+AJ128+AJ129+AJ130,"n.a.")</f>
        <v>0.90649717726248336</v>
      </c>
      <c r="AK131" s="264">
        <f t="shared" si="294"/>
        <v>1.0334737611215516</v>
      </c>
      <c r="AL131" s="264">
        <f t="shared" ref="AL131:AM131" si="295">IFERROR(AL127+AL128+AL129+AL130,"n.a.")</f>
        <v>0.93049172641754629</v>
      </c>
      <c r="AM131" s="264">
        <f t="shared" si="295"/>
        <v>0.98268159068555483</v>
      </c>
      <c r="AN131" s="264">
        <f t="shared" ref="AN131:AP131" si="296">IFERROR(AN127+AN128+AN129+AN130,"n.a.")</f>
        <v>0.70631694613826568</v>
      </c>
      <c r="AO131" s="264">
        <f t="shared" si="296"/>
        <v>0.83855775228954355</v>
      </c>
      <c r="AP131" s="264">
        <f t="shared" si="296"/>
        <v>0.77818276518846141</v>
      </c>
      <c r="AQ131" s="264">
        <f t="shared" ref="AQ131:BD131" si="297">IFERROR(AQ127+AQ128+AQ129+AQ130,"n.a.")</f>
        <v>1.0994342542054141</v>
      </c>
      <c r="AR131" s="264">
        <f t="shared" si="297"/>
        <v>0.83502729096080497</v>
      </c>
      <c r="AS131" s="264">
        <f t="shared" si="297"/>
        <v>0.83502729096080508</v>
      </c>
      <c r="AT131" s="264">
        <f t="shared" si="297"/>
        <v>0.83502729096080508</v>
      </c>
      <c r="AU131" s="264">
        <f t="shared" si="297"/>
        <v>1</v>
      </c>
      <c r="AV131" s="264">
        <f t="shared" si="297"/>
        <v>1</v>
      </c>
      <c r="AW131" s="264">
        <f t="shared" si="297"/>
        <v>1</v>
      </c>
      <c r="AX131" s="264">
        <f t="shared" si="297"/>
        <v>1</v>
      </c>
      <c r="AY131" s="264">
        <f t="shared" si="297"/>
        <v>1</v>
      </c>
      <c r="AZ131" s="264">
        <f t="shared" si="297"/>
        <v>1</v>
      </c>
      <c r="BA131" s="264">
        <f t="shared" si="297"/>
        <v>1</v>
      </c>
      <c r="BB131" s="264">
        <f t="shared" si="297"/>
        <v>1</v>
      </c>
      <c r="BC131" s="264">
        <f t="shared" si="297"/>
        <v>1</v>
      </c>
      <c r="BD131" s="264">
        <f t="shared" si="297"/>
        <v>1</v>
      </c>
      <c r="BE131" s="26"/>
      <c r="BG131" s="26" t="str">
        <f t="shared" ref="BG131:BG136" si="298">D131</f>
        <v>Finance Score</v>
      </c>
      <c r="BH131" s="194">
        <f>SUM(BH127:BH130)</f>
        <v>0.83502729096080508</v>
      </c>
      <c r="BI131" s="194">
        <f t="shared" ref="BI131:BK131" si="299">SUM(BI127:BI130)</f>
        <v>1</v>
      </c>
      <c r="BJ131" s="194">
        <f t="shared" si="299"/>
        <v>1</v>
      </c>
      <c r="BK131" s="214">
        <f t="shared" si="299"/>
        <v>1</v>
      </c>
      <c r="BL131" s="194">
        <f ca="1">IF(BF131="EoP",OFFSET(AH131,0,MONTH('2024 Control'!$C$4)-1),SUM(AH131:OFFSET(AH131,0,MONTH('2024 Control'!$C$4)-1))/IF(BF131="Sum",1,MONTH('2024 Control'!$C$4)))</f>
        <v>0.88793816510859214</v>
      </c>
      <c r="BM131" s="304" t="str">
        <f t="shared" si="155"/>
        <v/>
      </c>
    </row>
    <row r="132" spans="2:65">
      <c r="B132" s="26" t="s">
        <v>4</v>
      </c>
      <c r="C132" s="26" t="s">
        <v>263</v>
      </c>
      <c r="D132" s="204" t="str">
        <f t="shared" ref="D132:D136" si="300">B132&amp;" "&amp;E132</f>
        <v>Finance New Logo ARR Growth (YTD)</v>
      </c>
      <c r="E132" s="26" t="s">
        <v>235</v>
      </c>
      <c r="F132" s="217" t="s">
        <v>252</v>
      </c>
      <c r="G132" s="183" t="s">
        <v>4</v>
      </c>
      <c r="H132" s="243">
        <f>IF(H131=0,"-",SUM($H$40:H40)/'2023 Control'!$C$5)</f>
        <v>7.078052720803466E-3</v>
      </c>
      <c r="I132" s="243">
        <f>IF(I131=0,"-",SUM($H$40:I40)/'2023 Control'!$C$5)</f>
        <v>7.078052720803466E-3</v>
      </c>
      <c r="J132" s="243">
        <f>IF(J131=0,"-",SUM($H$40:J40)/'2023 Control'!$C$5)</f>
        <v>1.6756206441085757E-2</v>
      </c>
      <c r="K132" s="243">
        <f>IF(K131=0,"-",SUM($H$40:K40)/'2023 Control'!$C$5)</f>
        <v>1.7659019288127013E-2</v>
      </c>
      <c r="L132" s="243">
        <f>IF(L131=0,"-",SUM($H$40:L40)/'2023 Control'!$C$5)</f>
        <v>1.7659019288127013E-2</v>
      </c>
      <c r="M132" s="243">
        <f>IF(M131=0,"-",SUM($H$40:M40)/'2023 Control'!$C$5)</f>
        <v>4.8723725979400265E-2</v>
      </c>
      <c r="N132" s="243">
        <f>IF(N131=0,"-",SUM($H$40:N40)/'2023 Control'!$C$5)</f>
        <v>4.8723725979400265E-2</v>
      </c>
      <c r="O132" s="243">
        <f>IF(O131=0,"-",SUM($H$40:O40)/'2023 Control'!$C$5)</f>
        <v>0.10115042913222495</v>
      </c>
      <c r="P132" s="243">
        <f>IF(P131=0,"-",SUM($H$40:P40)/'2023 Control'!$C$5)</f>
        <v>0.10259492968749097</v>
      </c>
      <c r="Q132" s="243">
        <f>IF(Q131=0,"-",SUM($H$40:Q40)/'2023 Control'!$C$5)</f>
        <v>0.10259492968749097</v>
      </c>
      <c r="R132" s="243">
        <f>IF(R131=0,"-",SUM($H$40:R40)/'2023 Control'!$C$5)</f>
        <v>0.10259492968749097</v>
      </c>
      <c r="S132" s="243">
        <f>IF(S131=0,"-",SUM($H$40:S40)/'2023 Control'!$C$5)</f>
        <v>0.10259492968749097</v>
      </c>
      <c r="T132" s="243">
        <f>IF(T131=0,"-",SUM($H$40:T40)/'2023 Control'!$C$5)</f>
        <v>0.10259492968749097</v>
      </c>
      <c r="U132" s="243">
        <f>IF(U131=0,"-",SUM($H$40:U40)/'2023 Control'!$C$5)</f>
        <v>0.10259492968749097</v>
      </c>
      <c r="V132" s="243">
        <f>IF(V131=0,"-",SUM($H$40:V40)/'2023 Control'!$C$5)</f>
        <v>0.10259492968749097</v>
      </c>
      <c r="W132" s="243">
        <f>IF(W131=0,"-",SUM($H$40:W40)/'2023 Control'!$C$5)</f>
        <v>0.10259492968749097</v>
      </c>
      <c r="X132" s="243">
        <f>IF(X131=0,"-",SUM($H$40:X40)/'2023 Control'!$C$5)</f>
        <v>0.10259492968749097</v>
      </c>
      <c r="Y132" s="243">
        <f>IF(Y131=0,"-",SUM($H$40:Y40)/'2023 Control'!$C$5)</f>
        <v>0.10259492968749097</v>
      </c>
      <c r="Z132" s="243">
        <f>IF(Z131=0,"-",SUM($H$40:Z40)/'2023 Control'!$C$5)</f>
        <v>0.10259492968749097</v>
      </c>
      <c r="AA132" s="243">
        <f>IF(AA131=0,"-",SUM($H$40:AA40)/'2023 Control'!$C$5)</f>
        <v>0.10259492968749097</v>
      </c>
      <c r="AB132" s="243">
        <f>IF(AB131=0,"-",SUM($H$40:AB40)/'2023 Control'!$C$5)</f>
        <v>0.10259492968749097</v>
      </c>
      <c r="AC132" s="243">
        <f>IF(AC131=0,"-",SUM($H$40:AC40)/'2023 Control'!$C$5)</f>
        <v>0.10259492968749097</v>
      </c>
      <c r="AD132" s="243">
        <f>IF(AD131=0,"-",SUM($H$40:AD40)/'2023 Control'!$C$5)</f>
        <v>0.10259492968749097</v>
      </c>
      <c r="AE132" s="243">
        <f>IF(AE131=0,"-",SUM($H$40:AE40)/'2023 Control'!$C$5)</f>
        <v>0.10259492968749097</v>
      </c>
      <c r="AF132" s="243">
        <f>IF(AF131=0,"-",SUM($AF$40:AF40)/'2024 Control'!$C$5)</f>
        <v>0</v>
      </c>
      <c r="AG132" s="243">
        <f>IF(AG131=0,"-",SUM($AF$40:AG40)/'2024 Control'!$C$5)</f>
        <v>0</v>
      </c>
      <c r="AH132" s="243">
        <f>IF(AH131=0,"-",SUM($AF$40:AH40)/'2024 Control'!$C$5)</f>
        <v>0</v>
      </c>
      <c r="AI132" s="243">
        <f>IF(AI131=0,"-",SUM($AF$40:AI40)/'2024 Control'!$C$5)</f>
        <v>0</v>
      </c>
      <c r="AJ132" s="243">
        <f>IF(AJ131=0,"-",SUM($AF$40:AJ40)/'2024 Control'!$C$5)</f>
        <v>0</v>
      </c>
      <c r="AK132" s="243">
        <f>IF(AK131=0,"-",SUM($AF$40:AK40)/'2024 Control'!$C$5)</f>
        <v>1.1282741601310115E-2</v>
      </c>
      <c r="AL132" s="243">
        <f>IF(AL131=0,"-",SUM($AF$40:AL40)/'2024 Control'!$C$5)</f>
        <v>1.3722253298890682E-2</v>
      </c>
      <c r="AM132" s="243">
        <f>IF(AM131=0,"-",SUM($AF$40:AM40)/'2024 Control'!$C$5)</f>
        <v>2.3480300089212942E-2</v>
      </c>
      <c r="AN132" s="243">
        <f>IF(AN131=0,"-",SUM($AF$40:AN40)/'2024 Control'!$C$5)</f>
        <v>2.5309933862398368E-2</v>
      </c>
      <c r="AO132" s="243">
        <f>IF(AO131=0,"-",SUM($AF$40:AO40)/'2024 Control'!$C$5)</f>
        <v>2.591981178679351E-2</v>
      </c>
      <c r="AP132" s="243">
        <f>IF(AP131=0,"-",SUM($AF$40:AP40)/'2024 Control'!$C$5)</f>
        <v>2.6834628673386221E-2</v>
      </c>
      <c r="AQ132" s="243">
        <f>IF(AQ131=0,"-",SUM($AF$40:AQ40)/'2024 Control'!$C$5)</f>
        <v>4.726553914062346E-2</v>
      </c>
      <c r="AR132" s="243">
        <f>IF(AR131=0,"-",SUM($AF$40:AR40)/'2024 Control'!$C$5)</f>
        <v>4.726553914062346E-2</v>
      </c>
      <c r="AS132" s="243">
        <f>IF(AS131=0,"-",SUM($AF$40:AS40)/'2024 Control'!$C$5)</f>
        <v>4.726553914062346E-2</v>
      </c>
      <c r="AT132" s="243">
        <f>IF(AT131=0,"-",SUM($AF$40:AT40)/'2024 Control'!$C$5)</f>
        <v>4.726553914062346E-2</v>
      </c>
      <c r="AU132" s="243">
        <f>IF(AU131=0,"-",SUM($AF$40:AU40)/'2024 Control'!$C$5)</f>
        <v>4.726553914062346E-2</v>
      </c>
      <c r="AV132" s="243">
        <f>IF(AV131=0,"-",SUM($AF$40:AV40)/'2024 Control'!$C$5)</f>
        <v>4.726553914062346E-2</v>
      </c>
      <c r="AW132" s="243">
        <f>IF(AW131=0,"-",SUM($AF$40:AW40)/'2024 Control'!$C$5)</f>
        <v>4.726553914062346E-2</v>
      </c>
      <c r="AX132" s="243">
        <f>IF(AX131=0,"-",SUM($AF$40:AX40)/'2024 Control'!$C$5)</f>
        <v>4.726553914062346E-2</v>
      </c>
      <c r="AY132" s="243">
        <f>IF(AY131=0,"-",SUM($AF$40:AY40)/'2024 Control'!$C$5)</f>
        <v>4.726553914062346E-2</v>
      </c>
      <c r="AZ132" s="243">
        <f>IF(AZ131=0,"-",SUM($AF$40:AZ40)/'2024 Control'!$C$5)</f>
        <v>4.726553914062346E-2</v>
      </c>
      <c r="BA132" s="243">
        <f>IF(BA131=0,"-",SUM($AF$40:BA40)/'2024 Control'!$C$5)</f>
        <v>4.726553914062346E-2</v>
      </c>
      <c r="BB132" s="243">
        <f>IF(BB131=0,"-",SUM($AF$40:BB40)/'2024 Control'!$C$5)</f>
        <v>4.726553914062346E-2</v>
      </c>
      <c r="BC132" s="243">
        <f>IF(BC131=0,"-",SUM($AF$40:BC40)/'2024 Control'!$C$5)</f>
        <v>4.726553914062346E-2</v>
      </c>
      <c r="BD132" s="243">
        <f>IF(BD131=0,"-",SUM($AF$40:BD40)/'2024 Control'!$C$5)</f>
        <v>4.726553914062346E-2</v>
      </c>
      <c r="BE132" s="26"/>
      <c r="BF132" s="26" t="s">
        <v>47</v>
      </c>
      <c r="BG132" s="26" t="str">
        <f t="shared" si="298"/>
        <v>Finance New Logo ARR Growth (YTD)</v>
      </c>
      <c r="BH132" s="195">
        <f t="shared" ref="BH132:BH135" si="301">IF($BF132="Sum",SUM(AR132:AT132),IF($BF132="Average",IFERROR(AVERAGE(AR132:AT132),"-"),IF($BF132="EoP",AT132,"ERROR")))</f>
        <v>4.726553914062346E-2</v>
      </c>
      <c r="BI132" s="195">
        <f t="shared" ref="BI132:BI135" si="302">IF($BF132="Sum",SUM(AU132:AW132),IF($BF132="Average",IFERROR(AVERAGE(AU132:AW132),"-"),IF($BF132="EoP",AW132,"ERROR")))</f>
        <v>4.726553914062346E-2</v>
      </c>
      <c r="BJ132" s="195">
        <f t="shared" ref="BJ132:BJ135" si="303">IF($BF132="Sum",SUM(AX132:AZ132),IF($BF132="Average",IFERROR(AVERAGE(AX132:AZ132),"-"),IF($BF132="EoP",AZ132,"ERROR")))</f>
        <v>4.726553914062346E-2</v>
      </c>
      <c r="BK132" s="304">
        <f t="shared" ref="BK132:BK135" si="304">IF($BF132="Sum",SUM(BA132:BC132),IF($BF132="Average",IFERROR(AVERAGE(BA132:BC132),"-"),IF($BF132="EoP",BC132,"ERROR")))</f>
        <v>4.726553914062346E-2</v>
      </c>
      <c r="BL132" s="195">
        <f ca="1">IF(BF132="EoP",OFFSET(AR132,0,MONTH('2024 Control'!$C$4)-1),SUM(AR132:OFFSET(AR132,0,MONTH('2024 Control'!$C$4)-1))/IF(BF132="Sum",1,MONTH('2024 Control'!$C$4)))</f>
        <v>4.726553914062346E-2</v>
      </c>
      <c r="BM132" s="304">
        <f t="shared" si="155"/>
        <v>4.726553914062346E-2</v>
      </c>
    </row>
    <row r="133" spans="2:65">
      <c r="B133" s="26" t="s">
        <v>4</v>
      </c>
      <c r="C133" s="26" t="s">
        <v>263</v>
      </c>
      <c r="D133" s="204" t="str">
        <f t="shared" si="300"/>
        <v>Finance NRR (YTD)</v>
      </c>
      <c r="E133" s="26" t="s">
        <v>236</v>
      </c>
      <c r="F133" s="217" t="s">
        <v>252</v>
      </c>
      <c r="G133" s="183" t="s">
        <v>4</v>
      </c>
      <c r="H133" s="243">
        <f>SUM($H$73:H73)/'2023 Control'!$C$5+1</f>
        <v>1.0013053951517938</v>
      </c>
      <c r="I133" s="243">
        <f>SUM($H$73:I73)/'2023 Control'!$C$5+1</f>
        <v>1.0190861858367299</v>
      </c>
      <c r="J133" s="243">
        <f>SUM($H$73:J73)/'2023 Control'!$C$5+1</f>
        <v>1.0395499918530169</v>
      </c>
      <c r="K133" s="243">
        <f>SUM($H$73:K73)/'2023 Control'!$C$5+1</f>
        <v>1.068944133652125</v>
      </c>
      <c r="L133" s="243">
        <f>SUM($H$73:L73)/'2023 Control'!$C$5+1</f>
        <v>1.0746419660923718</v>
      </c>
      <c r="M133" s="243">
        <f>SUM($H$73:M73)/'2023 Control'!$C$5+1</f>
        <v>1.0710622048163114</v>
      </c>
      <c r="N133" s="243">
        <f>SUM($H$73:N73)/'2023 Control'!$C$5+1</f>
        <v>1.0591811877492485</v>
      </c>
      <c r="O133" s="243">
        <f>SUM($H$73:O73)/'2023 Control'!$C$5+1</f>
        <v>1.0597393427638033</v>
      </c>
      <c r="P133" s="243">
        <f>SUM($H$73:P73)/'2023 Control'!$C$5+1</f>
        <v>1.0526061101217887</v>
      </c>
      <c r="Q133" s="243">
        <f>SUM($H$73:Q73)/'2023 Control'!$C$5+1</f>
        <v>1.0699382389342591</v>
      </c>
      <c r="R133" s="243">
        <f>SUM($H$73:R73)/'2023 Control'!$C$5+1</f>
        <v>1.0699382389342591</v>
      </c>
      <c r="S133" s="243">
        <f>SUM($H$73:S73)/'2023 Control'!$C$5+1</f>
        <v>1.0699382389342591</v>
      </c>
      <c r="T133" s="243">
        <f>SUM($H$73:T73)/'2023 Control'!$C$5+1</f>
        <v>1.0699382389342591</v>
      </c>
      <c r="U133" s="243">
        <f>SUM($H$73:U73)/'2023 Control'!$C$5+1</f>
        <v>1.0699382389342591</v>
      </c>
      <c r="V133" s="243">
        <f>SUM($H$73:V73)/'2023 Control'!$C$5+1</f>
        <v>1.0699382389342591</v>
      </c>
      <c r="W133" s="243">
        <f>SUM($H$73:W73)/'2023 Control'!$C$5+1</f>
        <v>1.0699382389342591</v>
      </c>
      <c r="X133" s="243">
        <f>SUM($H$73:X73)/'2023 Control'!$C$5+1</f>
        <v>1.0699382389342591</v>
      </c>
      <c r="Y133" s="243">
        <f>SUM($H$73:Y73)/'2023 Control'!$C$5+1</f>
        <v>1.0699382389342591</v>
      </c>
      <c r="Z133" s="243">
        <f>SUM($H$73:Z73)/'2023 Control'!$C$5+1</f>
        <v>1.0699382389342591</v>
      </c>
      <c r="AA133" s="243">
        <f>SUM($H$73:AA73)/'2023 Control'!$C$5+1</f>
        <v>1.0699382389342591</v>
      </c>
      <c r="AB133" s="243">
        <f>SUM($H$73:AB73)/'2023 Control'!$C$5+1</f>
        <v>1.0699382389342591</v>
      </c>
      <c r="AC133" s="243">
        <f>SUM($H$73:AC73)/'2023 Control'!$C$5+1</f>
        <v>1.0699382389342591</v>
      </c>
      <c r="AD133" s="243">
        <f>SUM($H$73:AD73)/'2023 Control'!$C$5+1</f>
        <v>1.0699382389342591</v>
      </c>
      <c r="AE133" s="243">
        <f>SUM($H$73:AE73)/'2023 Control'!$C$5+1</f>
        <v>1.0699382389342591</v>
      </c>
      <c r="AF133" s="243">
        <f>SUM($AF$73:AF73)/'2024 Control'!$C$5+1</f>
        <v>0.92915231115678965</v>
      </c>
      <c r="AG133" s="243">
        <f>SUM($AF$73:AG73)/'2024 Control'!$C$5+1</f>
        <v>0.91069911282278093</v>
      </c>
      <c r="AH133" s="243">
        <f>SUM($AF$73:AH73)/'2024 Control'!$C$5+1</f>
        <v>0.91033258228899872</v>
      </c>
      <c r="AI133" s="243">
        <f>SUM($AF$73:AI73)/'2024 Control'!$C$5+1</f>
        <v>0.91399184983536952</v>
      </c>
      <c r="AJ133" s="243">
        <f>SUM($AF$73:AJ73)/'2024 Control'!$C$5+1</f>
        <v>0.91994767369384278</v>
      </c>
      <c r="AK133" s="243">
        <f>SUM($AF$73:AK73)/'2024 Control'!$C$5+1</f>
        <v>0.92520213793926154</v>
      </c>
      <c r="AL133" s="243">
        <f>SUM($AF$73:AL73)/'2024 Control'!$C$5+1</f>
        <v>0.93071799586307602</v>
      </c>
      <c r="AM133" s="243">
        <f>SUM($AF$73:AM73)/'2024 Control'!$C$5+1</f>
        <v>0.93326447404981627</v>
      </c>
      <c r="AN133" s="243">
        <f>SUM($AF$73:AN73)/'2024 Control'!$C$5+1</f>
        <v>0.92070897820808595</v>
      </c>
      <c r="AO133" s="243">
        <f>SUM($AF$73:AO73)/'2024 Control'!$C$5+1</f>
        <v>0.92039330539441899</v>
      </c>
      <c r="AP133" s="243">
        <f>SUM($AF$73:AP73)/'2024 Control'!$C$5+1</f>
        <v>0.91474144469346441</v>
      </c>
      <c r="AQ133" s="243">
        <f>SUM($AF$73:AQ73)/'2024 Control'!$C$5+1</f>
        <v>0.91634444782994451</v>
      </c>
      <c r="AR133" s="243">
        <f>SUM($AF$73:AR73)/'2024 Control'!$C$5+1</f>
        <v>0.91634444782994451</v>
      </c>
      <c r="AS133" s="243">
        <f>SUM($AF$73:AS73)/'2024 Control'!$C$5+1</f>
        <v>0.91634444782994451</v>
      </c>
      <c r="AT133" s="243">
        <f>SUM($AF$73:AT73)/'2024 Control'!$C$5+1</f>
        <v>0.91634444782994451</v>
      </c>
      <c r="AU133" s="243">
        <f>SUM($AF$73:AU73)/'2024 Control'!$C$5+1</f>
        <v>0.91634444782994451</v>
      </c>
      <c r="AV133" s="243">
        <f>SUM($AF$73:AV73)/'2024 Control'!$C$5+1</f>
        <v>0.91634444782994451</v>
      </c>
      <c r="AW133" s="243">
        <f>SUM($AF$73:AW73)/'2024 Control'!$C$5+1</f>
        <v>0.91634444782994451</v>
      </c>
      <c r="AX133" s="243">
        <f>SUM($AF$73:AX73)/'2024 Control'!$C$5+1</f>
        <v>0.91634444782994451</v>
      </c>
      <c r="AY133" s="243">
        <f>SUM($AF$73:AY73)/'2024 Control'!$C$5+1</f>
        <v>0.91634444782994451</v>
      </c>
      <c r="AZ133" s="243">
        <f>SUM($AF$73:AZ73)/'2024 Control'!$C$5+1</f>
        <v>0.91634444782994451</v>
      </c>
      <c r="BA133" s="243">
        <f>SUM($AF$73:BA73)/'2024 Control'!$C$5+1</f>
        <v>0.91634444782994451</v>
      </c>
      <c r="BB133" s="243">
        <f>SUM($AF$73:BB73)/'2024 Control'!$C$5+1</f>
        <v>0.91634444782994451</v>
      </c>
      <c r="BC133" s="243">
        <f>SUM($AF$73:BC73)/'2024 Control'!$C$5+1</f>
        <v>0.91634444782994451</v>
      </c>
      <c r="BD133" s="243">
        <f>SUM($AF$73:BD73)/'2024 Control'!$C$5+1</f>
        <v>0.91634444782994451</v>
      </c>
      <c r="BE133" s="26"/>
      <c r="BF133" s="26" t="s">
        <v>47</v>
      </c>
      <c r="BG133" s="26" t="str">
        <f t="shared" si="298"/>
        <v>Finance NRR (YTD)</v>
      </c>
      <c r="BH133" s="195">
        <f t="shared" si="301"/>
        <v>0.91634444782994451</v>
      </c>
      <c r="BI133" s="195">
        <f t="shared" si="302"/>
        <v>0.91634444782994451</v>
      </c>
      <c r="BJ133" s="195">
        <f t="shared" si="303"/>
        <v>0.91634444782994451</v>
      </c>
      <c r="BK133" s="304">
        <f t="shared" si="304"/>
        <v>0.91634444782994451</v>
      </c>
      <c r="BL133" s="195">
        <f ca="1">IF(BF133="EoP",OFFSET(AR133,0,MONTH('2024 Control'!$C$4)-1),SUM(AR133:OFFSET(AR133,0,MONTH('2024 Control'!$C$4)-1))/IF(BF133="Sum",1,MONTH('2024 Control'!$C$4)))</f>
        <v>0.91634444782994451</v>
      </c>
      <c r="BM133" s="304">
        <f t="shared" ref="BM133:BM136" si="305">IF(
   BF133="Sum",
   SUMIFS(
      H133:BD133,
      H$3:BD$3,"&gt;="&amp;EDATE(AR$3,-11),
      H$3:BD$3,"&lt;="&amp;AR$3
   ),
IF(
   BF133="Average",
   AVERAGEIFS(
     H133:BD133,
      H$3:BD$3,"&gt;="&amp;EDATE(AR$3,-11),
      H$3:BD$3,"&lt;="&amp;AR$3
   ),
IF(
   BF133="EOP",
   _xlfn.XLOOKUP(
      AR$3,
      H$3:BD$3,
      H133:BD133,
      ""
   ),
""
)))</f>
        <v>0.91634444782994451</v>
      </c>
    </row>
    <row r="134" spans="2:65">
      <c r="B134" s="26" t="s">
        <v>4</v>
      </c>
      <c r="C134" s="26" t="s">
        <v>263</v>
      </c>
      <c r="D134" s="204" t="str">
        <f t="shared" si="300"/>
        <v>Finance Gross Margin (YTD)</v>
      </c>
      <c r="E134" s="26" t="s">
        <v>237</v>
      </c>
      <c r="F134" s="217" t="s">
        <v>252</v>
      </c>
      <c r="G134" s="183" t="s">
        <v>4</v>
      </c>
      <c r="H134" s="243">
        <f>IF(H105=0,"-",SUM($H$105:H105)/SUM($H$104:H104)+1)</f>
        <v>0.6166082317748024</v>
      </c>
      <c r="I134" s="243">
        <f>IF(I105=0,"-",SUM($H$105:I105)/SUM($H$104:I104)+1)</f>
        <v>0.57730182800479113</v>
      </c>
      <c r="J134" s="243">
        <f>IF(J105=0,"-",SUM($H$105:J105)/SUM($H$104:J104)+1)</f>
        <v>0.57147979524321735</v>
      </c>
      <c r="K134" s="243">
        <f>IF(K105=0,"-",SUM($H$105:K105)/SUM($H$104:K104)+1)</f>
        <v>0.55802652303520928</v>
      </c>
      <c r="L134" s="243">
        <f>IF(L105=0,"-",SUM($H$105:L105)/SUM($H$104:L104)+1)</f>
        <v>0.5778822611294141</v>
      </c>
      <c r="M134" s="243">
        <f>IF(M105=0,"-",SUM($H$105:M105)/SUM($H$104:M104)+1)</f>
        <v>0.5784393188755832</v>
      </c>
      <c r="N134" s="243">
        <f>IF(N105=0,"-",SUM($H$105:N105)/SUM($H$104:N104)+1)</f>
        <v>0.58149928927192174</v>
      </c>
      <c r="O134" s="243">
        <f>IF(O105=0,"-",SUM($H$105:O105)/SUM($H$104:O104)+1)</f>
        <v>0.57929050763262868</v>
      </c>
      <c r="P134" s="243">
        <f>IF(P105=0,"-",SUM($H$105:P105)/SUM($H$104:P104)+1)</f>
        <v>0.57916898346537082</v>
      </c>
      <c r="Q134" s="243">
        <f>IF(Q105=0,"-",SUM($H$105:Q105)/SUM($H$104:Q104)+1)</f>
        <v>0.57608717092063544</v>
      </c>
      <c r="R134" s="243" t="str">
        <f>IF(R105=0,"-",SUM($H$105:R105)/SUM($H$104:R104)+1)</f>
        <v>-</v>
      </c>
      <c r="S134" s="243" t="str">
        <f>IF(S105=0,"-",SUM($H$105:S105)/SUM($H$104:S104)+1)</f>
        <v>-</v>
      </c>
      <c r="T134" s="243" t="str">
        <f>IF(T105=0,"-",SUM($H$105:T105)/SUM($H$104:T104)+1)</f>
        <v>-</v>
      </c>
      <c r="U134" s="243" t="str">
        <f>IF(U105=0,"-",SUM($H$105:U105)/SUM($H$104:U104)+1)</f>
        <v>-</v>
      </c>
      <c r="V134" s="243" t="str">
        <f>IF(V105=0,"-",SUM($H$105:V105)/SUM($H$104:V104)+1)</f>
        <v>-</v>
      </c>
      <c r="W134" s="243" t="str">
        <f>IF(W105=0,"-",SUM($H$105:W105)/SUM($H$104:W104)+1)</f>
        <v>-</v>
      </c>
      <c r="X134" s="243" t="str">
        <f>IF(X105=0,"-",SUM($H$105:X105)/SUM($H$104:X104)+1)</f>
        <v>-</v>
      </c>
      <c r="Y134" s="243" t="str">
        <f>IF(Y105=0,"-",SUM($H$105:Y105)/SUM($H$104:Y104)+1)</f>
        <v>-</v>
      </c>
      <c r="Z134" s="243" t="str">
        <f>IF(Z105=0,"-",SUM($H$105:Z105)/SUM($H$104:Z104)+1)</f>
        <v>-</v>
      </c>
      <c r="AA134" s="243" t="str">
        <f>IF(AA105=0,"-",SUM($H$105:AA105)/SUM($H$104:AA104)+1)</f>
        <v>-</v>
      </c>
      <c r="AB134" s="243" t="str">
        <f>IF(AB105=0,"-",SUM($H$105:AB105)/SUM($H$104:AB104)+1)</f>
        <v>-</v>
      </c>
      <c r="AC134" s="243" t="str">
        <f>IF(AC105=0,"-",SUM($H$105:AC105)/SUM($H$104:AC104)+1)</f>
        <v>-</v>
      </c>
      <c r="AD134" s="243" t="str">
        <f>IF(AD105=0,"-",SUM($H$105:AD105)/SUM($H$104:AD104)+1)</f>
        <v>-</v>
      </c>
      <c r="AE134" s="243" t="str">
        <f>IF(AE105=0,"-",SUM($H$105:AE105)/SUM($H$104:AE104)+1)</f>
        <v>-</v>
      </c>
      <c r="AF134" s="243">
        <f>IF(AF105=0,"-",SUM($AF$105:AF105)/SUM($AF$104:AF104)+1)</f>
        <v>0.53011114385859659</v>
      </c>
      <c r="AG134" s="243">
        <f>IF(AG105=0,"-",SUM($AF$105:AG105)/SUM($AF$104:AG104)+1)</f>
        <v>0.53011114385859659</v>
      </c>
      <c r="AH134" s="243">
        <f>IF(AH105=0,"-",SUM($AF$105:AH105)/SUM($AF$104:AH104)+1)</f>
        <v>0.53011114385859659</v>
      </c>
      <c r="AI134" s="243">
        <f>IF(AI105=0,"-",SUM($AF$105:AI105)/SUM($AF$104:AI104)+1)</f>
        <v>0.53011114385859659</v>
      </c>
      <c r="AJ134" s="243">
        <f>IF(AJ105=0,"-",SUM($AF$105:AJ105)/SUM($AF$104:AJ104)+1)</f>
        <v>0.53011114385859659</v>
      </c>
      <c r="AK134" s="243">
        <f>IF(AK105=0,"-",SUM($AF$105:AK105)/SUM($AF$104:AK104)+1)</f>
        <v>0.53011114385859659</v>
      </c>
      <c r="AL134" s="243">
        <f>IF(AL105=0,"-",SUM($AF$105:AL105)/SUM($AF$104:AL104)+1)</f>
        <v>0.53011114385859648</v>
      </c>
      <c r="AM134" s="243">
        <f>IF(AM105=0,"-",SUM($AF$105:AM105)/SUM($AF$104:AM104)+1)</f>
        <v>0.53011114385859648</v>
      </c>
      <c r="AN134" s="243">
        <f>IF(AN105=0,"-",SUM($AF$105:AN105)/SUM($AF$104:AN104)+1)</f>
        <v>0.53011114385859637</v>
      </c>
      <c r="AO134" s="243">
        <f>IF(AO105=0,"-",SUM($AF$105:AO105)/SUM($AF$104:AO104)+1)</f>
        <v>0.53011114385859637</v>
      </c>
      <c r="AP134" s="243">
        <f>IF(AP105=0,"-",SUM($AF$105:AP105)/SUM($AF$104:AP104)+1)</f>
        <v>0.53011114385859648</v>
      </c>
      <c r="AQ134" s="243">
        <f>IF(AQ105=0,"-",SUM($AF$105:AQ105)/SUM($AF$104:AQ104)+1)</f>
        <v>0.53011114385859648</v>
      </c>
      <c r="AR134" s="243">
        <f>IF(AR105=0,"-",SUM($AF$105:AR105)/SUM($AF$104:AR104)+1)</f>
        <v>0.53011114385859648</v>
      </c>
      <c r="AS134" s="243">
        <f>IF(AS105=0,"-",SUM($AF$105:AS105)/SUM($AF$104:AS104)+1)</f>
        <v>0.53011114385859659</v>
      </c>
      <c r="AT134" s="243">
        <f>IF(AT105=0,"-",SUM($AF$105:AT105)/SUM($AF$104:AT104)+1)</f>
        <v>0.53011114385859648</v>
      </c>
      <c r="AU134" s="243" t="str">
        <f>IF(AU105=0,"-",SUM($AF$105:AU105)/SUM($AF$104:AU104)+1)</f>
        <v>-</v>
      </c>
      <c r="AV134" s="243" t="str">
        <f>IF(AV105=0,"-",SUM($AF$105:AV105)/SUM($AF$104:AV104)+1)</f>
        <v>-</v>
      </c>
      <c r="AW134" s="243" t="str">
        <f>IF(AW105=0,"-",SUM($AF$105:AW105)/SUM($AF$104:AW104)+1)</f>
        <v>-</v>
      </c>
      <c r="AX134" s="243" t="str">
        <f>IF(AX105=0,"-",SUM($AF$105:AX105)/SUM($AF$104:AX104)+1)</f>
        <v>-</v>
      </c>
      <c r="AY134" s="243" t="str">
        <f>IF(AY105=0,"-",SUM($AF$105:AY105)/SUM($AF$104:AY104)+1)</f>
        <v>-</v>
      </c>
      <c r="AZ134" s="243" t="str">
        <f>IF(AZ105=0,"-",SUM($AF$105:AZ105)/SUM($AF$104:AZ104)+1)</f>
        <v>-</v>
      </c>
      <c r="BA134" s="243" t="str">
        <f>IF(BA105=0,"-",SUM($AF$105:BA105)/SUM($AF$104:BA104)+1)</f>
        <v>-</v>
      </c>
      <c r="BB134" s="243" t="str">
        <f>IF(BB105=0,"-",SUM($AF$105:BB105)/SUM($AF$104:BB104)+1)</f>
        <v>-</v>
      </c>
      <c r="BC134" s="243" t="str">
        <f>IF(BC105=0,"-",SUM($AF$105:BC105)/SUM($AF$104:BC104)+1)</f>
        <v>-</v>
      </c>
      <c r="BD134" s="243" t="str">
        <f>IF(BD105=0,"-",SUM($AF$105:BD105)/SUM($AF$104:BD104)+1)</f>
        <v>-</v>
      </c>
      <c r="BE134" s="26"/>
      <c r="BF134" s="26" t="s">
        <v>47</v>
      </c>
      <c r="BG134" s="26" t="str">
        <f t="shared" si="298"/>
        <v>Finance Gross Margin (YTD)</v>
      </c>
      <c r="BH134" s="195">
        <f t="shared" si="301"/>
        <v>0.53011114385859648</v>
      </c>
      <c r="BI134" s="195" t="str">
        <f t="shared" si="302"/>
        <v>-</v>
      </c>
      <c r="BJ134" s="195" t="str">
        <f t="shared" si="303"/>
        <v>-</v>
      </c>
      <c r="BK134" s="304" t="str">
        <f t="shared" si="304"/>
        <v>-</v>
      </c>
      <c r="BL134" s="195" t="str">
        <f ca="1">IF(BF134="EoP",OFFSET(AR134,0,MONTH('2024 Control'!$C$4)-1),SUM(AR134:OFFSET(AR134,0,MONTH('2024 Control'!$C$4)-1))/IF(BF134="Sum",1,MONTH('2024 Control'!$C$4)))</f>
        <v>-</v>
      </c>
      <c r="BM134" s="304">
        <f t="shared" si="305"/>
        <v>0.53011114385859648</v>
      </c>
    </row>
    <row r="135" spans="2:65">
      <c r="B135" s="26" t="s">
        <v>4</v>
      </c>
      <c r="C135" s="26" t="s">
        <v>263</v>
      </c>
      <c r="D135" s="204" t="str">
        <f t="shared" si="300"/>
        <v>Finance EBITDA Margin (YTD)</v>
      </c>
      <c r="E135" s="26" t="s">
        <v>238</v>
      </c>
      <c r="F135" s="217" t="s">
        <v>252</v>
      </c>
      <c r="G135" s="183" t="s">
        <v>4</v>
      </c>
      <c r="H135" s="243">
        <f>IF(H112=0,"-",SUM($H$112:H112)/SUM($H$104:H104))</f>
        <v>-0.43996351844296389</v>
      </c>
      <c r="I135" s="243">
        <f>IF(I112=0,"-",SUM($H$112:I112)/SUM($H$104:I104))</f>
        <v>-0.40976465482134716</v>
      </c>
      <c r="J135" s="243">
        <f>IF(J112=0,"-",SUM($H$112:J112)/SUM($H$104:J104))</f>
        <v>-0.36533329722771829</v>
      </c>
      <c r="K135" s="243">
        <f>IF(K112=0,"-",SUM($H$112:K112)/SUM($H$104:K104))</f>
        <v>-0.38772626390808673</v>
      </c>
      <c r="L135" s="243">
        <f>IF(L112=0,"-",SUM($H$112:L112)/SUM($H$104:L104))</f>
        <v>-0.32981610698901997</v>
      </c>
      <c r="M135" s="243">
        <f>IF(M112=0,"-",SUM($H$112:M112)/SUM($H$104:M104))</f>
        <v>-0.34028065034632149</v>
      </c>
      <c r="N135" s="243">
        <f>IF(N112=0,"-",SUM($H$112:N112)/SUM($H$104:N104))</f>
        <v>-0.35559989553470117</v>
      </c>
      <c r="O135" s="243">
        <f>IF(O112=0,"-",SUM($H$112:O112)/SUM($H$104:O104))</f>
        <v>-0.3790049823059618</v>
      </c>
      <c r="P135" s="243">
        <f>IF(P112=0,"-",SUM($H$112:P112)/SUM($H$104:P104))</f>
        <v>-0.37284991082540775</v>
      </c>
      <c r="Q135" s="243">
        <f>IF(Q112=0,"-",SUM($H$112:Q112)/SUM($H$104:Q104))</f>
        <v>-0.38842970908496444</v>
      </c>
      <c r="R135" s="243" t="str">
        <f>IF(R112=0,"-",SUM($H$112:R112)/SUM($H$104:R104))</f>
        <v>-</v>
      </c>
      <c r="S135" s="243" t="str">
        <f>IF(S112=0,"-",SUM($H$112:S112)/SUM($H$104:S104))</f>
        <v>-</v>
      </c>
      <c r="T135" s="243" t="str">
        <f>IF(T112=0,"-",SUM($H$112:T112)/SUM($H$104:T104))</f>
        <v>-</v>
      </c>
      <c r="U135" s="243" t="str">
        <f>IF(U112=0,"-",SUM($H$112:U112)/SUM($H$104:U104))</f>
        <v>-</v>
      </c>
      <c r="V135" s="243" t="str">
        <f>IF(V112=0,"-",SUM($H$112:V112)/SUM($H$104:V104))</f>
        <v>-</v>
      </c>
      <c r="W135" s="243" t="str">
        <f>IF(W112=0,"-",SUM($H$112:W112)/SUM($H$104:W104))</f>
        <v>-</v>
      </c>
      <c r="X135" s="243" t="str">
        <f>IF(X112=0,"-",SUM($H$112:X112)/SUM($H$104:X104))</f>
        <v>-</v>
      </c>
      <c r="Y135" s="243" t="str">
        <f>IF(Y112=0,"-",SUM($H$112:Y112)/SUM($H$104:Y104))</f>
        <v>-</v>
      </c>
      <c r="Z135" s="243" t="str">
        <f>IF(Z112=0,"-",SUM($H$112:Z112)/SUM($H$104:Z104))</f>
        <v>-</v>
      </c>
      <c r="AA135" s="243" t="str">
        <f>IF(AA112=0,"-",SUM($H$112:AA112)/SUM($H$104:AA104))</f>
        <v>-</v>
      </c>
      <c r="AB135" s="243" t="str">
        <f>IF(AB112=0,"-",SUM($H$112:AB112)/SUM($H$104:AB104))</f>
        <v>-</v>
      </c>
      <c r="AC135" s="243" t="str">
        <f>IF(AC112=0,"-",SUM($H$112:AC112)/SUM($H$104:AC104))</f>
        <v>-</v>
      </c>
      <c r="AD135" s="243" t="str">
        <f>IF(AD112=0,"-",SUM($H$112:AD112)/SUM($H$104:AD104))</f>
        <v>-</v>
      </c>
      <c r="AE135" s="243" t="str">
        <f>IF(AE112=0,"-",SUM($H$112:AE112)/SUM($H$104:AE104))</f>
        <v>-</v>
      </c>
      <c r="AF135" s="243">
        <f>IF(AF112=0,"-",SUM($AF$112:AF112)/SUM($AF$104:AF104))</f>
        <v>-0.6950838528977914</v>
      </c>
      <c r="AG135" s="243">
        <f>IF(AG112=0,"-",SUM($AF$112:AG112)/SUM($AF$104:AG104))</f>
        <v>-0.69508385289779151</v>
      </c>
      <c r="AH135" s="243">
        <f>IF(AH112=0,"-",SUM($AF$112:AH112)/SUM($AF$104:AH104))</f>
        <v>-0.69508385289779151</v>
      </c>
      <c r="AI135" s="243">
        <f>IF(AI112=0,"-",SUM($AF$112:AI112)/SUM($AF$104:AI104))</f>
        <v>-0.69508385289779151</v>
      </c>
      <c r="AJ135" s="243">
        <f>IF(AJ112=0,"-",SUM($AF$112:AJ112)/SUM($AF$104:AJ104))</f>
        <v>-0.69508385289779151</v>
      </c>
      <c r="AK135" s="243">
        <f>IF(AK112=0,"-",SUM($AF$112:AK112)/SUM($AF$104:AK104))</f>
        <v>-0.69508385289779151</v>
      </c>
      <c r="AL135" s="243">
        <f>IF(AL112=0,"-",SUM($AF$112:AL112)/SUM($AF$104:AL104))</f>
        <v>-0.69508385289779162</v>
      </c>
      <c r="AM135" s="243">
        <f>IF(AM112=0,"-",SUM($AF$112:AM112)/SUM($AF$104:AM104))</f>
        <v>-0.69508385289779162</v>
      </c>
      <c r="AN135" s="243">
        <f>IF(AN112=0,"-",SUM($AF$112:AN112)/SUM($AF$104:AN104))</f>
        <v>-0.69508385289779151</v>
      </c>
      <c r="AO135" s="243">
        <f>IF(AO112=0,"-",SUM($AF$112:AO112)/SUM($AF$104:AO104))</f>
        <v>-0.69508385289779151</v>
      </c>
      <c r="AP135" s="243">
        <f>IF(AP112=0,"-",SUM($AF$112:AP112)/SUM($AF$104:AP104))</f>
        <v>-0.69508385289779151</v>
      </c>
      <c r="AQ135" s="243">
        <f>IF(AQ112=0,"-",SUM($AF$112:AQ112)/SUM($AF$104:AQ104))</f>
        <v>-0.69508385289779162</v>
      </c>
      <c r="AR135" s="243">
        <f>IF(AR112=0,"-",SUM($AF$112:AR112)/SUM($AF$104:AR104))</f>
        <v>-0.69508385289779162</v>
      </c>
      <c r="AS135" s="243">
        <f>IF(AS112=0,"-",SUM($AF$112:AS112)/SUM($AF$104:AS104))</f>
        <v>-0.69508385289779151</v>
      </c>
      <c r="AT135" s="243">
        <f>IF(AT112=0,"-",SUM($AF$112:AT112)/SUM($AF$104:AT104))</f>
        <v>-0.69508385289779162</v>
      </c>
      <c r="AU135" s="243" t="str">
        <f>IF(AU112=0,"-",SUM($AF$112:AU112)/SUM($AF$104:AU104))</f>
        <v>-</v>
      </c>
      <c r="AV135" s="243" t="str">
        <f>IF(AV112=0,"-",SUM($AF$112:AV112)/SUM($AF$104:AV104))</f>
        <v>-</v>
      </c>
      <c r="AW135" s="243" t="str">
        <f>IF(AW112=0,"-",SUM($AF$112:AW112)/SUM($AF$104:AW104))</f>
        <v>-</v>
      </c>
      <c r="AX135" s="243" t="str">
        <f>IF(AX112=0,"-",SUM($AF$112:AX112)/SUM($AF$104:AX104))</f>
        <v>-</v>
      </c>
      <c r="AY135" s="243" t="str">
        <f>IF(AY112=0,"-",SUM($AF$112:AY112)/SUM($AF$104:AY104))</f>
        <v>-</v>
      </c>
      <c r="AZ135" s="243" t="str">
        <f>IF(AZ112=0,"-",SUM($AF$112:AZ112)/SUM($AF$104:AZ104))</f>
        <v>-</v>
      </c>
      <c r="BA135" s="243" t="str">
        <f>IF(BA112=0,"-",SUM($AF$112:BA112)/SUM($AF$104:BA104))</f>
        <v>-</v>
      </c>
      <c r="BB135" s="243" t="str">
        <f>IF(BB112=0,"-",SUM($AF$112:BB112)/SUM($AF$104:BB104))</f>
        <v>-</v>
      </c>
      <c r="BC135" s="243" t="str">
        <f>IF(BC112=0,"-",SUM($AF$112:BC112)/SUM($AF$104:BC104))</f>
        <v>-</v>
      </c>
      <c r="BD135" s="243" t="str">
        <f>IF(BD112=0,"-",SUM($AF$112:BD112)/SUM($AF$104:BD104))</f>
        <v>-</v>
      </c>
      <c r="BE135" s="26"/>
      <c r="BF135" s="26" t="s">
        <v>47</v>
      </c>
      <c r="BG135" s="26" t="str">
        <f t="shared" si="298"/>
        <v>Finance EBITDA Margin (YTD)</v>
      </c>
      <c r="BH135" s="195">
        <f t="shared" si="301"/>
        <v>-0.69508385289779162</v>
      </c>
      <c r="BI135" s="195" t="str">
        <f t="shared" si="302"/>
        <v>-</v>
      </c>
      <c r="BJ135" s="195" t="str">
        <f t="shared" si="303"/>
        <v>-</v>
      </c>
      <c r="BK135" s="304" t="str">
        <f t="shared" si="304"/>
        <v>-</v>
      </c>
      <c r="BL135" s="195" t="str">
        <f ca="1">IF(BF135="EoP",OFFSET(AR135,0,MONTH('2024 Control'!$C$4)-1),SUM(AR135:OFFSET(AR135,0,MONTH('2024 Control'!$C$4)-1))/IF(BF135="Sum",1,MONTH('2024 Control'!$C$4)))</f>
        <v>-</v>
      </c>
      <c r="BM135" s="304">
        <f t="shared" si="305"/>
        <v>-0.69508385289779162</v>
      </c>
    </row>
    <row r="136" spans="2:65">
      <c r="B136" s="26" t="s">
        <v>4</v>
      </c>
      <c r="C136" s="26" t="s">
        <v>263</v>
      </c>
      <c r="D136" s="204" t="str">
        <f t="shared" si="300"/>
        <v>Finance Score (YTD)</v>
      </c>
      <c r="E136" s="26" t="s">
        <v>239</v>
      </c>
      <c r="F136" s="183" t="s">
        <v>250</v>
      </c>
      <c r="G136" s="183" t="s">
        <v>4</v>
      </c>
      <c r="H136" s="244">
        <f t="shared" ref="H136:I136" si="306">H132+H133+H134+H135</f>
        <v>1.185028161204436</v>
      </c>
      <c r="I136" s="257">
        <f t="shared" si="306"/>
        <v>1.1937014117409774</v>
      </c>
      <c r="J136" s="264">
        <f>IFERROR(J132+J133+J134+J135,"n.a.")</f>
        <v>1.2624526963096017</v>
      </c>
      <c r="K136" s="264">
        <f t="shared" ref="K136:L136" si="307">IFERROR(K132+K133+K134+K135,"n.a.")</f>
        <v>1.2569034120673745</v>
      </c>
      <c r="L136" s="264">
        <f t="shared" si="307"/>
        <v>1.3403671395208929</v>
      </c>
      <c r="M136" s="264">
        <f t="shared" ref="M136:N136" si="308">IFERROR(M132+M133+M134+M135,"n.a.")</f>
        <v>1.3579445993249735</v>
      </c>
      <c r="N136" s="264">
        <f t="shared" si="308"/>
        <v>1.3338043074658694</v>
      </c>
      <c r="O136" s="264">
        <f t="shared" ref="O136:P136" si="309">IFERROR(O132+O133+O134+O135,"n.a.")</f>
        <v>1.3611752972226951</v>
      </c>
      <c r="P136" s="264">
        <f t="shared" si="309"/>
        <v>1.3615201124492429</v>
      </c>
      <c r="Q136" s="264">
        <f t="shared" ref="Q136:AF136" si="310">IFERROR(Q132+Q133+Q134+Q135,"n.a.")</f>
        <v>1.3601906304574212</v>
      </c>
      <c r="R136" s="264" t="str">
        <f t="shared" ref="R136:AE136" si="311">IFERROR(R132+R133+R134+R135,"n.a.")</f>
        <v>n.a.</v>
      </c>
      <c r="S136" s="264" t="str">
        <f t="shared" si="311"/>
        <v>n.a.</v>
      </c>
      <c r="T136" s="264" t="str">
        <f t="shared" si="311"/>
        <v>n.a.</v>
      </c>
      <c r="U136" s="264" t="str">
        <f t="shared" si="311"/>
        <v>n.a.</v>
      </c>
      <c r="V136" s="264" t="str">
        <f t="shared" si="311"/>
        <v>n.a.</v>
      </c>
      <c r="W136" s="264" t="str">
        <f t="shared" si="311"/>
        <v>n.a.</v>
      </c>
      <c r="X136" s="264" t="str">
        <f t="shared" si="311"/>
        <v>n.a.</v>
      </c>
      <c r="Y136" s="264" t="str">
        <f t="shared" si="311"/>
        <v>n.a.</v>
      </c>
      <c r="Z136" s="264" t="str">
        <f t="shared" si="311"/>
        <v>n.a.</v>
      </c>
      <c r="AA136" s="264" t="str">
        <f t="shared" si="311"/>
        <v>n.a.</v>
      </c>
      <c r="AB136" s="264" t="str">
        <f t="shared" si="311"/>
        <v>n.a.</v>
      </c>
      <c r="AC136" s="264" t="str">
        <f t="shared" si="311"/>
        <v>n.a.</v>
      </c>
      <c r="AD136" s="264" t="str">
        <f t="shared" si="311"/>
        <v>n.a.</v>
      </c>
      <c r="AE136" s="264" t="str">
        <f t="shared" si="311"/>
        <v>n.a.</v>
      </c>
      <c r="AF136" s="264">
        <f t="shared" si="310"/>
        <v>0.76417960211759484</v>
      </c>
      <c r="AG136" s="264">
        <f t="shared" ref="AG136:AI136" si="312">IFERROR(AG132+AG133+AG134+AG135,"n.a.")</f>
        <v>0.7457264037835859</v>
      </c>
      <c r="AH136" s="264">
        <f t="shared" si="312"/>
        <v>0.74535987324980379</v>
      </c>
      <c r="AI136" s="264">
        <f t="shared" si="312"/>
        <v>0.74901914079617471</v>
      </c>
      <c r="AJ136" s="264">
        <f t="shared" ref="AJ136:AK136" si="313">IFERROR(AJ132+AJ133+AJ134+AJ135,"n.a.")</f>
        <v>0.75497496465464786</v>
      </c>
      <c r="AK136" s="264">
        <f t="shared" si="313"/>
        <v>0.77151217050137688</v>
      </c>
      <c r="AL136" s="264">
        <f t="shared" ref="AL136:AM136" si="314">IFERROR(AL132+AL133+AL134+AL135,"n.a.")</f>
        <v>0.77946754012277153</v>
      </c>
      <c r="AM136" s="264">
        <f t="shared" si="314"/>
        <v>0.79177206509983411</v>
      </c>
      <c r="AN136" s="264">
        <f t="shared" ref="AN136:AP136" si="315">IFERROR(AN132+AN133+AN134+AN135,"n.a.")</f>
        <v>0.78104620303128913</v>
      </c>
      <c r="AO136" s="264">
        <f t="shared" si="315"/>
        <v>0.78134040814201733</v>
      </c>
      <c r="AP136" s="264">
        <f t="shared" si="315"/>
        <v>0.77660336432765564</v>
      </c>
      <c r="AQ136" s="264">
        <f t="shared" ref="AQ136:BD136" si="316">IFERROR(AQ132+AQ133+AQ134+AQ135,"n.a.")</f>
        <v>0.79863727793137285</v>
      </c>
      <c r="AR136" s="264">
        <f t="shared" si="316"/>
        <v>0.79863727793137285</v>
      </c>
      <c r="AS136" s="264">
        <f t="shared" si="316"/>
        <v>0.79863727793137318</v>
      </c>
      <c r="AT136" s="264">
        <f t="shared" si="316"/>
        <v>0.79863727793137285</v>
      </c>
      <c r="AU136" s="264" t="str">
        <f t="shared" si="316"/>
        <v>n.a.</v>
      </c>
      <c r="AV136" s="264" t="str">
        <f t="shared" si="316"/>
        <v>n.a.</v>
      </c>
      <c r="AW136" s="264" t="str">
        <f t="shared" si="316"/>
        <v>n.a.</v>
      </c>
      <c r="AX136" s="264" t="str">
        <f t="shared" si="316"/>
        <v>n.a.</v>
      </c>
      <c r="AY136" s="264" t="str">
        <f t="shared" si="316"/>
        <v>n.a.</v>
      </c>
      <c r="AZ136" s="264" t="str">
        <f t="shared" si="316"/>
        <v>n.a.</v>
      </c>
      <c r="BA136" s="264" t="str">
        <f t="shared" si="316"/>
        <v>n.a.</v>
      </c>
      <c r="BB136" s="264" t="str">
        <f t="shared" si="316"/>
        <v>n.a.</v>
      </c>
      <c r="BC136" s="264" t="str">
        <f t="shared" si="316"/>
        <v>n.a.</v>
      </c>
      <c r="BD136" s="264" t="str">
        <f t="shared" si="316"/>
        <v>n.a.</v>
      </c>
      <c r="BE136" s="26"/>
      <c r="BG136" s="26" t="str">
        <f t="shared" si="298"/>
        <v>Finance Score (YTD)</v>
      </c>
      <c r="BH136" s="194">
        <f>SUM(BH132:BH135)</f>
        <v>0.79863727793137285</v>
      </c>
      <c r="BI136" s="194">
        <f t="shared" ref="BI136:BK136" si="317">SUM(BI132:BI135)</f>
        <v>0.96360998697056799</v>
      </c>
      <c r="BJ136" s="194">
        <f t="shared" si="317"/>
        <v>0.96360998697056799</v>
      </c>
      <c r="BK136" s="214">
        <f t="shared" si="317"/>
        <v>0.96360998697056799</v>
      </c>
      <c r="BL136" s="194">
        <f ca="1">IF(BF136="EoP",OFFSET(AH136,0,MONTH('2024 Control'!$C$4)-1),SUM(AH136:OFFSET(AH136,0,MONTH('2024 Control'!$C$4)-1))/IF(BF136="Sum",1,MONTH('2024 Control'!$C$4)))</f>
        <v>0.77725063030997432</v>
      </c>
      <c r="BM136" s="304" t="str">
        <f t="shared" si="305"/>
        <v/>
      </c>
    </row>
    <row r="141" spans="2:65">
      <c r="B141" s="26"/>
      <c r="C141" s="26"/>
      <c r="D141" s="26"/>
      <c r="E141" s="26"/>
      <c r="F141" s="26"/>
      <c r="G141" s="205"/>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G141" s="26"/>
      <c r="BH141" s="26"/>
      <c r="BI141" s="26"/>
      <c r="BJ141" s="26"/>
      <c r="BK141" s="285"/>
      <c r="BL141" s="26"/>
      <c r="BM141" s="285"/>
    </row>
  </sheetData>
  <autoFilter ref="B3:BM136" xr:uid="{9492E984-B558-4427-A88B-6CC8C649AFFB}"/>
  <dataValidations count="1">
    <dataValidation type="list" allowBlank="1" showInputMessage="1" showErrorMessage="1" sqref="BF4:BF136" xr:uid="{76B63D29-0475-44B4-AB9C-C5412880C057}">
      <formula1>"Sum,Average,EoP"</formula1>
    </dataValidation>
  </dataValidations>
  <pageMargins left="0.25" right="0.25" top="0.25" bottom="0.25" header="0.3" footer="0.3"/>
  <pageSetup scale="93" fitToHeight="0" orientation="landscape" r:id="rId1"/>
  <headerFooter>
    <oddHeader>&amp;L&amp;"Aptos"&amp;10&amp;K000000 Internal Use Only&amp;1#_x000D_</oddHead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50E9-11C8-4539-B137-0AF9D2869B89}">
  <sheetPr codeName="Sheet15">
    <tabColor theme="1" tint="0.34998626667073579"/>
  </sheetPr>
  <dimension ref="B1:L32"/>
  <sheetViews>
    <sheetView workbookViewId="0">
      <selection activeCell="D3" sqref="D3"/>
    </sheetView>
  </sheetViews>
  <sheetFormatPr defaultColWidth="9.1796875" defaultRowHeight="12.5"/>
  <cols>
    <col min="1" max="1" width="2.453125" style="147" customWidth="1"/>
    <col min="2" max="2" width="7.453125" style="147" customWidth="1"/>
    <col min="3" max="3" width="9.1796875" style="147" bestFit="1"/>
    <col min="4" max="4" width="31.1796875" style="147" bestFit="1" customWidth="1"/>
    <col min="5" max="5" width="1.453125" style="147" customWidth="1"/>
    <col min="6" max="11" width="9.1796875" style="147" bestFit="1"/>
    <col min="12" max="12" width="23.453125" style="147" customWidth="1"/>
    <col min="13" max="16384" width="9.1796875" style="147"/>
  </cols>
  <sheetData>
    <row r="1" spans="2:12" ht="6" customHeight="1">
      <c r="B1" s="26"/>
      <c r="C1" s="26"/>
      <c r="D1" s="26"/>
      <c r="E1" s="26"/>
      <c r="F1" s="26"/>
      <c r="G1" s="26"/>
      <c r="H1" s="26"/>
      <c r="I1" s="26"/>
      <c r="J1" s="26"/>
      <c r="K1" s="26"/>
      <c r="L1" s="26"/>
    </row>
    <row r="2" spans="2:12">
      <c r="B2" s="26" t="str">
        <f>'2023 Control'!$C$3</f>
        <v>Concertiv</v>
      </c>
      <c r="C2" s="26"/>
      <c r="D2" s="26"/>
      <c r="E2" s="26"/>
      <c r="F2" s="26"/>
      <c r="G2" s="26"/>
      <c r="H2" s="26"/>
      <c r="I2" s="26"/>
      <c r="J2" s="26"/>
      <c r="K2" s="26"/>
      <c r="L2" s="26"/>
    </row>
    <row r="3" spans="2:12">
      <c r="B3" s="30" t="str">
        <f>TEXT(MONTH('2023 Control'!$C$4),"MMM")&amp;" "&amp;TEXT(('2023 Control'!$C$4),"YYYY")&amp;" Reporting Package"</f>
        <v>Jan 2023 Reporting Package</v>
      </c>
      <c r="C3" s="30"/>
      <c r="D3" s="30"/>
      <c r="E3" s="30"/>
      <c r="F3" s="30"/>
      <c r="G3" s="30"/>
      <c r="H3" s="30"/>
      <c r="I3" s="30"/>
      <c r="J3" s="30"/>
      <c r="K3" s="30"/>
      <c r="L3" s="26"/>
    </row>
    <row r="4" spans="2:12" ht="20">
      <c r="B4" s="130" t="s">
        <v>264</v>
      </c>
      <c r="C4" s="130"/>
      <c r="D4" s="130"/>
      <c r="E4" s="130"/>
      <c r="F4" s="130"/>
      <c r="G4" s="130"/>
      <c r="H4" s="130"/>
      <c r="I4" s="130"/>
      <c r="J4" s="130"/>
      <c r="K4" s="130"/>
      <c r="L4" s="130"/>
    </row>
    <row r="5" spans="2:12" ht="12.75" customHeight="1">
      <c r="B5" s="26"/>
      <c r="C5" s="26"/>
      <c r="D5" s="150" t="s">
        <v>265</v>
      </c>
      <c r="E5" s="26"/>
      <c r="F5" s="148" t="s">
        <v>266</v>
      </c>
      <c r="G5" s="26"/>
      <c r="H5" s="26"/>
      <c r="I5" s="26"/>
      <c r="J5" s="26"/>
      <c r="K5" s="26"/>
      <c r="L5" s="26"/>
    </row>
    <row r="6" spans="2:12">
      <c r="B6" s="26"/>
      <c r="C6" s="26"/>
      <c r="D6" s="153" t="s">
        <v>51</v>
      </c>
      <c r="E6" s="154"/>
      <c r="F6" s="153" t="s">
        <v>267</v>
      </c>
      <c r="G6" s="153"/>
      <c r="H6" s="153"/>
      <c r="I6" s="153"/>
      <c r="J6" s="153"/>
      <c r="K6" s="153"/>
      <c r="L6" s="153"/>
    </row>
    <row r="7" spans="2:12">
      <c r="B7" s="26"/>
      <c r="C7" s="26"/>
      <c r="D7" s="155" t="s">
        <v>55</v>
      </c>
      <c r="E7" s="156"/>
      <c r="F7" s="155" t="s">
        <v>268</v>
      </c>
      <c r="G7" s="155"/>
      <c r="H7" s="155"/>
      <c r="I7" s="155"/>
      <c r="J7" s="155"/>
      <c r="K7" s="155"/>
      <c r="L7" s="155"/>
    </row>
    <row r="8" spans="2:12">
      <c r="B8" s="26"/>
      <c r="C8" s="26"/>
      <c r="D8" s="155" t="s">
        <v>56</v>
      </c>
      <c r="E8" s="156"/>
      <c r="F8" s="155" t="s">
        <v>269</v>
      </c>
      <c r="G8" s="155"/>
      <c r="H8" s="155"/>
      <c r="I8" s="155"/>
      <c r="J8" s="155"/>
      <c r="K8" s="155"/>
      <c r="L8" s="155"/>
    </row>
    <row r="9" spans="2:12">
      <c r="B9" s="30"/>
      <c r="C9" s="30"/>
      <c r="D9" s="157" t="s">
        <v>64</v>
      </c>
      <c r="E9" s="158"/>
      <c r="F9" s="157" t="s">
        <v>270</v>
      </c>
      <c r="G9" s="157"/>
      <c r="H9" s="157"/>
      <c r="I9" s="157"/>
      <c r="J9" s="157"/>
      <c r="K9" s="157"/>
      <c r="L9" s="157"/>
    </row>
    <row r="10" spans="2:12">
      <c r="B10" s="26"/>
      <c r="C10" s="26"/>
      <c r="D10" s="155" t="s">
        <v>105</v>
      </c>
      <c r="E10" s="156"/>
      <c r="F10" s="155" t="s">
        <v>271</v>
      </c>
      <c r="G10" s="155"/>
      <c r="H10" s="155"/>
      <c r="I10" s="155"/>
      <c r="J10" s="155"/>
      <c r="K10" s="155"/>
      <c r="L10" s="155"/>
    </row>
    <row r="11" spans="2:12">
      <c r="B11" s="26"/>
      <c r="C11" s="26"/>
      <c r="D11" s="155" t="s">
        <v>109</v>
      </c>
      <c r="E11" s="156"/>
      <c r="F11" s="159" t="s">
        <v>272</v>
      </c>
      <c r="G11" s="155"/>
      <c r="H11" s="155"/>
      <c r="I11" s="155"/>
      <c r="J11" s="155"/>
      <c r="K11" s="155"/>
      <c r="L11" s="155"/>
    </row>
    <row r="12" spans="2:12">
      <c r="B12" s="26"/>
      <c r="C12" s="26"/>
      <c r="D12" s="155" t="s">
        <v>273</v>
      </c>
      <c r="E12" s="156"/>
      <c r="F12" s="155" t="s">
        <v>274</v>
      </c>
      <c r="G12" s="155"/>
      <c r="H12" s="155"/>
      <c r="I12" s="155"/>
      <c r="J12" s="155"/>
      <c r="K12" s="155"/>
      <c r="L12" s="155"/>
    </row>
    <row r="13" spans="2:12">
      <c r="B13" s="26"/>
      <c r="C13" s="26"/>
      <c r="D13" s="155" t="s">
        <v>115</v>
      </c>
      <c r="E13" s="156"/>
      <c r="F13" s="155" t="s">
        <v>275</v>
      </c>
      <c r="G13" s="155"/>
      <c r="H13" s="155"/>
      <c r="I13" s="155"/>
      <c r="J13" s="155"/>
      <c r="K13" s="155"/>
      <c r="L13" s="155"/>
    </row>
    <row r="14" spans="2:12">
      <c r="B14" s="30"/>
      <c r="C14" s="30"/>
      <c r="D14" s="157" t="s">
        <v>116</v>
      </c>
      <c r="E14" s="158"/>
      <c r="F14" s="157" t="s">
        <v>276</v>
      </c>
      <c r="G14" s="157"/>
      <c r="H14" s="157"/>
      <c r="I14" s="157"/>
      <c r="J14" s="157"/>
      <c r="K14" s="157"/>
      <c r="L14" s="157"/>
    </row>
    <row r="15" spans="2:12">
      <c r="B15" s="26"/>
      <c r="C15" s="26"/>
      <c r="D15" s="155" t="s">
        <v>71</v>
      </c>
      <c r="E15" s="156"/>
      <c r="F15" s="155" t="s">
        <v>277</v>
      </c>
      <c r="G15" s="155"/>
      <c r="H15" s="155"/>
      <c r="I15" s="155"/>
      <c r="J15" s="155"/>
      <c r="K15" s="155"/>
      <c r="L15" s="155"/>
    </row>
    <row r="16" spans="2:12">
      <c r="B16" s="26"/>
      <c r="C16" s="26"/>
      <c r="D16" s="155" t="s">
        <v>74</v>
      </c>
      <c r="E16" s="156"/>
      <c r="F16" s="155" t="s">
        <v>278</v>
      </c>
      <c r="G16" s="155"/>
      <c r="H16" s="155"/>
      <c r="I16" s="155"/>
      <c r="J16" s="155"/>
      <c r="K16" s="155"/>
      <c r="L16" s="155"/>
    </row>
    <row r="17" spans="2:12">
      <c r="B17" s="26"/>
      <c r="C17" s="26"/>
      <c r="D17" s="155" t="s">
        <v>77</v>
      </c>
      <c r="E17" s="156"/>
      <c r="F17" s="155" t="s">
        <v>279</v>
      </c>
      <c r="G17" s="155"/>
      <c r="H17" s="155"/>
      <c r="I17" s="155"/>
      <c r="J17" s="155"/>
      <c r="K17" s="155"/>
      <c r="L17" s="155"/>
    </row>
    <row r="18" spans="2:12">
      <c r="B18" s="26"/>
      <c r="C18" s="26"/>
      <c r="D18" s="155" t="s">
        <v>160</v>
      </c>
      <c r="E18" s="156"/>
      <c r="F18" s="159" t="s">
        <v>280</v>
      </c>
      <c r="G18" s="155"/>
      <c r="H18" s="155"/>
      <c r="I18" s="155"/>
      <c r="J18" s="155"/>
      <c r="K18" s="155"/>
      <c r="L18" s="155"/>
    </row>
    <row r="19" spans="2:12">
      <c r="B19" s="26"/>
      <c r="C19" s="26"/>
      <c r="D19" s="155" t="s">
        <v>165</v>
      </c>
      <c r="E19" s="156"/>
      <c r="F19" s="155" t="s">
        <v>281</v>
      </c>
      <c r="G19" s="155"/>
      <c r="H19" s="155"/>
      <c r="I19" s="155"/>
      <c r="J19" s="155"/>
      <c r="K19" s="155"/>
      <c r="L19" s="155"/>
    </row>
    <row r="20" spans="2:12">
      <c r="B20" s="26"/>
      <c r="C20" s="26"/>
      <c r="D20" s="155" t="s">
        <v>166</v>
      </c>
      <c r="E20" s="156"/>
      <c r="F20" s="155" t="s">
        <v>282</v>
      </c>
      <c r="G20" s="155"/>
      <c r="H20" s="155"/>
      <c r="I20" s="155"/>
      <c r="J20" s="155"/>
      <c r="K20" s="155"/>
      <c r="L20" s="155"/>
    </row>
    <row r="21" spans="2:12">
      <c r="B21" s="30"/>
      <c r="C21" s="30"/>
      <c r="D21" s="155" t="s">
        <v>92</v>
      </c>
      <c r="E21" s="158"/>
      <c r="F21" s="157" t="s">
        <v>283</v>
      </c>
      <c r="G21" s="157"/>
      <c r="H21" s="157"/>
      <c r="I21" s="157"/>
      <c r="J21" s="157"/>
      <c r="K21" s="157"/>
      <c r="L21" s="157"/>
    </row>
    <row r="22" spans="2:12">
      <c r="B22" s="26"/>
      <c r="C22" s="26"/>
      <c r="D22" s="153" t="s">
        <v>174</v>
      </c>
      <c r="E22" s="156"/>
      <c r="F22" s="159" t="s">
        <v>284</v>
      </c>
      <c r="G22" s="155"/>
      <c r="H22" s="155"/>
      <c r="I22" s="155"/>
      <c r="J22" s="155"/>
      <c r="K22" s="155"/>
      <c r="L22" s="155"/>
    </row>
    <row r="23" spans="2:12">
      <c r="B23" s="26"/>
      <c r="C23" s="26"/>
      <c r="D23" s="155" t="s">
        <v>175</v>
      </c>
      <c r="E23" s="156"/>
      <c r="F23" s="159" t="s">
        <v>285</v>
      </c>
      <c r="G23" s="155"/>
      <c r="H23" s="155"/>
      <c r="I23" s="155"/>
      <c r="J23" s="155"/>
      <c r="K23" s="155"/>
      <c r="L23" s="155"/>
    </row>
    <row r="24" spans="2:12">
      <c r="B24" s="26"/>
      <c r="C24" s="26"/>
      <c r="D24" s="155" t="s">
        <v>286</v>
      </c>
      <c r="E24" s="156"/>
      <c r="F24" s="155" t="s">
        <v>287</v>
      </c>
      <c r="G24" s="155"/>
      <c r="H24" s="155"/>
      <c r="I24" s="155"/>
      <c r="J24" s="155"/>
      <c r="K24" s="155"/>
      <c r="L24" s="155"/>
    </row>
    <row r="25" spans="2:12">
      <c r="B25" s="26"/>
      <c r="C25" s="26"/>
      <c r="D25" s="155" t="s">
        <v>181</v>
      </c>
      <c r="E25" s="156"/>
      <c r="F25" s="155" t="s">
        <v>288</v>
      </c>
      <c r="G25" s="155"/>
      <c r="H25" s="155"/>
      <c r="I25" s="155"/>
      <c r="J25" s="155"/>
      <c r="K25" s="155"/>
      <c r="L25" s="155"/>
    </row>
    <row r="26" spans="2:12">
      <c r="B26" s="30"/>
      <c r="C26" s="30"/>
      <c r="D26" s="157" t="s">
        <v>182</v>
      </c>
      <c r="E26" s="158"/>
      <c r="F26" s="157" t="s">
        <v>289</v>
      </c>
      <c r="G26" s="157"/>
      <c r="H26" s="157"/>
      <c r="I26" s="157"/>
      <c r="J26" s="157"/>
      <c r="K26" s="157"/>
      <c r="L26" s="157"/>
    </row>
    <row r="27" spans="2:12">
      <c r="B27" s="26"/>
      <c r="C27" s="26"/>
      <c r="D27" s="153" t="s">
        <v>204</v>
      </c>
      <c r="E27" s="156"/>
      <c r="F27" s="155" t="s">
        <v>290</v>
      </c>
      <c r="G27" s="155"/>
      <c r="H27" s="155"/>
      <c r="I27" s="155"/>
      <c r="J27" s="155"/>
      <c r="K27" s="155"/>
      <c r="L27" s="155"/>
    </row>
    <row r="28" spans="2:12">
      <c r="B28" s="26"/>
      <c r="C28" s="26"/>
      <c r="D28" s="155" t="s">
        <v>205</v>
      </c>
      <c r="E28" s="156"/>
      <c r="F28" s="155" t="s">
        <v>291</v>
      </c>
      <c r="G28" s="155"/>
      <c r="H28" s="155"/>
      <c r="I28" s="155"/>
      <c r="J28" s="155"/>
      <c r="K28" s="155"/>
      <c r="L28" s="155"/>
    </row>
    <row r="29" spans="2:12">
      <c r="B29" s="30"/>
      <c r="C29" s="30"/>
      <c r="D29" s="157" t="s">
        <v>206</v>
      </c>
      <c r="E29" s="158"/>
      <c r="F29" s="157" t="s">
        <v>292</v>
      </c>
      <c r="G29" s="157"/>
      <c r="H29" s="157"/>
      <c r="I29" s="157"/>
      <c r="J29" s="157"/>
      <c r="K29" s="157"/>
      <c r="L29" s="157"/>
    </row>
    <row r="30" spans="2:12">
      <c r="B30" s="26"/>
      <c r="C30" s="26"/>
      <c r="D30" s="153" t="s">
        <v>218</v>
      </c>
      <c r="E30" s="156"/>
      <c r="F30" s="155" t="s">
        <v>293</v>
      </c>
      <c r="G30" s="155"/>
      <c r="H30" s="155"/>
      <c r="I30" s="155"/>
      <c r="J30" s="155"/>
      <c r="K30" s="155"/>
      <c r="L30" s="155"/>
    </row>
    <row r="31" spans="2:12">
      <c r="B31" s="26"/>
      <c r="C31" s="26"/>
      <c r="D31" s="155" t="s">
        <v>263</v>
      </c>
      <c r="E31" s="156"/>
      <c r="F31" s="155" t="s">
        <v>294</v>
      </c>
      <c r="G31" s="155"/>
      <c r="H31" s="155"/>
      <c r="I31" s="155"/>
      <c r="J31" s="155"/>
      <c r="K31" s="155"/>
      <c r="L31" s="155"/>
    </row>
    <row r="32" spans="2:12">
      <c r="B32" s="26"/>
      <c r="C32" s="26"/>
      <c r="D32" s="26"/>
      <c r="E32" s="26"/>
      <c r="F32" s="26"/>
      <c r="G32" s="26"/>
      <c r="H32" s="26"/>
      <c r="I32" s="26"/>
      <c r="J32" s="26"/>
      <c r="K32" s="26"/>
      <c r="L32" s="26"/>
    </row>
  </sheetData>
  <pageMargins left="0.25" right="0.25" top="0.25" bottom="0.25" header="0.3" footer="0.3"/>
  <pageSetup scale="93" fitToHeight="0" orientation="landscape" r:id="rId1"/>
  <headerFooter>
    <oddHeader>&amp;L&amp;"Aptos"&amp;10&amp;K000000 Internal Use Only&amp;1#_x000D_</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C25D1-47C7-4F96-9C4A-5C6457DFE7A8}">
  <sheetPr codeName="Sheet16">
    <tabColor theme="1" tint="0.249977111117893"/>
  </sheetPr>
  <dimension ref="A1"/>
  <sheetViews>
    <sheetView workbookViewId="0"/>
  </sheetViews>
  <sheetFormatPr defaultColWidth="8.81640625" defaultRowHeight="14.5"/>
  <sheetData/>
  <pageMargins left="0.7" right="0.7" top="0.75" bottom="0.75" header="0.3" footer="0.3"/>
  <headerFooter>
    <oddHeader>&amp;L&amp;"Aptos"&amp;10&amp;K000000 Internal Use Only&amp;1#_x000D_</oddHead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31CCF-26DF-43DE-B670-47F6ADF6AC22}">
  <sheetPr codeName="Sheet17">
    <tabColor theme="5"/>
  </sheetPr>
  <dimension ref="B1:AM141"/>
  <sheetViews>
    <sheetView workbookViewId="0">
      <selection activeCell="V3" sqref="V3"/>
    </sheetView>
  </sheetViews>
  <sheetFormatPr defaultColWidth="9.1796875" defaultRowHeight="12.5" outlineLevelCol="1"/>
  <cols>
    <col min="1" max="1" width="2.453125" style="147" customWidth="1"/>
    <col min="2" max="2" width="18.81640625" style="147" bestFit="1" customWidth="1"/>
    <col min="3" max="3" width="28.1796875" style="147" customWidth="1" outlineLevel="1"/>
    <col min="4" max="4" width="36.453125" style="147" customWidth="1" outlineLevel="1"/>
    <col min="5" max="5" width="32.453125" style="147" customWidth="1"/>
    <col min="6" max="6" width="9.1796875" style="147" bestFit="1" customWidth="1"/>
    <col min="7" max="7" width="12.453125" style="147" hidden="1" customWidth="1"/>
    <col min="8" max="9" width="13.453125" style="147" hidden="1" customWidth="1"/>
    <col min="10" max="11" width="12.453125" style="147" hidden="1" customWidth="1"/>
    <col min="12" max="12" width="13.453125" style="147" hidden="1" customWidth="1"/>
    <col min="13" max="14" width="12.453125" style="147" hidden="1" customWidth="1"/>
    <col min="15" max="15" width="13.453125" style="147" hidden="1" customWidth="1"/>
    <col min="16" max="17" width="12.453125" style="147" hidden="1" customWidth="1"/>
    <col min="18" max="18" width="13.453125" style="147" hidden="1" customWidth="1"/>
    <col min="19" max="23" width="15.81640625" style="147" bestFit="1" customWidth="1"/>
    <col min="24" max="24" width="14.81640625" style="147" bestFit="1" customWidth="1"/>
    <col min="25" max="26" width="15.81640625" style="147" bestFit="1" customWidth="1"/>
    <col min="27" max="29" width="14.81640625" style="147" bestFit="1" customWidth="1"/>
    <col min="30" max="30" width="15.1796875" style="147" bestFit="1" customWidth="1"/>
    <col min="31" max="31" width="9.1796875" style="147" bestFit="1"/>
    <col min="32" max="32" width="22" style="26" customWidth="1" outlineLevel="1"/>
    <col min="33" max="33" width="5" style="147" customWidth="1"/>
    <col min="34" max="36" width="13.453125" style="147" bestFit="1" customWidth="1"/>
    <col min="37" max="37" width="12.453125" style="147" bestFit="1" customWidth="1"/>
    <col min="38" max="38" width="13.453125" style="147" bestFit="1" customWidth="1"/>
    <col min="39" max="39" width="9.453125" style="317" bestFit="1" customWidth="1"/>
    <col min="40" max="16384" width="9.1796875" style="147"/>
  </cols>
  <sheetData>
    <row r="1" spans="2:39" ht="6" customHeight="1">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G1" s="26"/>
      <c r="AH1" s="26"/>
      <c r="AI1" s="26"/>
      <c r="AJ1" s="26"/>
      <c r="AK1" s="26"/>
      <c r="AL1" s="26"/>
      <c r="AM1" s="285"/>
    </row>
    <row r="2" spans="2:39" ht="13.5" thickBot="1">
      <c r="B2" s="26"/>
      <c r="C2" s="26"/>
      <c r="D2" s="26"/>
      <c r="E2" s="26"/>
      <c r="F2" s="169"/>
      <c r="G2" s="169" t="s">
        <v>295</v>
      </c>
      <c r="H2" s="169"/>
      <c r="I2" s="169"/>
      <c r="J2" s="26"/>
      <c r="K2" s="26"/>
      <c r="L2" s="26"/>
      <c r="M2" s="26"/>
      <c r="N2" s="26"/>
      <c r="O2" s="169"/>
      <c r="P2" s="169"/>
      <c r="Q2" s="26"/>
      <c r="R2" s="26"/>
      <c r="S2" s="169" t="s">
        <v>295</v>
      </c>
      <c r="T2" s="169"/>
      <c r="U2" s="169"/>
      <c r="V2" s="26"/>
      <c r="W2" s="26"/>
      <c r="X2" s="26"/>
      <c r="Y2" s="26"/>
      <c r="Z2" s="26"/>
      <c r="AA2" s="169"/>
      <c r="AB2" s="169"/>
      <c r="AC2" s="26"/>
      <c r="AD2" s="26"/>
      <c r="AE2" s="26"/>
      <c r="AG2" s="26"/>
      <c r="AH2" s="169" t="s">
        <v>295</v>
      </c>
      <c r="AI2" s="26"/>
      <c r="AJ2" s="26"/>
      <c r="AK2" s="26"/>
      <c r="AL2" s="26"/>
      <c r="AM2" s="285"/>
    </row>
    <row r="3" spans="2:39" ht="13">
      <c r="B3" s="126" t="s">
        <v>241</v>
      </c>
      <c r="C3" s="126" t="s">
        <v>242</v>
      </c>
      <c r="D3" s="126" t="s">
        <v>243</v>
      </c>
      <c r="E3" s="206" t="s">
        <v>244</v>
      </c>
      <c r="F3" s="170" t="s">
        <v>35</v>
      </c>
      <c r="G3" s="170">
        <v>44957</v>
      </c>
      <c r="H3" s="187">
        <f t="shared" ref="H3:R3" si="0">EOMONTH(G3,1)</f>
        <v>44985</v>
      </c>
      <c r="I3" s="187">
        <f t="shared" si="0"/>
        <v>45016</v>
      </c>
      <c r="J3" s="187">
        <f t="shared" si="0"/>
        <v>45046</v>
      </c>
      <c r="K3" s="187">
        <f t="shared" si="0"/>
        <v>45077</v>
      </c>
      <c r="L3" s="187">
        <f t="shared" si="0"/>
        <v>45107</v>
      </c>
      <c r="M3" s="187">
        <f t="shared" si="0"/>
        <v>45138</v>
      </c>
      <c r="N3" s="187">
        <f t="shared" si="0"/>
        <v>45169</v>
      </c>
      <c r="O3" s="187">
        <f t="shared" si="0"/>
        <v>45199</v>
      </c>
      <c r="P3" s="187">
        <f t="shared" si="0"/>
        <v>45230</v>
      </c>
      <c r="Q3" s="187">
        <f t="shared" si="0"/>
        <v>45260</v>
      </c>
      <c r="R3" s="187">
        <f t="shared" si="0"/>
        <v>45291</v>
      </c>
      <c r="S3" s="187">
        <f t="shared" ref="S3" si="1">EOMONTH(R3,1)</f>
        <v>45322</v>
      </c>
      <c r="T3" s="187">
        <f t="shared" ref="T3" si="2">EOMONTH(S3,1)</f>
        <v>45351</v>
      </c>
      <c r="U3" s="187">
        <f t="shared" ref="U3" si="3">EOMONTH(T3,1)</f>
        <v>45382</v>
      </c>
      <c r="V3" s="187">
        <f t="shared" ref="V3" si="4">EOMONTH(U3,1)</f>
        <v>45412</v>
      </c>
      <c r="W3" s="187">
        <f t="shared" ref="W3" si="5">EOMONTH(V3,1)</f>
        <v>45443</v>
      </c>
      <c r="X3" s="187">
        <f t="shared" ref="X3" si="6">EOMONTH(W3,1)</f>
        <v>45473</v>
      </c>
      <c r="Y3" s="187">
        <f t="shared" ref="Y3" si="7">EOMONTH(X3,1)</f>
        <v>45504</v>
      </c>
      <c r="Z3" s="187">
        <f t="shared" ref="Z3" si="8">EOMONTH(Y3,1)</f>
        <v>45535</v>
      </c>
      <c r="AA3" s="187">
        <f t="shared" ref="AA3" si="9">EOMONTH(Z3,1)</f>
        <v>45565</v>
      </c>
      <c r="AB3" s="187">
        <f t="shared" ref="AB3" si="10">EOMONTH(AA3,1)</f>
        <v>45596</v>
      </c>
      <c r="AC3" s="187">
        <f t="shared" ref="AC3" si="11">EOMONTH(AB3,1)</f>
        <v>45626</v>
      </c>
      <c r="AD3" s="187">
        <f t="shared" ref="AD3" si="12">EOMONTH(AC3,1)</f>
        <v>45657</v>
      </c>
      <c r="AE3" s="26"/>
      <c r="AF3" s="187" t="s">
        <v>246</v>
      </c>
      <c r="AG3" s="126" t="str">
        <f t="shared" ref="AG3:AG11" si="13">D3</f>
        <v>ID</v>
      </c>
      <c r="AH3" s="187" t="s">
        <v>41</v>
      </c>
      <c r="AI3" s="187" t="s">
        <v>42</v>
      </c>
      <c r="AJ3" s="187" t="s">
        <v>43</v>
      </c>
      <c r="AK3" s="187" t="s">
        <v>44</v>
      </c>
      <c r="AL3" s="187" t="s">
        <v>39</v>
      </c>
      <c r="AM3" s="187" t="s">
        <v>40</v>
      </c>
    </row>
    <row r="4" spans="2:39">
      <c r="B4" s="26" t="s">
        <v>32</v>
      </c>
      <c r="C4" s="26" t="s">
        <v>45</v>
      </c>
      <c r="D4" s="26" t="str">
        <f t="shared" ref="D4:D11" si="14">B4&amp;" "&amp;E4</f>
        <v>Product Development # of Squads</v>
      </c>
      <c r="E4" s="26" t="s">
        <v>46</v>
      </c>
      <c r="F4" s="186" t="str">
        <f>Actuals!F4</f>
        <v>#</v>
      </c>
      <c r="G4" s="160">
        <v>2</v>
      </c>
      <c r="H4" s="160">
        <v>2</v>
      </c>
      <c r="I4" s="160">
        <v>2</v>
      </c>
      <c r="J4" s="160">
        <v>2</v>
      </c>
      <c r="K4" s="160">
        <v>2</v>
      </c>
      <c r="L4" s="160">
        <v>2</v>
      </c>
      <c r="M4" s="160">
        <v>3</v>
      </c>
      <c r="N4" s="160">
        <v>3</v>
      </c>
      <c r="O4" s="160">
        <v>3</v>
      </c>
      <c r="P4" s="160">
        <v>3</v>
      </c>
      <c r="Q4" s="160">
        <v>3</v>
      </c>
      <c r="R4" s="160">
        <v>3</v>
      </c>
      <c r="S4" s="160">
        <v>3</v>
      </c>
      <c r="T4" s="160">
        <v>3</v>
      </c>
      <c r="U4" s="160">
        <v>3</v>
      </c>
      <c r="V4" s="160">
        <v>3</v>
      </c>
      <c r="W4" s="160">
        <v>3</v>
      </c>
      <c r="X4" s="160">
        <v>3</v>
      </c>
      <c r="Y4" s="160">
        <v>3</v>
      </c>
      <c r="Z4" s="160">
        <v>3</v>
      </c>
      <c r="AA4" s="160">
        <v>3</v>
      </c>
      <c r="AB4" s="160">
        <v>3</v>
      </c>
      <c r="AC4" s="160">
        <v>3</v>
      </c>
      <c r="AD4" s="160">
        <v>3</v>
      </c>
      <c r="AE4" s="26"/>
      <c r="AF4" s="188" t="s">
        <v>249</v>
      </c>
      <c r="AG4" s="26" t="str">
        <f t="shared" si="13"/>
        <v>Product Development # of Squads</v>
      </c>
      <c r="AH4" s="195">
        <f>IF($AF4="Sum",SUM(S4:U4),IF($AF4="Average",AVERAGE(S4:U4),IF($AF4="EoP",IV4,"ERROR")))</f>
        <v>3</v>
      </c>
      <c r="AI4" s="195">
        <f>IF($AF4="Sum",SUM(V4:X4),IF($AF4="Average",AVERAGE(V4:X4),IF($AF4="EoP",U4,"ERROR")))</f>
        <v>3</v>
      </c>
      <c r="AJ4" s="195">
        <f>IF($AF4="Sum",SUM(X4:Z4),IF($AF4="Average",AVERAGE(X4:Z4),IF($AF4="EoP",Z4,"ERROR")))</f>
        <v>3</v>
      </c>
      <c r="AK4" s="195">
        <f>IF($AF4="Sum",SUM(AB4:AD4),IF($AF4="Average",AVERAGE(AB4:AD4),IF($AF4="EoP",AD4,"ERROR")))</f>
        <v>3</v>
      </c>
      <c r="AL4" s="195">
        <f ca="1">IF(AF4="EoP",OFFSET(S4,0,MONTH('2024 Control'!$C$4)-1),SUM(S4:OFFSET(S4,0,MONTH('2024 Control'!$C$4)-1))/IF(AF4="Sum",1,MONTH('2024 Control'!$C$4)))</f>
        <v>3</v>
      </c>
      <c r="AM4" s="304">
        <f ca="1">IF(AF4="Sum",(SUM(OFFSET(S4,0,MONTH('2024 Control'!$C$4)-12):OFFSET(S4,0,MONTH('2024 Control'!$C$4)-1))),IF(AF4="Average",(SUM(OFFSET(S4,0,MONTH('2024 Control'!$C$4)-12):OFFSET(S4,0,MONTH('2024 Control'!$C$4)-1)))/12,"-"))</f>
        <v>3</v>
      </c>
    </row>
    <row r="5" spans="2:39">
      <c r="B5" s="26" t="s">
        <v>32</v>
      </c>
      <c r="C5" s="26" t="s">
        <v>45</v>
      </c>
      <c r="D5" s="26" t="str">
        <f t="shared" si="14"/>
        <v>Product Development # of Sprints</v>
      </c>
      <c r="E5" s="26" t="s">
        <v>48</v>
      </c>
      <c r="F5" s="186" t="str">
        <f>Actuals!F5</f>
        <v>#</v>
      </c>
      <c r="G5" s="160">
        <v>4.32</v>
      </c>
      <c r="H5" s="160">
        <v>4.32</v>
      </c>
      <c r="I5" s="160">
        <v>4.32</v>
      </c>
      <c r="J5" s="160">
        <v>6.48</v>
      </c>
      <c r="K5" s="160">
        <v>6.48</v>
      </c>
      <c r="L5" s="160">
        <v>6.48</v>
      </c>
      <c r="M5" s="160">
        <v>6.48</v>
      </c>
      <c r="N5" s="160">
        <v>6.48</v>
      </c>
      <c r="O5" s="160">
        <v>6.48</v>
      </c>
      <c r="P5" s="160">
        <v>6.48</v>
      </c>
      <c r="Q5" s="160">
        <v>6.48</v>
      </c>
      <c r="R5" s="160">
        <v>6.48</v>
      </c>
      <c r="S5" s="160">
        <v>2</v>
      </c>
      <c r="T5" s="160">
        <v>2</v>
      </c>
      <c r="U5" s="160">
        <v>2</v>
      </c>
      <c r="V5" s="160">
        <v>2</v>
      </c>
      <c r="W5" s="160">
        <v>2</v>
      </c>
      <c r="X5" s="160">
        <v>2</v>
      </c>
      <c r="Y5" s="160">
        <v>2</v>
      </c>
      <c r="Z5" s="160">
        <v>2</v>
      </c>
      <c r="AA5" s="160">
        <v>2</v>
      </c>
      <c r="AB5" s="160">
        <v>2</v>
      </c>
      <c r="AC5" s="160">
        <v>2</v>
      </c>
      <c r="AD5" s="160">
        <v>2</v>
      </c>
      <c r="AE5" s="26"/>
      <c r="AF5" s="188" t="str">
        <f>IF(Actuals!BF5="","",Actuals!BF5)</f>
        <v>Sum</v>
      </c>
      <c r="AG5" s="26" t="str">
        <f t="shared" si="13"/>
        <v>Product Development # of Sprints</v>
      </c>
      <c r="AH5" s="195">
        <f>IF($AF5="Sum",SUM(S5:U5),IF($AF5="Average",AVERAGE(S5:U5),IF($AF5="EoP",IV5,"ERROR")))</f>
        <v>6</v>
      </c>
      <c r="AI5" s="195">
        <f>IF($AF5="Sum",SUM(V5:X5),IF($AF5="Average",AVERAGE(V5:X5),IF($AF5="EoP",U5,"ERROR")))</f>
        <v>6</v>
      </c>
      <c r="AJ5" s="195">
        <f>IF($AF5="Sum",SUM(X5:Z5),IF($AF5="Average",AVERAGE(X5:Z5),IF($AF5="EoP",Z5,"ERROR")))</f>
        <v>6</v>
      </c>
      <c r="AK5" s="195">
        <f>IF($AF5="Sum",SUM(AB5:AD5),IF($AF5="Average",AVERAGE(AB5:AD5),IF($AF5="EoP",AD5,"ERROR")))</f>
        <v>6</v>
      </c>
      <c r="AL5" s="195">
        <f ca="1">IF(AF5="EoP",OFFSET(S5,0,MONTH('2024 Control'!$C$4)-1),SUM(S5:OFFSET(S5,0,MONTH('2024 Control'!$C$4)-1))/IF(AF5="Sum",1,MONTH('2024 Control'!$C$4)))</f>
        <v>24</v>
      </c>
      <c r="AM5" s="304">
        <f ca="1">IF(AF5="Sum",(SUM(OFFSET(S5,0,MONTH('2024 Control'!$C$4)-12):OFFSET(S5,0,MONTH('2024 Control'!$C$4)-1))),IF(AF5="Average",(SUM(OFFSET(S5,0,MONTH('2024 Control'!$C$4)-12):OFFSET(S5,0,MONTH('2024 Control'!$C$4)-1)))/12,"-"))</f>
        <v>24</v>
      </c>
    </row>
    <row r="6" spans="2:39">
      <c r="B6" s="26" t="s">
        <v>32</v>
      </c>
      <c r="C6" s="26" t="s">
        <v>50</v>
      </c>
      <c r="D6" s="26" t="str">
        <f t="shared" si="14"/>
        <v>Product Development Story Points Committed</v>
      </c>
      <c r="E6" s="26" t="s">
        <v>51</v>
      </c>
      <c r="F6" s="186" t="str">
        <f>Actuals!F6</f>
        <v>#</v>
      </c>
      <c r="G6" s="311">
        <f>Actuals!H6</f>
        <v>220</v>
      </c>
      <c r="H6" s="311">
        <f>Actuals!I6</f>
        <v>159</v>
      </c>
      <c r="I6" s="311">
        <f>Actuals!J6</f>
        <v>196</v>
      </c>
      <c r="J6" s="311">
        <f>Actuals!K6</f>
        <v>115</v>
      </c>
      <c r="K6" s="311">
        <f>Actuals!L6</f>
        <v>265</v>
      </c>
      <c r="L6" s="311">
        <f>Actuals!M6</f>
        <v>223</v>
      </c>
      <c r="M6" s="311">
        <f>Actuals!N6</f>
        <v>234</v>
      </c>
      <c r="N6" s="311">
        <f>Actuals!O6</f>
        <v>328</v>
      </c>
      <c r="O6" s="311">
        <f>Actuals!P6</f>
        <v>248</v>
      </c>
      <c r="P6" s="311">
        <f>Actuals!Q6</f>
        <v>226</v>
      </c>
      <c r="Q6" s="311">
        <f>Actuals!AF6</f>
        <v>284</v>
      </c>
      <c r="R6" s="311">
        <f>Actuals!AG6</f>
        <v>334</v>
      </c>
      <c r="S6" s="311">
        <f>702/3</f>
        <v>234</v>
      </c>
      <c r="T6" s="311">
        <f t="shared" ref="T6:U6" si="15">702/3</f>
        <v>234</v>
      </c>
      <c r="U6" s="311">
        <f t="shared" si="15"/>
        <v>234</v>
      </c>
      <c r="V6" s="311">
        <f>773.5/3</f>
        <v>257.83333333333331</v>
      </c>
      <c r="W6" s="311">
        <f t="shared" ref="W6:X6" si="16">773.5/3</f>
        <v>257.83333333333331</v>
      </c>
      <c r="X6" s="311">
        <f t="shared" si="16"/>
        <v>257.83333333333331</v>
      </c>
      <c r="Y6" s="311">
        <f>845/3</f>
        <v>281.66666666666669</v>
      </c>
      <c r="Z6" s="311">
        <f t="shared" ref="Z6:AA6" si="17">845/3</f>
        <v>281.66666666666669</v>
      </c>
      <c r="AA6" s="311">
        <f t="shared" si="17"/>
        <v>281.66666666666669</v>
      </c>
      <c r="AB6" s="311">
        <f>929.5/3</f>
        <v>309.83333333333331</v>
      </c>
      <c r="AC6" s="311">
        <f t="shared" ref="AC6:AD6" si="18">929.5/3</f>
        <v>309.83333333333331</v>
      </c>
      <c r="AD6" s="311">
        <f t="shared" si="18"/>
        <v>309.83333333333331</v>
      </c>
      <c r="AE6" s="26"/>
      <c r="AF6" s="188" t="str">
        <f>IF(Actuals!BF6="","",Actuals!BF6)</f>
        <v>Sum</v>
      </c>
      <c r="AG6" s="26" t="str">
        <f t="shared" si="13"/>
        <v>Product Development Story Points Committed</v>
      </c>
      <c r="AH6" s="195">
        <f>IF($AF6="Sum",SUM(S6:U6),IF($AF6="Average",AVERAGE(S6:U6),IF($AF6="EoP",IV6,"ERROR")))</f>
        <v>702</v>
      </c>
      <c r="AI6" s="195">
        <f>IF($AF6="Sum",SUM(V6:X6),IF($AF6="Average",AVERAGE(V6:X6),IF($AF6="EoP",U6,"ERROR")))</f>
        <v>773.5</v>
      </c>
      <c r="AJ6" s="195">
        <f>IF($AF6="Sum",SUM(X6:Z6),IF($AF6="Average",AVERAGE(X6:Z6),IF($AF6="EoP",Z6,"ERROR")))</f>
        <v>821.16666666666674</v>
      </c>
      <c r="AK6" s="195">
        <f>IF($AF6="Sum",SUM(AB6:AD6),IF($AF6="Average",AVERAGE(AB6:AD6),IF($AF6="EoP",AD6,"ERROR")))</f>
        <v>929.5</v>
      </c>
      <c r="AL6" s="195">
        <f ca="1">IF(AF6="EoP",OFFSET(S6,0,MONTH('2024 Control'!$C$4)-1),SUM(S6:OFFSET(S6,0,MONTH('2024 Control'!$C$4)-1))/IF(AF6="Sum",1,MONTH('2024 Control'!$C$4)))</f>
        <v>3250.0000000000005</v>
      </c>
      <c r="AM6" s="304">
        <f ca="1">IF(AF6="Sum",(SUM(OFFSET(S6,0,MONTH('2024 Control'!$C$4)-12):OFFSET(S6,0,MONTH('2024 Control'!$C$4)-1))),IF(AF6="Average",(SUM(OFFSET(S6,0,MONTH('2024 Control'!$C$4)-12):OFFSET(S6,0,MONTH('2024 Control'!$C$4)-1)))/12,"-"))</f>
        <v>3250.0000000000005</v>
      </c>
    </row>
    <row r="7" spans="2:39">
      <c r="B7" s="26" t="s">
        <v>32</v>
      </c>
      <c r="C7" s="26" t="s">
        <v>50</v>
      </c>
      <c r="D7" s="26" t="str">
        <f t="shared" si="14"/>
        <v>Product Development Story Points Completed</v>
      </c>
      <c r="E7" s="26" t="s">
        <v>52</v>
      </c>
      <c r="F7" s="186" t="str">
        <f>Actuals!F7</f>
        <v>#</v>
      </c>
      <c r="G7" s="311">
        <f>Actuals!H7</f>
        <v>139</v>
      </c>
      <c r="H7" s="311">
        <f>Actuals!I7</f>
        <v>185</v>
      </c>
      <c r="I7" s="311">
        <f>Actuals!J7</f>
        <v>117</v>
      </c>
      <c r="J7" s="311">
        <f>Actuals!K7</f>
        <v>262</v>
      </c>
      <c r="K7" s="311">
        <f>Actuals!L7</f>
        <v>136</v>
      </c>
      <c r="L7" s="311">
        <f>Actuals!M7</f>
        <v>164</v>
      </c>
      <c r="M7" s="311">
        <f>Actuals!N7</f>
        <v>142</v>
      </c>
      <c r="N7" s="311">
        <f>Actuals!O7</f>
        <v>115</v>
      </c>
      <c r="O7" s="311">
        <f>Actuals!P7</f>
        <v>188.5</v>
      </c>
      <c r="P7" s="311">
        <f>Actuals!Q7</f>
        <v>172.75</v>
      </c>
      <c r="Q7" s="311">
        <f>Actuals!AF7</f>
        <v>276</v>
      </c>
      <c r="R7" s="311">
        <f>Actuals!AG7</f>
        <v>278</v>
      </c>
      <c r="S7" s="340"/>
      <c r="T7" s="340"/>
      <c r="U7" s="340"/>
      <c r="V7" s="340"/>
      <c r="W7" s="340"/>
      <c r="X7" s="340"/>
      <c r="Y7" s="340"/>
      <c r="Z7" s="340"/>
      <c r="AA7" s="340"/>
      <c r="AB7" s="340"/>
      <c r="AC7" s="340"/>
      <c r="AD7" s="340"/>
      <c r="AE7" s="26"/>
      <c r="AF7" s="188" t="str">
        <f>IF(Actuals!BF7="","",Actuals!BF7)</f>
        <v>Sum</v>
      </c>
      <c r="AG7" s="26" t="str">
        <f t="shared" si="13"/>
        <v>Product Development Story Points Completed</v>
      </c>
      <c r="AH7" s="195">
        <f>IF($AF7="Sum",SUM(S7:U7),IF($AF7="Average",AVERAGE(S7:U7),IF($AF7="EoP",IV7,"ERROR")))</f>
        <v>0</v>
      </c>
      <c r="AI7" s="195">
        <f>IF($AF7="Sum",SUM(V7:X7),IF($AF7="Average",AVERAGE(V7:X7),IF($AF7="EoP",U7,"ERROR")))</f>
        <v>0</v>
      </c>
      <c r="AJ7" s="195">
        <f>IF($AF7="Sum",SUM(X7:Z7),IF($AF7="Average",AVERAGE(X7:Z7),IF($AF7="EoP",Z7,"ERROR")))</f>
        <v>0</v>
      </c>
      <c r="AK7" s="195">
        <f>IF($AF7="Sum",SUM(AB7:AD7),IF($AF7="Average",AVERAGE(AB7:AD7),IF($AF7="EoP",AD7,"ERROR")))</f>
        <v>0</v>
      </c>
      <c r="AL7" s="195">
        <f ca="1">IF(AF7="EoP",OFFSET(S7,0,MONTH('2024 Control'!$C$4)-1),SUM(S7:OFFSET(S7,0,MONTH('2024 Control'!$C$4)-1))/IF(AF7="Sum",1,MONTH('2024 Control'!$C$4)))</f>
        <v>0</v>
      </c>
      <c r="AM7" s="304">
        <f ca="1">IF(AF7="Sum",(SUM(OFFSET(S7,0,MONTH('2024 Control'!$C$4)-12):OFFSET(S7,0,MONTH('2024 Control'!$C$4)-1))),IF(AF7="Average",(SUM(OFFSET(S7,0,MONTH('2024 Control'!$C$4)-12):OFFSET(S7,0,MONTH('2024 Control'!$C$4)-1)))/12,"-"))</f>
        <v>0</v>
      </c>
    </row>
    <row r="8" spans="2:39">
      <c r="B8" s="26" t="s">
        <v>32</v>
      </c>
      <c r="C8" s="26" t="s">
        <v>50</v>
      </c>
      <c r="D8" s="26" t="str">
        <f t="shared" si="14"/>
        <v>Product Development % Completed</v>
      </c>
      <c r="E8" s="26" t="s">
        <v>53</v>
      </c>
      <c r="F8" s="186" t="str">
        <f>Actuals!F8</f>
        <v>%</v>
      </c>
      <c r="G8" s="258"/>
      <c r="H8" s="258"/>
      <c r="I8" s="258"/>
      <c r="J8" s="258"/>
      <c r="K8" s="258"/>
      <c r="L8" s="258"/>
      <c r="M8" s="258"/>
      <c r="N8" s="258"/>
      <c r="O8" s="258"/>
      <c r="P8" s="258"/>
      <c r="Q8" s="258"/>
      <c r="R8" s="258"/>
      <c r="S8" s="228"/>
      <c r="T8" s="228"/>
      <c r="U8" s="228"/>
      <c r="V8" s="228"/>
      <c r="W8" s="228"/>
      <c r="X8" s="228"/>
      <c r="Y8" s="228"/>
      <c r="Z8" s="228"/>
      <c r="AA8" s="228"/>
      <c r="AB8" s="228"/>
      <c r="AC8" s="228"/>
      <c r="AD8" s="228"/>
      <c r="AE8" s="26"/>
      <c r="AF8" s="188" t="str">
        <f>IF(Actuals!BF8="","",Actuals!BF8)</f>
        <v/>
      </c>
      <c r="AG8" s="26" t="str">
        <f t="shared" si="13"/>
        <v>Product Development % Completed</v>
      </c>
      <c r="AH8" s="214">
        <f>IFERROR(AH7/AH6,"-")</f>
        <v>0</v>
      </c>
      <c r="AI8" s="214">
        <f t="shared" ref="AI8:AL8" si="19">IFERROR(AI7/AI6,"-")</f>
        <v>0</v>
      </c>
      <c r="AJ8" s="214">
        <f t="shared" si="19"/>
        <v>0</v>
      </c>
      <c r="AK8" s="214">
        <f t="shared" si="19"/>
        <v>0</v>
      </c>
      <c r="AL8" s="214">
        <f t="shared" ca="1" si="19"/>
        <v>0</v>
      </c>
      <c r="AM8" s="304" t="str">
        <f ca="1">IF(AF8="Sum",(SUM(OFFSET(S8,0,MONTH('2024 Control'!$C$4)-12):OFFSET(S8,0,MONTH('2024 Control'!$C$4)-1))),IF(AF8="Average",(SUM(OFFSET(S8,0,MONTH('2024 Control'!$C$4)-12):OFFSET(S8,0,MONTH('2024 Control'!$C$4)-1)))/12,"-"))</f>
        <v>-</v>
      </c>
    </row>
    <row r="9" spans="2:39">
      <c r="B9" s="26" t="s">
        <v>32</v>
      </c>
      <c r="C9" s="26" t="s">
        <v>54</v>
      </c>
      <c r="D9" s="26" t="str">
        <f t="shared" si="14"/>
        <v>Product Development Product</v>
      </c>
      <c r="E9" s="26" t="s">
        <v>55</v>
      </c>
      <c r="F9" s="186" t="str">
        <f>Actuals!F9</f>
        <v>%</v>
      </c>
      <c r="G9" s="230"/>
      <c r="H9" s="230"/>
      <c r="I9" s="230"/>
      <c r="J9" s="230"/>
      <c r="K9" s="230"/>
      <c r="L9" s="230"/>
      <c r="M9" s="230"/>
      <c r="N9" s="230"/>
      <c r="O9" s="230"/>
      <c r="P9" s="230"/>
      <c r="Q9" s="230"/>
      <c r="R9" s="230"/>
      <c r="S9" s="335">
        <v>0.95</v>
      </c>
      <c r="T9" s="335">
        <v>0.95</v>
      </c>
      <c r="U9" s="335">
        <v>0.95</v>
      </c>
      <c r="V9" s="335">
        <v>0.95</v>
      </c>
      <c r="W9" s="335">
        <v>0.95</v>
      </c>
      <c r="X9" s="335">
        <v>0.95</v>
      </c>
      <c r="Y9" s="335">
        <v>0.95</v>
      </c>
      <c r="Z9" s="335">
        <v>0.95</v>
      </c>
      <c r="AA9" s="335">
        <v>0.95</v>
      </c>
      <c r="AB9" s="335">
        <v>0.95</v>
      </c>
      <c r="AC9" s="335">
        <v>0.95</v>
      </c>
      <c r="AD9" s="335">
        <v>0.95</v>
      </c>
      <c r="AE9" s="26"/>
      <c r="AF9" s="188" t="str">
        <f>IF(Actuals!BF9="","",Actuals!BF9)</f>
        <v>Average</v>
      </c>
      <c r="AG9" s="26" t="str">
        <f t="shared" si="13"/>
        <v>Product Development Product</v>
      </c>
      <c r="AH9" s="214">
        <f>IF($AF9="Sum",SUM(S9:U9),IF($AF9="Average",IFERROR(AVERAGE(S9:U9),"-"),IF($AF9="EoP",IV9,"ERROR")))</f>
        <v>0.94999999999999984</v>
      </c>
      <c r="AI9" s="214">
        <f>IF($AF9="Sum",SUM(V9:X9),IF($AF9="Average",IFERROR(AVERAGE(V9:X9),"-"),IF($AF9="EoP",U9,"ERROR")))</f>
        <v>0.94999999999999984</v>
      </c>
      <c r="AJ9" s="214">
        <f>IF($AF9="Sum",SUM(X9:Z9),IF($AF9="Average",IFERROR(AVERAGE(X9:Z9),"-"),IF($AF9="EoP",Z9,"ERROR")))</f>
        <v>0.94999999999999984</v>
      </c>
      <c r="AK9" s="214">
        <f>IF($AF9="Sum",SUM(AB9:AD9),IF($AF9="Average",IFERROR(AVERAGE(AB9:AD9),"-"),IF($AF9="EoP",AD9,"ERROR")))</f>
        <v>0.94999999999999984</v>
      </c>
      <c r="AL9" s="194">
        <f ca="1">IF(AF9="EoP",OFFSET(S9,0,MONTH('2024 Control'!$C$4)-1),SUM(S9:OFFSET(S9,0,MONTH('2024 Control'!$C$4)-1))/IF(AF9="Sum",1,MONTH('2024 Control'!$C$4)))</f>
        <v>0.94999999999999984</v>
      </c>
      <c r="AM9" s="304">
        <f ca="1">IF(AF9="Sum",(SUM(OFFSET(S9,0,MONTH('2024 Control'!$C$4)-12):OFFSET(S9,0,MONTH('2024 Control'!$C$4)-1))),IF(AF9="Average",(SUM(OFFSET(S9,0,MONTH('2024 Control'!$C$4)-12):OFFSET(S9,0,MONTH('2024 Control'!$C$4)-1)))/12,"-"))</f>
        <v>0.94999999999999984</v>
      </c>
    </row>
    <row r="10" spans="2:39">
      <c r="B10" s="26" t="s">
        <v>32</v>
      </c>
      <c r="C10" s="26" t="s">
        <v>54</v>
      </c>
      <c r="D10" s="26" t="str">
        <f t="shared" si="14"/>
        <v>Product Development Maintenance / Internal</v>
      </c>
      <c r="E10" s="26" t="s">
        <v>56</v>
      </c>
      <c r="F10" s="186" t="str">
        <f>Actuals!F10</f>
        <v>%</v>
      </c>
      <c r="G10" s="230"/>
      <c r="H10" s="230"/>
      <c r="I10" s="230"/>
      <c r="J10" s="230"/>
      <c r="K10" s="230"/>
      <c r="L10" s="230"/>
      <c r="M10" s="230"/>
      <c r="N10" s="230"/>
      <c r="O10" s="230"/>
      <c r="P10" s="230"/>
      <c r="Q10" s="230"/>
      <c r="R10" s="230"/>
      <c r="S10" s="335">
        <v>0.05</v>
      </c>
      <c r="T10" s="335">
        <v>0.05</v>
      </c>
      <c r="U10" s="335">
        <v>0.05</v>
      </c>
      <c r="V10" s="335">
        <v>0.05</v>
      </c>
      <c r="W10" s="335">
        <v>0.05</v>
      </c>
      <c r="X10" s="335">
        <v>0.05</v>
      </c>
      <c r="Y10" s="335">
        <v>0.05</v>
      </c>
      <c r="Z10" s="335">
        <v>0.05</v>
      </c>
      <c r="AA10" s="335">
        <v>0.05</v>
      </c>
      <c r="AB10" s="335">
        <v>0.05</v>
      </c>
      <c r="AC10" s="335">
        <v>0.05</v>
      </c>
      <c r="AD10" s="335">
        <v>0.05</v>
      </c>
      <c r="AE10" s="26"/>
      <c r="AF10" s="188" t="str">
        <f>IF(Actuals!BF10="","",Actuals!BF10)</f>
        <v>Average</v>
      </c>
      <c r="AG10" s="26" t="str">
        <f t="shared" si="13"/>
        <v>Product Development Maintenance / Internal</v>
      </c>
      <c r="AH10" s="214">
        <f>IF($AF10="Sum",SUM(S10:U10),IF($AF10="Average",IFERROR(AVERAGE(S10:U10),"-"),IF($AF10="EoP",IV10,"ERROR")))</f>
        <v>5.000000000000001E-2</v>
      </c>
      <c r="AI10" s="214">
        <f>IF($AF10="Sum",SUM(V10:X10),IF($AF10="Average",IFERROR(AVERAGE(V10:X10),"-"),IF($AF10="EoP",U10,"ERROR")))</f>
        <v>5.000000000000001E-2</v>
      </c>
      <c r="AJ10" s="214">
        <f>IF($AF10="Sum",SUM(X10:Z10),IF($AF10="Average",IFERROR(AVERAGE(X10:Z10),"-"),IF($AF10="EoP",Z10,"ERROR")))</f>
        <v>5.000000000000001E-2</v>
      </c>
      <c r="AK10" s="214">
        <f>IF($AF10="Sum",SUM(AB10:AD10),IF($AF10="Average",IFERROR(AVERAGE(AB10:AD10),"-"),IF($AF10="EoP",AD10,"ERROR")))</f>
        <v>5.000000000000001E-2</v>
      </c>
      <c r="AL10" s="194">
        <f ca="1">IF(AF10="EoP",OFFSET(S10,0,MONTH('2024 Control'!$C$4)-1),SUM(S10:OFFSET(S10,0,MONTH('2024 Control'!$C$4)-1))/IF(AF10="Sum",1,MONTH('2024 Control'!$C$4)))</f>
        <v>4.9999999999999996E-2</v>
      </c>
      <c r="AM10" s="304">
        <f ca="1">IF(AF10="Sum",(SUM(OFFSET(S10,0,MONTH('2024 Control'!$C$4)-12):OFFSET(S10,0,MONTH('2024 Control'!$C$4)-1))),IF(AF10="Average",(SUM(OFFSET(S10,0,MONTH('2024 Control'!$C$4)-12):OFFSET(S10,0,MONTH('2024 Control'!$C$4)-1)))/12,"-"))</f>
        <v>4.9999999999999996E-2</v>
      </c>
    </row>
    <row r="11" spans="2:39">
      <c r="B11" s="26" t="s">
        <v>32</v>
      </c>
      <c r="C11" s="26" t="s">
        <v>57</v>
      </c>
      <c r="D11" s="26" t="str">
        <f t="shared" si="14"/>
        <v>Product Development Headcount (Total)</v>
      </c>
      <c r="E11" s="26" t="s">
        <v>58</v>
      </c>
      <c r="F11" s="186" t="str">
        <f>Actuals!F11</f>
        <v>#</v>
      </c>
      <c r="G11" s="160">
        <f>SUM(G12:G14)</f>
        <v>8</v>
      </c>
      <c r="H11" s="160">
        <f t="shared" ref="H11:R11" si="20">SUM(H12:H14)</f>
        <v>10</v>
      </c>
      <c r="I11" s="160">
        <f t="shared" si="20"/>
        <v>14</v>
      </c>
      <c r="J11" s="160">
        <f t="shared" si="20"/>
        <v>14</v>
      </c>
      <c r="K11" s="160">
        <f t="shared" si="20"/>
        <v>14</v>
      </c>
      <c r="L11" s="160">
        <f t="shared" si="20"/>
        <v>15</v>
      </c>
      <c r="M11" s="160">
        <f t="shared" si="20"/>
        <v>15</v>
      </c>
      <c r="N11" s="160">
        <f t="shared" si="20"/>
        <v>15</v>
      </c>
      <c r="O11" s="160">
        <f t="shared" si="20"/>
        <v>16</v>
      </c>
      <c r="P11" s="160">
        <f t="shared" si="20"/>
        <v>16</v>
      </c>
      <c r="Q11" s="160">
        <f t="shared" si="20"/>
        <v>16</v>
      </c>
      <c r="R11" s="160">
        <f t="shared" si="20"/>
        <v>16</v>
      </c>
      <c r="S11" s="247">
        <f>SUM(S12:S13)</f>
        <v>25</v>
      </c>
      <c r="T11" s="247">
        <f t="shared" ref="T11:AD11" si="21">SUM(T12:T13)</f>
        <v>25</v>
      </c>
      <c r="U11" s="247">
        <f t="shared" si="21"/>
        <v>25</v>
      </c>
      <c r="V11" s="247">
        <f t="shared" si="21"/>
        <v>25</v>
      </c>
      <c r="W11" s="247">
        <f t="shared" si="21"/>
        <v>25</v>
      </c>
      <c r="X11" s="247">
        <f t="shared" si="21"/>
        <v>25</v>
      </c>
      <c r="Y11" s="247">
        <f t="shared" si="21"/>
        <v>25</v>
      </c>
      <c r="Z11" s="247">
        <f t="shared" si="21"/>
        <v>25</v>
      </c>
      <c r="AA11" s="247">
        <f t="shared" si="21"/>
        <v>25</v>
      </c>
      <c r="AB11" s="247">
        <f t="shared" si="21"/>
        <v>25</v>
      </c>
      <c r="AC11" s="247">
        <f t="shared" si="21"/>
        <v>25</v>
      </c>
      <c r="AD11" s="247">
        <f t="shared" si="21"/>
        <v>25</v>
      </c>
      <c r="AE11" s="26"/>
      <c r="AF11" s="188" t="str">
        <f>IF(Actuals!BF11="","",Actuals!BF11)</f>
        <v>EoP</v>
      </c>
      <c r="AG11" s="26" t="str">
        <f t="shared" si="13"/>
        <v>Product Development Headcount (Total)</v>
      </c>
      <c r="AH11" s="196">
        <f>IF($AF11="Sum",SUM(S11:U11),IF($AF11="Average",AVERAGE(S11:U11),IF($AF11="EoP",IV11,"ERROR")))</f>
        <v>0</v>
      </c>
      <c r="AI11" s="196">
        <f>IF($AF11="Sum",SUM(V11:X11),IF($AF11="Average",AVERAGE(V11:X11),IF($AF11="EoP",U11,"ERROR")))</f>
        <v>25</v>
      </c>
      <c r="AJ11" s="196">
        <f>IF($AF11="Sum",SUM(X11:Z11),IF($AF11="Average",AVERAGE(X11:Z11),IF($AF11="EoP",Z11,"ERROR")))</f>
        <v>25</v>
      </c>
      <c r="AK11" s="196">
        <f>IF($AF11="Sum",SUM(AB11:AD11),IF($AF11="Average",AVERAGE(AB11:AD11),IF($AF11="EoP",AD11,"ERROR")))</f>
        <v>25</v>
      </c>
      <c r="AL11" s="196">
        <f ca="1">IF(AF11="EoP",OFFSET(S11,0,MONTH('2024 Control'!$C$4)-1),SUM(S11:OFFSET(S11,0,MONTH('2024 Control'!$C$4)-1))/IF(AF11="Sum",1,MONTH('2024 Control'!$C$4)))</f>
        <v>25</v>
      </c>
      <c r="AM11" s="304" t="str">
        <f ca="1">IF(AF11="Sum",(SUM(OFFSET(S11,0,MONTH('2024 Control'!$C$4)-12):OFFSET(S11,0,MONTH('2024 Control'!$C$4)-1))),IF(AF11="Average",(SUM(OFFSET(S11,0,MONTH('2024 Control'!$C$4)-12):OFFSET(S11,0,MONTH('2024 Control'!$C$4)-1)))/12,"-"))</f>
        <v>-</v>
      </c>
    </row>
    <row r="12" spans="2:39">
      <c r="B12" s="26" t="s">
        <v>32</v>
      </c>
      <c r="C12" s="26" t="s">
        <v>57</v>
      </c>
      <c r="D12" s="26" t="str">
        <f t="shared" ref="D12:D14" si="22">B12&amp;" "&amp;E12</f>
        <v>Product Development Headcount - Squad - Onshore</v>
      </c>
      <c r="E12" s="26" t="s">
        <v>59</v>
      </c>
      <c r="F12" s="186" t="str">
        <f>Actuals!F12</f>
        <v>#</v>
      </c>
      <c r="G12" s="160">
        <v>7</v>
      </c>
      <c r="H12" s="160">
        <v>7</v>
      </c>
      <c r="I12" s="160">
        <v>9</v>
      </c>
      <c r="J12" s="160">
        <v>9</v>
      </c>
      <c r="K12" s="160">
        <v>9</v>
      </c>
      <c r="L12" s="160">
        <v>10</v>
      </c>
      <c r="M12" s="160">
        <v>10</v>
      </c>
      <c r="N12" s="160">
        <v>10</v>
      </c>
      <c r="O12" s="160">
        <v>11</v>
      </c>
      <c r="P12" s="160">
        <v>11</v>
      </c>
      <c r="Q12" s="160">
        <v>11</v>
      </c>
      <c r="R12" s="160">
        <v>11</v>
      </c>
      <c r="S12" s="160">
        <v>12</v>
      </c>
      <c r="T12" s="160">
        <v>12</v>
      </c>
      <c r="U12" s="160">
        <v>12</v>
      </c>
      <c r="V12" s="160">
        <v>12</v>
      </c>
      <c r="W12" s="160">
        <v>12</v>
      </c>
      <c r="X12" s="160">
        <v>12</v>
      </c>
      <c r="Y12" s="160">
        <v>12</v>
      </c>
      <c r="Z12" s="160">
        <v>12</v>
      </c>
      <c r="AA12" s="160">
        <v>12</v>
      </c>
      <c r="AB12" s="160">
        <v>12</v>
      </c>
      <c r="AC12" s="160">
        <v>12</v>
      </c>
      <c r="AD12" s="160">
        <v>12</v>
      </c>
      <c r="AE12" s="26"/>
      <c r="AF12" s="188" t="str">
        <f>IF(Actuals!BF12="","",Actuals!BF12)</f>
        <v>EoP</v>
      </c>
      <c r="AG12" s="26" t="str">
        <f t="shared" ref="AG12:AG14" si="23">D12</f>
        <v>Product Development Headcount - Squad - Onshore</v>
      </c>
      <c r="AH12" s="196">
        <f>IF($AF12="Sum",SUM(S12:U12),IF($AF12="Average",AVERAGE(S12:U12),IF($AF12="EoP",IV12,"ERROR")))</f>
        <v>0</v>
      </c>
      <c r="AI12" s="196">
        <f>IF($AF12="Sum",SUM(V12:X12),IF($AF12="Average",AVERAGE(V12:X12),IF($AF12="EoP",U12,"ERROR")))</f>
        <v>12</v>
      </c>
      <c r="AJ12" s="196">
        <f>IF($AF12="Sum",SUM(X12:Z12),IF($AF12="Average",AVERAGE(X12:Z12),IF($AF12="EoP",Z12,"ERROR")))</f>
        <v>12</v>
      </c>
      <c r="AK12" s="196">
        <f>IF($AF12="Sum",SUM(AB12:AD12),IF($AF12="Average",AVERAGE(AB12:AD12),IF($AF12="EoP",AD12,"ERROR")))</f>
        <v>12</v>
      </c>
      <c r="AL12" s="196">
        <f ca="1">IF(AF12="EoP",OFFSET(S12,0,MONTH('2024 Control'!$C$4)-1),SUM(S12:OFFSET(S12,0,MONTH('2024 Control'!$C$4)-1))/IF(AF12="Sum",1,MONTH('2024 Control'!$C$4)))</f>
        <v>12</v>
      </c>
      <c r="AM12" s="304" t="str">
        <f ca="1">IF(AF12="Sum",(SUM(OFFSET(S12,0,MONTH('2024 Control'!$C$4)-12):OFFSET(S12,0,MONTH('2024 Control'!$C$4)-1))),IF(AF12="Average",(SUM(OFFSET(S12,0,MONTH('2024 Control'!$C$4)-12):OFFSET(S12,0,MONTH('2024 Control'!$C$4)-1)))/12,"-"))</f>
        <v>-</v>
      </c>
    </row>
    <row r="13" spans="2:39">
      <c r="B13" s="26" t="s">
        <v>32</v>
      </c>
      <c r="C13" s="26" t="s">
        <v>57</v>
      </c>
      <c r="D13" s="26" t="str">
        <f t="shared" si="22"/>
        <v>Product Development Headcount - Squad - Offshore</v>
      </c>
      <c r="E13" s="26" t="s">
        <v>60</v>
      </c>
      <c r="F13" s="186" t="str">
        <f>Actuals!F13</f>
        <v>#</v>
      </c>
      <c r="G13" s="160">
        <v>1</v>
      </c>
      <c r="H13" s="160">
        <v>3</v>
      </c>
      <c r="I13" s="160">
        <v>5</v>
      </c>
      <c r="J13" s="160">
        <v>5</v>
      </c>
      <c r="K13" s="160">
        <v>5</v>
      </c>
      <c r="L13" s="160">
        <v>5</v>
      </c>
      <c r="M13" s="160">
        <v>5</v>
      </c>
      <c r="N13" s="160">
        <v>5</v>
      </c>
      <c r="O13" s="160">
        <v>5</v>
      </c>
      <c r="P13" s="160">
        <v>5</v>
      </c>
      <c r="Q13" s="160">
        <v>5</v>
      </c>
      <c r="R13" s="160">
        <v>5</v>
      </c>
      <c r="S13" s="160">
        <v>13</v>
      </c>
      <c r="T13" s="160">
        <v>13</v>
      </c>
      <c r="U13" s="160">
        <v>13</v>
      </c>
      <c r="V13" s="160">
        <v>13</v>
      </c>
      <c r="W13" s="160">
        <v>13</v>
      </c>
      <c r="X13" s="160">
        <v>13</v>
      </c>
      <c r="Y13" s="160">
        <v>13</v>
      </c>
      <c r="Z13" s="160">
        <v>13</v>
      </c>
      <c r="AA13" s="160">
        <v>13</v>
      </c>
      <c r="AB13" s="160">
        <v>13</v>
      </c>
      <c r="AC13" s="160">
        <v>13</v>
      </c>
      <c r="AD13" s="160">
        <v>13</v>
      </c>
      <c r="AE13" s="26"/>
      <c r="AF13" s="188" t="str">
        <f>IF(Actuals!BF13="","",Actuals!BF13)</f>
        <v>EoP</v>
      </c>
      <c r="AG13" s="26" t="str">
        <f t="shared" si="23"/>
        <v>Product Development Headcount - Squad - Offshore</v>
      </c>
      <c r="AH13" s="196">
        <f>IF($AF13="Sum",SUM(S13:U13),IF($AF13="Average",AVERAGE(S13:U13),IF($AF13="EoP",IV13,"ERROR")))</f>
        <v>0</v>
      </c>
      <c r="AI13" s="196">
        <f>IF($AF13="Sum",SUM(V13:X13),IF($AF13="Average",AVERAGE(V13:X13),IF($AF13="EoP",U13,"ERROR")))</f>
        <v>13</v>
      </c>
      <c r="AJ13" s="196">
        <f>IF($AF13="Sum",SUM(X13:Z13),IF($AF13="Average",AVERAGE(X13:Z13),IF($AF13="EoP",Z13,"ERROR")))</f>
        <v>13</v>
      </c>
      <c r="AK13" s="196">
        <f>IF($AF13="Sum",SUM(AB13:AD13),IF($AF13="Average",AVERAGE(AB13:AD13),IF($AF13="EoP",AD13,"ERROR")))</f>
        <v>13</v>
      </c>
      <c r="AL13" s="196">
        <f ca="1">IF(AF13="EoP",OFFSET(S13,0,MONTH('2024 Control'!$C$4)-1),SUM(S13:OFFSET(S13,0,MONTH('2024 Control'!$C$4)-1))/IF(AF13="Sum",1,MONTH('2024 Control'!$C$4)))</f>
        <v>13</v>
      </c>
      <c r="AM13" s="304" t="str">
        <f ca="1">IF(AF13="Sum",(SUM(OFFSET(S13,0,MONTH('2024 Control'!$C$4)-12):OFFSET(S13,0,MONTH('2024 Control'!$C$4)-1))),IF(AF13="Average",(SUM(OFFSET(S13,0,MONTH('2024 Control'!$C$4)-12):OFFSET(S13,0,MONTH('2024 Control'!$C$4)-1)))/12,"-"))</f>
        <v>-</v>
      </c>
    </row>
    <row r="14" spans="2:39">
      <c r="B14" s="26" t="s">
        <v>32</v>
      </c>
      <c r="C14" s="26" t="s">
        <v>57</v>
      </c>
      <c r="D14" s="26" t="str">
        <f t="shared" si="22"/>
        <v>Product Development Headcount - Non-Squad</v>
      </c>
      <c r="E14" s="26" t="s">
        <v>61</v>
      </c>
      <c r="F14" s="186" t="str">
        <f>Actuals!F14</f>
        <v>#</v>
      </c>
      <c r="G14" s="160">
        <v>0</v>
      </c>
      <c r="H14" s="160">
        <v>0</v>
      </c>
      <c r="I14" s="160">
        <v>0</v>
      </c>
      <c r="J14" s="160">
        <v>0</v>
      </c>
      <c r="K14" s="160">
        <v>0</v>
      </c>
      <c r="L14" s="160">
        <v>0</v>
      </c>
      <c r="M14" s="160">
        <v>0</v>
      </c>
      <c r="N14" s="160">
        <v>0</v>
      </c>
      <c r="O14" s="160">
        <v>0</v>
      </c>
      <c r="P14" s="160">
        <v>0</v>
      </c>
      <c r="Q14" s="160">
        <v>0</v>
      </c>
      <c r="R14" s="160">
        <v>0</v>
      </c>
      <c r="S14" s="160">
        <v>0</v>
      </c>
      <c r="T14" s="160">
        <v>0</v>
      </c>
      <c r="U14" s="160">
        <v>0</v>
      </c>
      <c r="V14" s="160">
        <v>0</v>
      </c>
      <c r="W14" s="160">
        <v>0</v>
      </c>
      <c r="X14" s="160">
        <v>0</v>
      </c>
      <c r="Y14" s="160">
        <v>0</v>
      </c>
      <c r="Z14" s="160">
        <v>0</v>
      </c>
      <c r="AA14" s="160">
        <v>0</v>
      </c>
      <c r="AB14" s="160">
        <v>0</v>
      </c>
      <c r="AC14" s="160">
        <v>0</v>
      </c>
      <c r="AD14" s="160">
        <v>0</v>
      </c>
      <c r="AE14" s="26"/>
      <c r="AF14" s="188" t="str">
        <f>IF(Actuals!BF14="","",Actuals!BF14)</f>
        <v>EoP</v>
      </c>
      <c r="AG14" s="26" t="str">
        <f t="shared" si="23"/>
        <v>Product Development Headcount - Non-Squad</v>
      </c>
      <c r="AH14" s="196">
        <f>IF($AF14="Sum",SUM(S14:U14),IF($AF14="Average",AVERAGE(S14:U14),IF($AF14="EoP",IV14,"ERROR")))</f>
        <v>0</v>
      </c>
      <c r="AI14" s="196">
        <f>IF($AF14="Sum",SUM(V14:X14),IF($AF14="Average",AVERAGE(V14:X14),IF($AF14="EoP",U14,"ERROR")))</f>
        <v>0</v>
      </c>
      <c r="AJ14" s="196">
        <f>IF($AF14="Sum",SUM(X14:Z14),IF($AF14="Average",AVERAGE(X14:Z14),IF($AF14="EoP",Z14,"ERROR")))</f>
        <v>0</v>
      </c>
      <c r="AK14" s="196">
        <f>IF($AF14="Sum",SUM(AB14:AD14),IF($AF14="Average",AVERAGE(AB14:AD14),IF($AF14="EoP",AD14,"ERROR")))</f>
        <v>0</v>
      </c>
      <c r="AL14" s="196">
        <f ca="1">IF(AF14="EoP",OFFSET(S14,0,MONTH('2024 Control'!$C$4)-1),SUM(S14:OFFSET(S14,0,MONTH('2024 Control'!$C$4)-1))/IF(AF14="Sum",1,MONTH('2024 Control'!$C$4)))</f>
        <v>0</v>
      </c>
      <c r="AM14" s="304" t="str">
        <f ca="1">IF(AF14="Sum",(SUM(OFFSET(S14,0,MONTH('2024 Control'!$C$4)-12):OFFSET(S14,0,MONTH('2024 Control'!$C$4)-1))),IF(AF14="Average",(SUM(OFFSET(S14,0,MONTH('2024 Control'!$C$4)-12):OFFSET(S14,0,MONTH('2024 Control'!$C$4)-1)))/12,"-"))</f>
        <v>-</v>
      </c>
    </row>
    <row r="15" spans="2:39">
      <c r="B15" s="26" t="s">
        <v>32</v>
      </c>
      <c r="C15" s="26" t="s">
        <v>57</v>
      </c>
      <c r="D15" s="26" t="str">
        <f t="shared" ref="D15:D53" si="24">B15&amp;" "&amp;E15</f>
        <v>Product Development Avg. Personnel Cost per Squad</v>
      </c>
      <c r="E15" s="26" t="s">
        <v>62</v>
      </c>
      <c r="F15" s="186" t="str">
        <f>Actuals!F15</f>
        <v>$</v>
      </c>
      <c r="G15" s="225">
        <f>128000/G4</f>
        <v>64000</v>
      </c>
      <c r="H15" s="225">
        <f>142400/H4</f>
        <v>71200</v>
      </c>
      <c r="I15" s="225">
        <f>182200/I4</f>
        <v>91100</v>
      </c>
      <c r="J15" s="225">
        <f>182200/J4</f>
        <v>91100</v>
      </c>
      <c r="K15" s="225">
        <f>182200/K4</f>
        <v>91100</v>
      </c>
      <c r="L15" s="225">
        <f>192300/L4</f>
        <v>96150</v>
      </c>
      <c r="M15" s="225">
        <f>198000/M4</f>
        <v>66000</v>
      </c>
      <c r="N15" s="225">
        <f>198000/N4</f>
        <v>66000</v>
      </c>
      <c r="O15" s="225">
        <f>208000/O4</f>
        <v>69333.333333333328</v>
      </c>
      <c r="P15" s="225">
        <f>208000/P4</f>
        <v>69333.333333333328</v>
      </c>
      <c r="Q15" s="225">
        <f>208000/Q4</f>
        <v>69333.333333333328</v>
      </c>
      <c r="R15" s="225">
        <f>208000/R4</f>
        <v>69333.333333333328</v>
      </c>
      <c r="S15" s="225">
        <f>226648/S4</f>
        <v>75549.333333333328</v>
      </c>
      <c r="T15" s="225">
        <f t="shared" ref="T15:X15" si="25">226648/T4</f>
        <v>75549.333333333328</v>
      </c>
      <c r="U15" s="225">
        <f t="shared" si="25"/>
        <v>75549.333333333328</v>
      </c>
      <c r="V15" s="225">
        <f t="shared" si="25"/>
        <v>75549.333333333328</v>
      </c>
      <c r="W15" s="225">
        <f t="shared" si="25"/>
        <v>75549.333333333328</v>
      </c>
      <c r="X15" s="225">
        <f t="shared" si="25"/>
        <v>75549.333333333328</v>
      </c>
      <c r="Y15" s="225">
        <f>232248/Y4</f>
        <v>77416</v>
      </c>
      <c r="Z15" s="225">
        <f>232698/Z4</f>
        <v>77566</v>
      </c>
      <c r="AA15" s="225">
        <f t="shared" ref="AA15:AD15" si="26">232698/AA4</f>
        <v>77566</v>
      </c>
      <c r="AB15" s="225">
        <f t="shared" si="26"/>
        <v>77566</v>
      </c>
      <c r="AC15" s="225">
        <f t="shared" si="26"/>
        <v>77566</v>
      </c>
      <c r="AD15" s="225">
        <f t="shared" si="26"/>
        <v>77566</v>
      </c>
      <c r="AE15" s="26"/>
      <c r="AF15" s="188" t="str">
        <f>IF(Actuals!BF15="","",Actuals!BF15)</f>
        <v>Average</v>
      </c>
      <c r="AG15" s="26" t="str">
        <f t="shared" ref="AG15:AG53" si="27">D15</f>
        <v>Product Development Avg. Personnel Cost per Squad</v>
      </c>
      <c r="AH15" s="214">
        <f>IF($AF15="Sum",SUM(S15:U15),IF($AF15="Average",IFERROR(AVERAGE(S15:U15),"-"),IF($AF15="EoP",IV15,"ERROR")))</f>
        <v>75549.333333333328</v>
      </c>
      <c r="AI15" s="214">
        <f>IF($AF15="Sum",SUM(V15:X15),IF($AF15="Average",IFERROR(AVERAGE(V15:X15),"-"),IF($AF15="EoP",U15,"ERROR")))</f>
        <v>75549.333333333328</v>
      </c>
      <c r="AJ15" s="214">
        <f>IF($AF15="Sum",SUM(X15:Z15),IF($AF15="Average",IFERROR(AVERAGE(X15:Z15),"-"),IF($AF15="EoP",Z15,"ERROR")))</f>
        <v>76843.777777777766</v>
      </c>
      <c r="AK15" s="214">
        <f>IF($AF15="Sum",SUM(AB15:AD15),IF($AF15="Average",IFERROR(AVERAGE(AB15:AD15),"-"),IF($AF15="EoP",AD15,"ERROR")))</f>
        <v>77566</v>
      </c>
      <c r="AL15" s="196">
        <f ca="1">IF(AF15="EoP",OFFSET(S15,0,MONTH('2024 Control'!$C$4)-1),SUM(S15:OFFSET(S15,0,MONTH('2024 Control'!$C$4)-1))/IF(AF15="Sum",1,MONTH('2024 Control'!$C$4)))</f>
        <v>76545.166666666672</v>
      </c>
      <c r="AM15" s="304">
        <f ca="1">IF(AF15="Sum",(SUM(OFFSET(S15,0,MONTH('2024 Control'!$C$4)-12):OFFSET(S15,0,MONTH('2024 Control'!$C$4)-1))),IF(AF15="Average",(SUM(OFFSET(S15,0,MONTH('2024 Control'!$C$4)-12):OFFSET(S15,0,MONTH('2024 Control'!$C$4)-1)))/12,"-"))</f>
        <v>76545.166666666672</v>
      </c>
    </row>
    <row r="16" spans="2:39">
      <c r="B16" s="26" t="s">
        <v>32</v>
      </c>
      <c r="C16" s="26" t="s">
        <v>57</v>
      </c>
      <c r="D16" s="26" t="str">
        <f t="shared" si="24"/>
        <v>Product Development P&amp;T Overhead</v>
      </c>
      <c r="E16" s="26" t="s">
        <v>64</v>
      </c>
      <c r="F16" s="186" t="str">
        <f>Actuals!F16</f>
        <v>$</v>
      </c>
      <c r="G16" s="225">
        <v>4800</v>
      </c>
      <c r="H16" s="225">
        <v>10800</v>
      </c>
      <c r="I16" s="225">
        <v>6300</v>
      </c>
      <c r="J16" s="225">
        <v>3300</v>
      </c>
      <c r="K16" s="225">
        <v>30800</v>
      </c>
      <c r="L16" s="225">
        <v>6300</v>
      </c>
      <c r="M16" s="225">
        <v>28400</v>
      </c>
      <c r="N16" s="225">
        <v>5800</v>
      </c>
      <c r="O16" s="225">
        <v>6400</v>
      </c>
      <c r="P16" s="225">
        <v>3500</v>
      </c>
      <c r="Q16" s="225">
        <v>5900</v>
      </c>
      <c r="R16" s="225">
        <v>6433</v>
      </c>
      <c r="S16" s="225">
        <v>40416</v>
      </c>
      <c r="T16" s="225">
        <v>4848</v>
      </c>
      <c r="U16" s="225">
        <v>34848</v>
      </c>
      <c r="V16" s="225">
        <v>9348</v>
      </c>
      <c r="W16" s="225">
        <v>4848</v>
      </c>
      <c r="X16" s="225">
        <v>4848</v>
      </c>
      <c r="Y16" s="225">
        <v>19528</v>
      </c>
      <c r="Z16" s="225">
        <v>6528</v>
      </c>
      <c r="AA16" s="225">
        <v>11028</v>
      </c>
      <c r="AB16" s="225">
        <v>16528</v>
      </c>
      <c r="AC16" s="225">
        <v>6528</v>
      </c>
      <c r="AD16" s="225">
        <v>6528</v>
      </c>
      <c r="AE16" s="26"/>
      <c r="AF16" s="188" t="str">
        <f>IF(Actuals!BF16="","",Actuals!BF16)</f>
        <v>Sum</v>
      </c>
      <c r="AG16" s="26" t="str">
        <f t="shared" si="27"/>
        <v>Product Development P&amp;T Overhead</v>
      </c>
      <c r="AH16" s="196">
        <f>IF($AF16="Sum",SUM(S16:U16),IF($AF16="Average",AVERAGE(S16:U16),IF($AF16="EoP",IV16,"ERROR")))</f>
        <v>80112</v>
      </c>
      <c r="AI16" s="196">
        <f>IF($AF16="Sum",SUM(V16:X16),IF($AF16="Average",AVERAGE(V16:X16),IF($AF16="EoP",U16,"ERROR")))</f>
        <v>19044</v>
      </c>
      <c r="AJ16" s="196">
        <f>IF($AF16="Sum",SUM(X16:Z16),IF($AF16="Average",AVERAGE(X16:Z16),IF($AF16="EoP",Z16,"ERROR")))</f>
        <v>30904</v>
      </c>
      <c r="AK16" s="196">
        <f>IF($AF16="Sum",SUM(AB16:AD16),IF($AF16="Average",AVERAGE(AB16:AD16),IF($AF16="EoP",AD16,"ERROR")))</f>
        <v>29584</v>
      </c>
      <c r="AL16" s="196">
        <f ca="1">IF(AF16="EoP",OFFSET(S16,0,MONTH('2024 Control'!$C$4)-1),SUM(S16:OFFSET(S16,0,MONTH('2024 Control'!$C$4)-1))/IF(AF16="Sum",1,MONTH('2024 Control'!$C$4)))</f>
        <v>165824</v>
      </c>
      <c r="AM16" s="304">
        <f ca="1">IF(AF16="Sum",(SUM(OFFSET(S16,0,MONTH('2024 Control'!$C$4)-12):OFFSET(S16,0,MONTH('2024 Control'!$C$4)-1))),IF(AF16="Average",(SUM(OFFSET(S16,0,MONTH('2024 Control'!$C$4)-12):OFFSET(S16,0,MONTH('2024 Control'!$C$4)-1)))/12,"-"))</f>
        <v>165824</v>
      </c>
    </row>
    <row r="17" spans="2:39">
      <c r="B17" s="26" t="s">
        <v>103</v>
      </c>
      <c r="C17" s="26" t="s">
        <v>254</v>
      </c>
      <c r="D17" s="26" t="str">
        <f t="shared" si="24"/>
        <v>Marketing Marketing Qualified Leads</v>
      </c>
      <c r="E17" s="26" t="s">
        <v>105</v>
      </c>
      <c r="F17" s="186" t="str">
        <f>Actuals!F17</f>
        <v>#</v>
      </c>
      <c r="G17" s="230"/>
      <c r="H17" s="230"/>
      <c r="I17" s="230"/>
      <c r="J17" s="230"/>
      <c r="K17" s="230"/>
      <c r="L17" s="230"/>
      <c r="M17" s="230"/>
      <c r="N17" s="230"/>
      <c r="O17" s="230"/>
      <c r="P17" s="230"/>
      <c r="Q17" s="230"/>
      <c r="R17" s="230"/>
      <c r="S17" s="230">
        <f>240/12</f>
        <v>20</v>
      </c>
      <c r="T17" s="230">
        <f t="shared" ref="T17:AD17" si="28">240/12</f>
        <v>20</v>
      </c>
      <c r="U17" s="230">
        <f t="shared" si="28"/>
        <v>20</v>
      </c>
      <c r="V17" s="230">
        <f t="shared" si="28"/>
        <v>20</v>
      </c>
      <c r="W17" s="230">
        <f t="shared" si="28"/>
        <v>20</v>
      </c>
      <c r="X17" s="230">
        <f t="shared" si="28"/>
        <v>20</v>
      </c>
      <c r="Y17" s="230">
        <f t="shared" si="28"/>
        <v>20</v>
      </c>
      <c r="Z17" s="230">
        <f t="shared" si="28"/>
        <v>20</v>
      </c>
      <c r="AA17" s="230">
        <f t="shared" si="28"/>
        <v>20</v>
      </c>
      <c r="AB17" s="230">
        <f t="shared" si="28"/>
        <v>20</v>
      </c>
      <c r="AC17" s="230">
        <f t="shared" si="28"/>
        <v>20</v>
      </c>
      <c r="AD17" s="230">
        <f t="shared" si="28"/>
        <v>20</v>
      </c>
      <c r="AE17" s="26"/>
      <c r="AF17" s="188" t="str">
        <f>IF(Actuals!BF17="","",Actuals!BF17)</f>
        <v>Sum</v>
      </c>
      <c r="AG17" s="26" t="str">
        <f t="shared" si="27"/>
        <v>Marketing Marketing Qualified Leads</v>
      </c>
      <c r="AH17" s="196">
        <f>IF($AF17="Sum",SUM(S17:U17),IF($AF17="Average",AVERAGE(S17:U17),IF($AF17="EoP",IV17,"ERROR")))</f>
        <v>60</v>
      </c>
      <c r="AI17" s="196">
        <f>IF($AF17="Sum",SUM(V17:X17),IF($AF17="Average",AVERAGE(V17:X17),IF($AF17="EoP",U17,"ERROR")))</f>
        <v>60</v>
      </c>
      <c r="AJ17" s="196">
        <f>IF($AF17="Sum",SUM(X17:Z17),IF($AF17="Average",AVERAGE(X17:Z17),IF($AF17="EoP",Z17,"ERROR")))</f>
        <v>60</v>
      </c>
      <c r="AK17" s="196">
        <f>IF($AF17="Sum",SUM(AB17:AD17),IF($AF17="Average",AVERAGE(AB17:AD17),IF($AF17="EoP",AD17,"ERROR")))</f>
        <v>60</v>
      </c>
      <c r="AL17" s="196">
        <f ca="1">IF(AF17="EoP",OFFSET(S17,0,MONTH('2024 Control'!$C$4)-1),SUM(S17:OFFSET(S17,0,MONTH('2024 Control'!$C$4)-1))/IF(AF17="Sum",1,MONTH('2024 Control'!$C$4)))</f>
        <v>240</v>
      </c>
      <c r="AM17" s="304">
        <f ca="1">IF(AF17="Sum",(SUM(OFFSET(S17,0,MONTH('2024 Control'!$C$4)-12):OFFSET(S17,0,MONTH('2024 Control'!$C$4)-1))),IF(AF17="Average",(SUM(OFFSET(S17,0,MONTH('2024 Control'!$C$4)-12):OFFSET(S17,0,MONTH('2024 Control'!$C$4)-1)))/12,"-"))</f>
        <v>240</v>
      </c>
    </row>
    <row r="18" spans="2:39">
      <c r="B18" s="26" t="s">
        <v>103</v>
      </c>
      <c r="C18" s="26" t="s">
        <v>254</v>
      </c>
      <c r="D18" s="26" t="str">
        <f t="shared" si="24"/>
        <v>Marketing (x) MQL to New Opp. Conversion %</v>
      </c>
      <c r="E18" s="26" t="s">
        <v>106</v>
      </c>
      <c r="F18" s="186" t="str">
        <f>Actuals!F18</f>
        <v>%</v>
      </c>
      <c r="G18" s="230"/>
      <c r="H18" s="230"/>
      <c r="I18" s="230"/>
      <c r="J18" s="230"/>
      <c r="K18" s="230"/>
      <c r="L18" s="230"/>
      <c r="M18" s="230"/>
      <c r="N18" s="230"/>
      <c r="O18" s="230"/>
      <c r="P18" s="230"/>
      <c r="Q18" s="230"/>
      <c r="R18" s="230"/>
      <c r="S18" s="335">
        <v>0.52</v>
      </c>
      <c r="T18" s="335">
        <v>0.52</v>
      </c>
      <c r="U18" s="335">
        <v>0.52</v>
      </c>
      <c r="V18" s="335">
        <v>0.52</v>
      </c>
      <c r="W18" s="335">
        <v>0.52</v>
      </c>
      <c r="X18" s="335">
        <v>0.52</v>
      </c>
      <c r="Y18" s="335">
        <v>0.52</v>
      </c>
      <c r="Z18" s="335">
        <v>0.52</v>
      </c>
      <c r="AA18" s="335">
        <v>0.52</v>
      </c>
      <c r="AB18" s="335">
        <v>0.52</v>
      </c>
      <c r="AC18" s="335">
        <v>0.52</v>
      </c>
      <c r="AD18" s="335">
        <v>0.52</v>
      </c>
      <c r="AE18" s="26"/>
      <c r="AF18" s="188" t="str">
        <f>IF(Actuals!BF18="","",Actuals!BF18)</f>
        <v>Average</v>
      </c>
      <c r="AG18" s="26" t="str">
        <f t="shared" si="27"/>
        <v>Marketing (x) MQL to New Opp. Conversion %</v>
      </c>
      <c r="AH18" s="214">
        <f>IF($AF18="Sum",SUM(S18:U18),IF($AF18="Average",IFERROR(AVERAGE(S18:U18),"-"),IF($AF18="EoP",IV18,"ERROR")))</f>
        <v>0.52</v>
      </c>
      <c r="AI18" s="214">
        <f>IF($AF18="Sum",SUM(V18:X18),IF($AF18="Average",IFERROR(AVERAGE(V18:X18),"-"),IF($AF18="EoP",U18,"ERROR")))</f>
        <v>0.52</v>
      </c>
      <c r="AJ18" s="214">
        <f>IF($AF18="Sum",SUM(X18:Z18),IF($AF18="Average",IFERROR(AVERAGE(X18:Z18),"-"),IF($AF18="EoP",Z18,"ERROR")))</f>
        <v>0.52</v>
      </c>
      <c r="AK18" s="214">
        <f>IF($AF18="Sum",SUM(AB18:AD18),IF($AF18="Average",IFERROR(AVERAGE(AB18:AD18),"-"),IF($AF18="EoP",AD18,"ERROR")))</f>
        <v>0.52</v>
      </c>
      <c r="AL18" s="194">
        <f ca="1">IF(AF18="EoP",OFFSET(S18,0,MONTH('2024 Control'!$C$4)-1),SUM(S18:OFFSET(S18,0,MONTH('2024 Control'!$C$4)-1))/IF(AF18="Sum",1,MONTH('2024 Control'!$C$4)))</f>
        <v>0.51999999999999991</v>
      </c>
      <c r="AM18" s="304">
        <f ca="1">IF(AF18="Sum",(SUM(OFFSET(S18,0,MONTH('2024 Control'!$C$4)-12):OFFSET(S18,0,MONTH('2024 Control'!$C$4)-1))),IF(AF18="Average",(SUM(OFFSET(S18,0,MONTH('2024 Control'!$C$4)-12):OFFSET(S18,0,MONTH('2024 Control'!$C$4)-1)))/12,"-"))</f>
        <v>0.51999999999999991</v>
      </c>
    </row>
    <row r="19" spans="2:39">
      <c r="B19" s="26" t="s">
        <v>103</v>
      </c>
      <c r="C19" s="26" t="s">
        <v>254</v>
      </c>
      <c r="D19" s="26" t="str">
        <f t="shared" si="24"/>
        <v>Marketing = Mktg sourced New Opportunities</v>
      </c>
      <c r="E19" s="26" t="s">
        <v>107</v>
      </c>
      <c r="F19" s="186" t="str">
        <f>Actuals!F19</f>
        <v>#</v>
      </c>
      <c r="G19" s="230"/>
      <c r="H19" s="230"/>
      <c r="I19" s="230"/>
      <c r="J19" s="230"/>
      <c r="K19" s="230"/>
      <c r="L19" s="230"/>
      <c r="M19" s="230"/>
      <c r="N19" s="230"/>
      <c r="O19" s="230"/>
      <c r="P19" s="230"/>
      <c r="Q19" s="230"/>
      <c r="R19" s="230"/>
      <c r="S19" s="336">
        <f>S17*S18</f>
        <v>10.4</v>
      </c>
      <c r="T19" s="336">
        <f t="shared" ref="T19:AD19" si="29">T17*T18</f>
        <v>10.4</v>
      </c>
      <c r="U19" s="336">
        <f t="shared" si="29"/>
        <v>10.4</v>
      </c>
      <c r="V19" s="336">
        <f t="shared" si="29"/>
        <v>10.4</v>
      </c>
      <c r="W19" s="336">
        <f t="shared" si="29"/>
        <v>10.4</v>
      </c>
      <c r="X19" s="336">
        <f t="shared" si="29"/>
        <v>10.4</v>
      </c>
      <c r="Y19" s="336">
        <f t="shared" si="29"/>
        <v>10.4</v>
      </c>
      <c r="Z19" s="336">
        <f t="shared" si="29"/>
        <v>10.4</v>
      </c>
      <c r="AA19" s="336">
        <f t="shared" si="29"/>
        <v>10.4</v>
      </c>
      <c r="AB19" s="336">
        <f t="shared" si="29"/>
        <v>10.4</v>
      </c>
      <c r="AC19" s="336">
        <f t="shared" si="29"/>
        <v>10.4</v>
      </c>
      <c r="AD19" s="336">
        <f t="shared" si="29"/>
        <v>10.4</v>
      </c>
      <c r="AE19" s="26"/>
      <c r="AF19" s="188" t="str">
        <f>IF(Actuals!BF19="","",Actuals!BF19)</f>
        <v>Sum</v>
      </c>
      <c r="AG19" s="26" t="str">
        <f t="shared" si="27"/>
        <v>Marketing = Mktg sourced New Opportunities</v>
      </c>
      <c r="AH19" s="196">
        <f>IF($AF19="Sum",SUM(S19:U19),IF($AF19="Average",AVERAGE(S19:U19),IF($AF19="EoP",IV19,"ERROR")))</f>
        <v>31.200000000000003</v>
      </c>
      <c r="AI19" s="196">
        <f>IF($AF19="Sum",SUM(V19:X19),IF($AF19="Average",AVERAGE(V19:X19),IF($AF19="EoP",U19,"ERROR")))</f>
        <v>31.200000000000003</v>
      </c>
      <c r="AJ19" s="196">
        <f>IF($AF19="Sum",SUM(X19:Z19),IF($AF19="Average",AVERAGE(X19:Z19),IF($AF19="EoP",Z19,"ERROR")))</f>
        <v>31.200000000000003</v>
      </c>
      <c r="AK19" s="196">
        <f>IF($AF19="Sum",SUM(AB19:AD19),IF($AF19="Average",AVERAGE(AB19:AD19),IF($AF19="EoP",AD19,"ERROR")))</f>
        <v>31.200000000000003</v>
      </c>
      <c r="AL19" s="196">
        <f ca="1">IF(AF19="EoP",OFFSET(S19,0,MONTH('2024 Control'!$C$4)-1),SUM(S19:OFFSET(S19,0,MONTH('2024 Control'!$C$4)-1))/IF(AF19="Sum",1,MONTH('2024 Control'!$C$4)))</f>
        <v>124.80000000000003</v>
      </c>
      <c r="AM19" s="304">
        <f ca="1">IF(AF19="Sum",(SUM(OFFSET(S19,0,MONTH('2024 Control'!$C$4)-12):OFFSET(S19,0,MONTH('2024 Control'!$C$4)-1))),IF(AF19="Average",(SUM(OFFSET(S19,0,MONTH('2024 Control'!$C$4)-12):OFFSET(S19,0,MONTH('2024 Control'!$C$4)-1)))/12,"-"))</f>
        <v>124.80000000000003</v>
      </c>
    </row>
    <row r="20" spans="2:39">
      <c r="B20" s="26" t="s">
        <v>103</v>
      </c>
      <c r="C20" s="26" t="s">
        <v>255</v>
      </c>
      <c r="D20" s="337" t="str">
        <f t="shared" si="24"/>
        <v>Marketing Mktg sourced New Opportunities</v>
      </c>
      <c r="E20" s="337" t="s">
        <v>109</v>
      </c>
      <c r="F20" s="186" t="str">
        <f>Actuals!F20</f>
        <v>#</v>
      </c>
      <c r="G20" s="230"/>
      <c r="H20" s="230"/>
      <c r="I20" s="230"/>
      <c r="J20" s="230"/>
      <c r="K20" s="230"/>
      <c r="L20" s="230"/>
      <c r="M20" s="230"/>
      <c r="N20" s="230"/>
      <c r="O20" s="230"/>
      <c r="P20" s="230"/>
      <c r="Q20" s="230"/>
      <c r="R20" s="230"/>
      <c r="S20" s="336">
        <f>S19</f>
        <v>10.4</v>
      </c>
      <c r="T20" s="336">
        <f t="shared" ref="T20:AD20" si="30">T19</f>
        <v>10.4</v>
      </c>
      <c r="U20" s="336">
        <f t="shared" si="30"/>
        <v>10.4</v>
      </c>
      <c r="V20" s="336">
        <f t="shared" si="30"/>
        <v>10.4</v>
      </c>
      <c r="W20" s="336">
        <f t="shared" si="30"/>
        <v>10.4</v>
      </c>
      <c r="X20" s="336">
        <f t="shared" si="30"/>
        <v>10.4</v>
      </c>
      <c r="Y20" s="336">
        <f t="shared" si="30"/>
        <v>10.4</v>
      </c>
      <c r="Z20" s="336">
        <f t="shared" si="30"/>
        <v>10.4</v>
      </c>
      <c r="AA20" s="336">
        <f t="shared" si="30"/>
        <v>10.4</v>
      </c>
      <c r="AB20" s="336">
        <f t="shared" si="30"/>
        <v>10.4</v>
      </c>
      <c r="AC20" s="336">
        <f t="shared" si="30"/>
        <v>10.4</v>
      </c>
      <c r="AD20" s="336">
        <f t="shared" si="30"/>
        <v>10.4</v>
      </c>
      <c r="AE20" s="26"/>
      <c r="AF20" s="188" t="str">
        <f>IF(Actuals!BF20="","",Actuals!BF20)</f>
        <v>Sum</v>
      </c>
      <c r="AG20" s="26" t="str">
        <f t="shared" si="27"/>
        <v>Marketing Mktg sourced New Opportunities</v>
      </c>
      <c r="AH20" s="196">
        <f>IF($AF20="Sum",SUM(S20:U20),IF($AF20="Average",AVERAGE(S20:U20),IF($AF20="EoP",IV20,"ERROR")))</f>
        <v>31.200000000000003</v>
      </c>
      <c r="AI20" s="196">
        <f>IF($AF20="Sum",SUM(V20:X20),IF($AF20="Average",AVERAGE(V20:X20),IF($AF20="EoP",U20,"ERROR")))</f>
        <v>31.200000000000003</v>
      </c>
      <c r="AJ20" s="196">
        <f>IF($AF20="Sum",SUM(X20:Z20),IF($AF20="Average",AVERAGE(X20:Z20),IF($AF20="EoP",Z20,"ERROR")))</f>
        <v>31.200000000000003</v>
      </c>
      <c r="AK20" s="196">
        <f>IF($AF20="Sum",SUM(AB20:AD20),IF($AF20="Average",AVERAGE(AB20:AD20),IF($AF20="EoP",AD20,"ERROR")))</f>
        <v>31.200000000000003</v>
      </c>
      <c r="AL20" s="196">
        <f ca="1">IF(AF20="EoP",OFFSET(S20,0,MONTH('2024 Control'!$C$4)-1),SUM(S20:OFFSET(S20,0,MONTH('2024 Control'!$C$4)-1))/IF(AF20="Sum",1,MONTH('2024 Control'!$C$4)))</f>
        <v>124.80000000000003</v>
      </c>
      <c r="AM20" s="304">
        <f ca="1">IF(AF20="Sum",(SUM(OFFSET(S20,0,MONTH('2024 Control'!$C$4)-12):OFFSET(S20,0,MONTH('2024 Control'!$C$4)-1))),IF(AF20="Average",(SUM(OFFSET(S20,0,MONTH('2024 Control'!$C$4)-12):OFFSET(S20,0,MONTH('2024 Control'!$C$4)-1)))/12,"-"))</f>
        <v>124.80000000000003</v>
      </c>
    </row>
    <row r="21" spans="2:39">
      <c r="B21" s="26" t="s">
        <v>103</v>
      </c>
      <c r="C21" s="26" t="s">
        <v>255</v>
      </c>
      <c r="D21" s="337" t="str">
        <f t="shared" si="24"/>
        <v>Marketing (x) Mktg sourced New Opp. ACV</v>
      </c>
      <c r="E21" s="337" t="s">
        <v>110</v>
      </c>
      <c r="F21" s="186" t="str">
        <f>Actuals!F21</f>
        <v>$</v>
      </c>
      <c r="G21" s="230"/>
      <c r="H21" s="230"/>
      <c r="I21" s="230"/>
      <c r="J21" s="230"/>
      <c r="K21" s="230"/>
      <c r="L21" s="230"/>
      <c r="M21" s="230"/>
      <c r="N21" s="230"/>
      <c r="O21" s="230"/>
      <c r="P21" s="230"/>
      <c r="Q21" s="230"/>
      <c r="R21" s="230"/>
      <c r="S21" s="338">
        <v>75000</v>
      </c>
      <c r="T21" s="338">
        <v>75000</v>
      </c>
      <c r="U21" s="338">
        <v>75000</v>
      </c>
      <c r="V21" s="338">
        <v>75000</v>
      </c>
      <c r="W21" s="338">
        <v>75000</v>
      </c>
      <c r="X21" s="338">
        <v>75000</v>
      </c>
      <c r="Y21" s="338">
        <v>75000</v>
      </c>
      <c r="Z21" s="338">
        <v>75000</v>
      </c>
      <c r="AA21" s="338">
        <v>75000</v>
      </c>
      <c r="AB21" s="338">
        <v>75000</v>
      </c>
      <c r="AC21" s="338">
        <v>75000</v>
      </c>
      <c r="AD21" s="338">
        <v>75000</v>
      </c>
      <c r="AE21" s="26"/>
      <c r="AF21" s="188" t="str">
        <f>IF(Actuals!BF21="","",Actuals!BF21)</f>
        <v>Average</v>
      </c>
      <c r="AG21" s="26" t="str">
        <f t="shared" si="27"/>
        <v>Marketing (x) Mktg sourced New Opp. ACV</v>
      </c>
      <c r="AH21" s="214">
        <f>IF($AF21="Sum",SUM(S21:U21),IF($AF21="Average",IFERROR(AVERAGE(S21:U21),"-"),IF($AF21="EoP",IV21,"ERROR")))</f>
        <v>75000</v>
      </c>
      <c r="AI21" s="214">
        <f>IF($AF21="Sum",SUM(V21:X21),IF($AF21="Average",IFERROR(AVERAGE(V21:X21),"-"),IF($AF21="EoP",U21,"ERROR")))</f>
        <v>75000</v>
      </c>
      <c r="AJ21" s="214">
        <f>IF($AF21="Sum",SUM(X21:Z21),IF($AF21="Average",IFERROR(AVERAGE(X21:Z21),"-"),IF($AF21="EoP",Z21,"ERROR")))</f>
        <v>75000</v>
      </c>
      <c r="AK21" s="214">
        <f>IF($AF21="Sum",SUM(AB21:AD21),IF($AF21="Average",IFERROR(AVERAGE(AB21:AD21),"-"),IF($AF21="EoP",AD21,"ERROR")))</f>
        <v>75000</v>
      </c>
      <c r="AL21" s="196">
        <f ca="1">IF(AF21="EoP",OFFSET(S21,0,MONTH('2024 Control'!$C$4)-1),SUM(S21:OFFSET(S21,0,MONTH('2024 Control'!$C$4)-1))/IF(AF21="Sum",1,MONTH('2024 Control'!$C$4)))</f>
        <v>75000</v>
      </c>
      <c r="AM21" s="304">
        <f ca="1">IF(AF21="Sum",(SUM(OFFSET(S21,0,MONTH('2024 Control'!$C$4)-12):OFFSET(S21,0,MONTH('2024 Control'!$C$4)-1))),IF(AF21="Average",(SUM(OFFSET(S21,0,MONTH('2024 Control'!$C$4)-12):OFFSET(S21,0,MONTH('2024 Control'!$C$4)-1)))/12,"-"))</f>
        <v>75000</v>
      </c>
    </row>
    <row r="22" spans="2:39">
      <c r="B22" s="26" t="s">
        <v>103</v>
      </c>
      <c r="C22" s="26" t="s">
        <v>255</v>
      </c>
      <c r="D22" s="337" t="str">
        <f t="shared" si="24"/>
        <v>Marketing = Mktg sourced New Opp. Value</v>
      </c>
      <c r="E22" s="337" t="s">
        <v>111</v>
      </c>
      <c r="F22" s="186" t="str">
        <f>Actuals!F22</f>
        <v>$</v>
      </c>
      <c r="G22" s="230"/>
      <c r="H22" s="230"/>
      <c r="I22" s="230"/>
      <c r="J22" s="230"/>
      <c r="K22" s="230"/>
      <c r="L22" s="230"/>
      <c r="M22" s="230"/>
      <c r="N22" s="230"/>
      <c r="O22" s="230"/>
      <c r="P22" s="230"/>
      <c r="Q22" s="230"/>
      <c r="R22" s="230"/>
      <c r="S22" s="342">
        <f>S20*S21</f>
        <v>780000</v>
      </c>
      <c r="T22" s="342">
        <f t="shared" ref="T22:AD22" si="31">T20*T21</f>
        <v>780000</v>
      </c>
      <c r="U22" s="342">
        <f t="shared" si="31"/>
        <v>780000</v>
      </c>
      <c r="V22" s="342">
        <f t="shared" si="31"/>
        <v>780000</v>
      </c>
      <c r="W22" s="342">
        <f t="shared" si="31"/>
        <v>780000</v>
      </c>
      <c r="X22" s="342">
        <f t="shared" si="31"/>
        <v>780000</v>
      </c>
      <c r="Y22" s="342">
        <f t="shared" si="31"/>
        <v>780000</v>
      </c>
      <c r="Z22" s="342">
        <f t="shared" si="31"/>
        <v>780000</v>
      </c>
      <c r="AA22" s="342">
        <f t="shared" si="31"/>
        <v>780000</v>
      </c>
      <c r="AB22" s="342">
        <f t="shared" si="31"/>
        <v>780000</v>
      </c>
      <c r="AC22" s="342">
        <f t="shared" si="31"/>
        <v>780000</v>
      </c>
      <c r="AD22" s="342">
        <f t="shared" si="31"/>
        <v>780000</v>
      </c>
      <c r="AE22" s="26"/>
      <c r="AF22" s="188" t="str">
        <f>IF(Actuals!BF22="","",Actuals!BF22)</f>
        <v>Sum</v>
      </c>
      <c r="AG22" s="26" t="str">
        <f t="shared" si="27"/>
        <v>Marketing = Mktg sourced New Opp. Value</v>
      </c>
      <c r="AH22" s="196">
        <f>IF($AF22="Sum",SUM(S22:U22),IF($AF22="Average",AVERAGE(S22:U22),IF($AF22="EoP",IV22,"ERROR")))</f>
        <v>2340000</v>
      </c>
      <c r="AI22" s="196">
        <f>IF($AF22="Sum",SUM(V22:X22),IF($AF22="Average",AVERAGE(V22:X22),IF($AF22="EoP",U22,"ERROR")))</f>
        <v>2340000</v>
      </c>
      <c r="AJ22" s="196">
        <f>IF($AF22="Sum",SUM(X22:Z22),IF($AF22="Average",AVERAGE(X22:Z22),IF($AF22="EoP",Z22,"ERROR")))</f>
        <v>2340000</v>
      </c>
      <c r="AK22" s="196">
        <f>IF($AF22="Sum",SUM(AB22:AD22),IF($AF22="Average",AVERAGE(AB22:AD22),IF($AF22="EoP",AD22,"ERROR")))</f>
        <v>2340000</v>
      </c>
      <c r="AL22" s="196">
        <f ca="1">IF(AF22="EoP",OFFSET(S22,0,MONTH('2024 Control'!$C$4)-1),SUM(S22:OFFSET(S22,0,MONTH('2024 Control'!$C$4)-1))/IF(AF22="Sum",1,MONTH('2024 Control'!$C$4)))</f>
        <v>9360000</v>
      </c>
      <c r="AM22" s="304">
        <f ca="1">IF(AF22="Sum",(SUM(OFFSET(S22,0,MONTH('2024 Control'!$C$4)-12):OFFSET(S22,0,MONTH('2024 Control'!$C$4)-1))),IF(AF22="Average",(SUM(OFFSET(S22,0,MONTH('2024 Control'!$C$4)-12):OFFSET(S22,0,MONTH('2024 Control'!$C$4)-1)))/12,"-"))</f>
        <v>9360000</v>
      </c>
    </row>
    <row r="23" spans="2:39">
      <c r="B23" s="26" t="s">
        <v>103</v>
      </c>
      <c r="C23" s="26" t="s">
        <v>255</v>
      </c>
      <c r="D23" s="337" t="str">
        <f t="shared" si="24"/>
        <v>Marketing (x) Expected Win Rate</v>
      </c>
      <c r="E23" s="337" t="s">
        <v>112</v>
      </c>
      <c r="F23" s="186" t="str">
        <f>Actuals!F23</f>
        <v>%</v>
      </c>
      <c r="G23" s="230"/>
      <c r="H23" s="230"/>
      <c r="I23" s="230"/>
      <c r="J23" s="230"/>
      <c r="K23" s="230"/>
      <c r="L23" s="230"/>
      <c r="M23" s="230"/>
      <c r="N23" s="230"/>
      <c r="O23" s="230"/>
      <c r="P23" s="230"/>
      <c r="Q23" s="230"/>
      <c r="R23" s="230"/>
      <c r="S23" s="335">
        <v>0.192</v>
      </c>
      <c r="T23" s="335">
        <v>0.192</v>
      </c>
      <c r="U23" s="335">
        <v>0.192</v>
      </c>
      <c r="V23" s="335">
        <v>0.192</v>
      </c>
      <c r="W23" s="335">
        <v>0.192</v>
      </c>
      <c r="X23" s="335">
        <v>0.192</v>
      </c>
      <c r="Y23" s="335">
        <v>0.192</v>
      </c>
      <c r="Z23" s="335">
        <v>0.192</v>
      </c>
      <c r="AA23" s="335">
        <v>0.192</v>
      </c>
      <c r="AB23" s="335">
        <v>0.192</v>
      </c>
      <c r="AC23" s="335">
        <v>0.192</v>
      </c>
      <c r="AD23" s="335">
        <v>0.192</v>
      </c>
      <c r="AE23" s="26"/>
      <c r="AF23" s="188" t="str">
        <f>IF(Actuals!BF23="","",Actuals!BF23)</f>
        <v>Average</v>
      </c>
      <c r="AG23" s="26" t="str">
        <f t="shared" si="27"/>
        <v>Marketing (x) Expected Win Rate</v>
      </c>
      <c r="AH23" s="214">
        <f>IF($AF23="Sum",SUM(S23:U23),IF($AF23="Average",IFERROR(AVERAGE(S23:U23),"-"),IF($AF23="EoP",IV23,"ERROR")))</f>
        <v>0.19200000000000003</v>
      </c>
      <c r="AI23" s="214">
        <f>IF($AF23="Sum",SUM(V23:X23),IF($AF23="Average",IFERROR(AVERAGE(V23:X23),"-"),IF($AF23="EoP",U23,"ERROR")))</f>
        <v>0.19200000000000003</v>
      </c>
      <c r="AJ23" s="214">
        <f>IF($AF23="Sum",SUM(X23:Z23),IF($AF23="Average",IFERROR(AVERAGE(X23:Z23),"-"),IF($AF23="EoP",Z23,"ERROR")))</f>
        <v>0.19200000000000003</v>
      </c>
      <c r="AK23" s="214">
        <f>IF($AF23="Sum",SUM(AB23:AD23),IF($AF23="Average",IFERROR(AVERAGE(AB23:AD23),"-"),IF($AF23="EoP",AD23,"ERROR")))</f>
        <v>0.19200000000000003</v>
      </c>
      <c r="AL23" s="194">
        <f ca="1">IF(AF23="EoP",OFFSET(S23,0,MONTH('2024 Control'!$C$4)-1),SUM(S23:OFFSET(S23,0,MONTH('2024 Control'!$C$4)-1))/IF(AF23="Sum",1,MONTH('2024 Control'!$C$4)))</f>
        <v>0.19199999999999998</v>
      </c>
      <c r="AM23" s="304">
        <f ca="1">IF(AF23="Sum",(SUM(OFFSET(S23,0,MONTH('2024 Control'!$C$4)-12):OFFSET(S23,0,MONTH('2024 Control'!$C$4)-1))),IF(AF23="Average",(SUM(OFFSET(S23,0,MONTH('2024 Control'!$C$4)-12):OFFSET(S23,0,MONTH('2024 Control'!$C$4)-1)))/12,"-"))</f>
        <v>0.19199999999999998</v>
      </c>
    </row>
    <row r="24" spans="2:39">
      <c r="B24" s="26" t="s">
        <v>103</v>
      </c>
      <c r="C24" s="26" t="s">
        <v>255</v>
      </c>
      <c r="D24" s="337" t="str">
        <f t="shared" si="24"/>
        <v>Marketing = Expected Revenue of New Opp.</v>
      </c>
      <c r="E24" s="337" t="s">
        <v>113</v>
      </c>
      <c r="F24" s="186" t="str">
        <f>Actuals!F24</f>
        <v>$</v>
      </c>
      <c r="G24" s="230"/>
      <c r="H24" s="230"/>
      <c r="I24" s="230"/>
      <c r="J24" s="230"/>
      <c r="K24" s="230"/>
      <c r="L24" s="230"/>
      <c r="M24" s="230"/>
      <c r="N24" s="230"/>
      <c r="O24" s="230"/>
      <c r="P24" s="230"/>
      <c r="Q24" s="230"/>
      <c r="R24" s="230"/>
      <c r="S24" s="342">
        <f>S22*S23</f>
        <v>149760</v>
      </c>
      <c r="T24" s="342">
        <f t="shared" ref="T24:AD24" si="32">T22*T23</f>
        <v>149760</v>
      </c>
      <c r="U24" s="342">
        <f t="shared" si="32"/>
        <v>149760</v>
      </c>
      <c r="V24" s="342">
        <f t="shared" si="32"/>
        <v>149760</v>
      </c>
      <c r="W24" s="342">
        <f t="shared" si="32"/>
        <v>149760</v>
      </c>
      <c r="X24" s="342">
        <f t="shared" si="32"/>
        <v>149760</v>
      </c>
      <c r="Y24" s="342">
        <f t="shared" si="32"/>
        <v>149760</v>
      </c>
      <c r="Z24" s="342">
        <f t="shared" si="32"/>
        <v>149760</v>
      </c>
      <c r="AA24" s="342">
        <f t="shared" si="32"/>
        <v>149760</v>
      </c>
      <c r="AB24" s="342">
        <f t="shared" si="32"/>
        <v>149760</v>
      </c>
      <c r="AC24" s="342">
        <f t="shared" si="32"/>
        <v>149760</v>
      </c>
      <c r="AD24" s="342">
        <f t="shared" si="32"/>
        <v>149760</v>
      </c>
      <c r="AE24" s="26"/>
      <c r="AF24" s="188" t="str">
        <f>IF(Actuals!BF24="","",Actuals!BF24)</f>
        <v>Sum</v>
      </c>
      <c r="AG24" s="26" t="str">
        <f t="shared" si="27"/>
        <v>Marketing = Expected Revenue of New Opp.</v>
      </c>
      <c r="AH24" s="196">
        <f t="shared" ref="AH24:AH38" si="33">IF($AF24="Sum",SUM(S24:U24),IF($AF24="Average",AVERAGE(S24:U24),IF($AF24="EoP",IV24,"ERROR")))</f>
        <v>449280</v>
      </c>
      <c r="AI24" s="196">
        <f t="shared" ref="AI24:AI38" si="34">IF($AF24="Sum",SUM(V24:X24),IF($AF24="Average",AVERAGE(V24:X24),IF($AF24="EoP",U24,"ERROR")))</f>
        <v>449280</v>
      </c>
      <c r="AJ24" s="196">
        <f t="shared" ref="AJ24:AJ38" si="35">IF($AF24="Sum",SUM(X24:Z24),IF($AF24="Average",AVERAGE(X24:Z24),IF($AF24="EoP",Z24,"ERROR")))</f>
        <v>449280</v>
      </c>
      <c r="AK24" s="196">
        <f t="shared" ref="AK24:AK38" si="36">IF($AF24="Sum",SUM(AB24:AD24),IF($AF24="Average",AVERAGE(AB24:AD24),IF($AF24="EoP",AD24,"ERROR")))</f>
        <v>449280</v>
      </c>
      <c r="AL24" s="196">
        <f ca="1">IF(AF24="EoP",OFFSET(S24,0,MONTH('2024 Control'!$C$4)-1),SUM(S24:OFFSET(S24,0,MONTH('2024 Control'!$C$4)-1))/IF(AF24="Sum",1,MONTH('2024 Control'!$C$4)))</f>
        <v>1797120</v>
      </c>
      <c r="AM24" s="304">
        <f ca="1">IF(AF24="Sum",(SUM(OFFSET(S24,0,MONTH('2024 Control'!$C$4)-12):OFFSET(S24,0,MONTH('2024 Control'!$C$4)-1))),IF(AF24="Average",(SUM(OFFSET(S24,0,MONTH('2024 Control'!$C$4)-12):OFFSET(S24,0,MONTH('2024 Control'!$C$4)-1)))/12,"-"))</f>
        <v>1797120</v>
      </c>
    </row>
    <row r="25" spans="2:39">
      <c r="B25" s="26" t="s">
        <v>103</v>
      </c>
      <c r="C25" s="26" t="s">
        <v>256</v>
      </c>
      <c r="D25" s="337" t="str">
        <f t="shared" si="24"/>
        <v>Marketing Mktg sourced pipeline, EoP</v>
      </c>
      <c r="E25" s="337" t="s">
        <v>115</v>
      </c>
      <c r="F25" s="186" t="str">
        <f>Actuals!F25</f>
        <v>$</v>
      </c>
      <c r="G25" s="230"/>
      <c r="H25" s="230"/>
      <c r="I25" s="230"/>
      <c r="J25" s="230"/>
      <c r="K25" s="230"/>
      <c r="L25" s="230"/>
      <c r="M25" s="230"/>
      <c r="N25" s="230"/>
      <c r="O25" s="230"/>
      <c r="P25" s="230"/>
      <c r="Q25" s="230"/>
      <c r="R25" s="230"/>
      <c r="S25" s="230"/>
      <c r="T25" s="230"/>
      <c r="U25" s="230"/>
      <c r="V25" s="230"/>
      <c r="W25" s="230"/>
      <c r="X25" s="230"/>
      <c r="Y25" s="230"/>
      <c r="Z25" s="230"/>
      <c r="AA25" s="230"/>
      <c r="AB25" s="230"/>
      <c r="AC25" s="230"/>
      <c r="AD25" s="230"/>
      <c r="AE25" s="26"/>
      <c r="AF25" s="188" t="str">
        <f>IF(Actuals!BF25="","",Actuals!BF25)</f>
        <v>EoP</v>
      </c>
      <c r="AG25" s="26" t="str">
        <f t="shared" si="27"/>
        <v>Marketing Mktg sourced pipeline, EoP</v>
      </c>
      <c r="AH25" s="195">
        <f t="shared" si="33"/>
        <v>0</v>
      </c>
      <c r="AI25" s="195">
        <f t="shared" si="34"/>
        <v>0</v>
      </c>
      <c r="AJ25" s="195">
        <f t="shared" si="35"/>
        <v>0</v>
      </c>
      <c r="AK25" s="195">
        <f t="shared" si="36"/>
        <v>0</v>
      </c>
      <c r="AL25" s="195">
        <f ca="1">IF(AF25="EoP",OFFSET(S25,0,MONTH('2024 Control'!$C$4)-1),SUM(S25:OFFSET(S25,0,MONTH('2024 Control'!$C$4)-1))/IF(AF25="Sum",1,MONTH('2024 Control'!$C$4)))</f>
        <v>0</v>
      </c>
      <c r="AM25" s="304" t="str">
        <f ca="1">IF(AF25="Sum",(SUM(OFFSET(S25,0,MONTH('2024 Control'!$C$4)-12):OFFSET(S25,0,MONTH('2024 Control'!$C$4)-1))),IF(AF25="Average",(SUM(OFFSET(S25,0,MONTH('2024 Control'!$C$4)-12):OFFSET(S25,0,MONTH('2024 Control'!$C$4)-1)))/12,"-"))</f>
        <v>-</v>
      </c>
    </row>
    <row r="26" spans="2:39">
      <c r="B26" s="26" t="s">
        <v>103</v>
      </c>
      <c r="C26" s="26" t="s">
        <v>256</v>
      </c>
      <c r="D26" s="337" t="str">
        <f t="shared" si="24"/>
        <v>Marketing Mktg sourced Won ARR</v>
      </c>
      <c r="E26" s="337" t="s">
        <v>116</v>
      </c>
      <c r="F26" s="186" t="str">
        <f>Actuals!F26</f>
        <v>$</v>
      </c>
      <c r="G26" s="230"/>
      <c r="H26" s="230"/>
      <c r="I26" s="230"/>
      <c r="J26" s="230"/>
      <c r="K26" s="230"/>
      <c r="L26" s="230"/>
      <c r="M26" s="230"/>
      <c r="N26" s="230"/>
      <c r="O26" s="230"/>
      <c r="P26" s="230"/>
      <c r="Q26" s="230"/>
      <c r="R26" s="230"/>
      <c r="S26" s="230"/>
      <c r="T26" s="230"/>
      <c r="U26" s="338">
        <v>320000</v>
      </c>
      <c r="V26" s="230"/>
      <c r="W26" s="230"/>
      <c r="X26" s="338">
        <v>450000</v>
      </c>
      <c r="Y26" s="230"/>
      <c r="Z26" s="230"/>
      <c r="AA26" s="338">
        <v>450000</v>
      </c>
      <c r="AB26" s="338"/>
      <c r="AC26" s="338"/>
      <c r="AD26" s="338">
        <v>580000</v>
      </c>
      <c r="AE26" s="26"/>
      <c r="AF26" s="188" t="str">
        <f>IF(Actuals!BF26="","",Actuals!BF26)</f>
        <v>Sum</v>
      </c>
      <c r="AG26" s="26" t="str">
        <f t="shared" si="27"/>
        <v>Marketing Mktg sourced Won ARR</v>
      </c>
      <c r="AH26" s="196">
        <f t="shared" si="33"/>
        <v>320000</v>
      </c>
      <c r="AI26" s="196">
        <f t="shared" si="34"/>
        <v>450000</v>
      </c>
      <c r="AJ26" s="196">
        <f t="shared" si="35"/>
        <v>450000</v>
      </c>
      <c r="AK26" s="196">
        <f t="shared" si="36"/>
        <v>580000</v>
      </c>
      <c r="AL26" s="196">
        <f ca="1">IF(AF26="EoP",OFFSET(S26,0,MONTH('2024 Control'!$C$4)-1),SUM(S26:OFFSET(S26,0,MONTH('2024 Control'!$C$4)-1))/IF(AF26="Sum",1,MONTH('2024 Control'!$C$4)))</f>
        <v>1800000</v>
      </c>
      <c r="AM26" s="304">
        <f ca="1">IF(AF26="Sum",(SUM(OFFSET(S26,0,MONTH('2024 Control'!$C$4)-12):OFFSET(S26,0,MONTH('2024 Control'!$C$4)-1))),IF(AF26="Average",(SUM(OFFSET(S26,0,MONTH('2024 Control'!$C$4)-12):OFFSET(S26,0,MONTH('2024 Control'!$C$4)-1)))/12,"-"))</f>
        <v>1800000</v>
      </c>
    </row>
    <row r="27" spans="2:39">
      <c r="B27" s="26" t="s">
        <v>103</v>
      </c>
      <c r="C27" s="26" t="s">
        <v>296</v>
      </c>
      <c r="D27" s="26" t="str">
        <f t="shared" si="24"/>
        <v>Marketing Leads - Digital (Paid)</v>
      </c>
      <c r="E27" s="26" t="s">
        <v>118</v>
      </c>
      <c r="F27" s="186" t="str">
        <f>Actuals!F27</f>
        <v>#</v>
      </c>
      <c r="G27" s="230"/>
      <c r="H27" s="230"/>
      <c r="I27" s="230"/>
      <c r="J27" s="230"/>
      <c r="K27" s="230"/>
      <c r="L27" s="230"/>
      <c r="M27" s="230"/>
      <c r="N27" s="230"/>
      <c r="O27" s="230"/>
      <c r="P27" s="230"/>
      <c r="Q27" s="230"/>
      <c r="R27" s="230"/>
      <c r="S27" s="230">
        <f>30/12</f>
        <v>2.5</v>
      </c>
      <c r="T27" s="230">
        <f t="shared" ref="T27:AD28" si="37">30/12</f>
        <v>2.5</v>
      </c>
      <c r="U27" s="230">
        <f t="shared" si="37"/>
        <v>2.5</v>
      </c>
      <c r="V27" s="230">
        <f t="shared" si="37"/>
        <v>2.5</v>
      </c>
      <c r="W27" s="230">
        <f t="shared" si="37"/>
        <v>2.5</v>
      </c>
      <c r="X27" s="230">
        <f t="shared" si="37"/>
        <v>2.5</v>
      </c>
      <c r="Y27" s="230">
        <f t="shared" si="37"/>
        <v>2.5</v>
      </c>
      <c r="Z27" s="230">
        <f t="shared" si="37"/>
        <v>2.5</v>
      </c>
      <c r="AA27" s="230">
        <f t="shared" si="37"/>
        <v>2.5</v>
      </c>
      <c r="AB27" s="230">
        <f t="shared" si="37"/>
        <v>2.5</v>
      </c>
      <c r="AC27" s="230">
        <f t="shared" si="37"/>
        <v>2.5</v>
      </c>
      <c r="AD27" s="230">
        <f t="shared" si="37"/>
        <v>2.5</v>
      </c>
      <c r="AE27" s="26"/>
      <c r="AF27" s="188" t="str">
        <f>IF(Actuals!BF27="","",Actuals!BF27)</f>
        <v>Sum</v>
      </c>
      <c r="AG27" s="26" t="str">
        <f t="shared" si="27"/>
        <v>Marketing Leads - Digital (Paid)</v>
      </c>
      <c r="AH27" s="195">
        <f t="shared" si="33"/>
        <v>7.5</v>
      </c>
      <c r="AI27" s="195">
        <f t="shared" si="34"/>
        <v>7.5</v>
      </c>
      <c r="AJ27" s="195">
        <f t="shared" si="35"/>
        <v>7.5</v>
      </c>
      <c r="AK27" s="195">
        <f t="shared" si="36"/>
        <v>7.5</v>
      </c>
      <c r="AL27" s="195">
        <f ca="1">IF(AF27="EoP",OFFSET(S27,0,MONTH('2024 Control'!$C$4)-1),SUM(S27:OFFSET(S27,0,MONTH('2024 Control'!$C$4)-1))/IF(AF27="Sum",1,MONTH('2024 Control'!$C$4)))</f>
        <v>30</v>
      </c>
      <c r="AM27" s="304">
        <f ca="1">IF(AF27="Sum",(SUM(OFFSET(S27,0,MONTH('2024 Control'!$C$4)-12):OFFSET(S27,0,MONTH('2024 Control'!$C$4)-1))),IF(AF27="Average",(SUM(OFFSET(S27,0,MONTH('2024 Control'!$C$4)-12):OFFSET(S27,0,MONTH('2024 Control'!$C$4)-1)))/12,"-"))</f>
        <v>30</v>
      </c>
    </row>
    <row r="28" spans="2:39">
      <c r="B28" s="26" t="s">
        <v>103</v>
      </c>
      <c r="C28" s="26" t="s">
        <v>296</v>
      </c>
      <c r="D28" s="26" t="str">
        <f t="shared" si="24"/>
        <v>Marketing Leads - Digital (Organic)</v>
      </c>
      <c r="E28" s="26" t="s">
        <v>119</v>
      </c>
      <c r="F28" s="186" t="str">
        <f>Actuals!F28</f>
        <v>#</v>
      </c>
      <c r="G28" s="230"/>
      <c r="H28" s="230"/>
      <c r="I28" s="230"/>
      <c r="J28" s="230"/>
      <c r="K28" s="230"/>
      <c r="L28" s="230"/>
      <c r="M28" s="230"/>
      <c r="N28" s="230"/>
      <c r="O28" s="230"/>
      <c r="P28" s="230"/>
      <c r="Q28" s="230"/>
      <c r="R28" s="230"/>
      <c r="S28" s="230">
        <f>30/12</f>
        <v>2.5</v>
      </c>
      <c r="T28" s="230">
        <f t="shared" si="37"/>
        <v>2.5</v>
      </c>
      <c r="U28" s="230">
        <f t="shared" si="37"/>
        <v>2.5</v>
      </c>
      <c r="V28" s="230">
        <f t="shared" si="37"/>
        <v>2.5</v>
      </c>
      <c r="W28" s="230">
        <f t="shared" si="37"/>
        <v>2.5</v>
      </c>
      <c r="X28" s="230">
        <f t="shared" si="37"/>
        <v>2.5</v>
      </c>
      <c r="Y28" s="230">
        <f t="shared" si="37"/>
        <v>2.5</v>
      </c>
      <c r="Z28" s="230">
        <f t="shared" si="37"/>
        <v>2.5</v>
      </c>
      <c r="AA28" s="230">
        <f t="shared" si="37"/>
        <v>2.5</v>
      </c>
      <c r="AB28" s="230">
        <f t="shared" si="37"/>
        <v>2.5</v>
      </c>
      <c r="AC28" s="230">
        <f t="shared" si="37"/>
        <v>2.5</v>
      </c>
      <c r="AD28" s="230">
        <f t="shared" si="37"/>
        <v>2.5</v>
      </c>
      <c r="AE28" s="26"/>
      <c r="AF28" s="188" t="str">
        <f>IF(Actuals!BF28="","",Actuals!BF28)</f>
        <v>Sum</v>
      </c>
      <c r="AG28" s="26" t="str">
        <f t="shared" si="27"/>
        <v>Marketing Leads - Digital (Organic)</v>
      </c>
      <c r="AH28" s="195">
        <f t="shared" si="33"/>
        <v>7.5</v>
      </c>
      <c r="AI28" s="195">
        <f t="shared" si="34"/>
        <v>7.5</v>
      </c>
      <c r="AJ28" s="195">
        <f t="shared" si="35"/>
        <v>7.5</v>
      </c>
      <c r="AK28" s="195">
        <f t="shared" si="36"/>
        <v>7.5</v>
      </c>
      <c r="AL28" s="195">
        <f ca="1">IF(AF28="EoP",OFFSET(S28,0,MONTH('2024 Control'!$C$4)-1),SUM(S28:OFFSET(S28,0,MONTH('2024 Control'!$C$4)-1))/IF(AF28="Sum",1,MONTH('2024 Control'!$C$4)))</f>
        <v>30</v>
      </c>
      <c r="AM28" s="304">
        <f ca="1">IF(AF28="Sum",(SUM(OFFSET(S28,0,MONTH('2024 Control'!$C$4)-12):OFFSET(S28,0,MONTH('2024 Control'!$C$4)-1))),IF(AF28="Average",(SUM(OFFSET(S28,0,MONTH('2024 Control'!$C$4)-12):OFFSET(S28,0,MONTH('2024 Control'!$C$4)-1)))/12,"-"))</f>
        <v>30</v>
      </c>
    </row>
    <row r="29" spans="2:39">
      <c r="B29" s="26" t="s">
        <v>103</v>
      </c>
      <c r="C29" s="26" t="s">
        <v>296</v>
      </c>
      <c r="D29" s="26" t="str">
        <f t="shared" si="24"/>
        <v>Marketing Leads - Events / Conferences</v>
      </c>
      <c r="E29" s="26" t="s">
        <v>120</v>
      </c>
      <c r="F29" s="186" t="str">
        <f>Actuals!F29</f>
        <v>#</v>
      </c>
      <c r="G29" s="230"/>
      <c r="H29" s="230"/>
      <c r="I29" s="230"/>
      <c r="J29" s="230"/>
      <c r="K29" s="230"/>
      <c r="L29" s="230"/>
      <c r="M29" s="230"/>
      <c r="N29" s="230"/>
      <c r="O29" s="230"/>
      <c r="P29" s="230"/>
      <c r="Q29" s="230"/>
      <c r="R29" s="230"/>
      <c r="S29" s="230">
        <f>60/12</f>
        <v>5</v>
      </c>
      <c r="T29" s="230">
        <f t="shared" ref="T29:AD29" si="38">60/12</f>
        <v>5</v>
      </c>
      <c r="U29" s="230">
        <f t="shared" si="38"/>
        <v>5</v>
      </c>
      <c r="V29" s="230">
        <f t="shared" si="38"/>
        <v>5</v>
      </c>
      <c r="W29" s="230">
        <f t="shared" si="38"/>
        <v>5</v>
      </c>
      <c r="X29" s="230">
        <f t="shared" si="38"/>
        <v>5</v>
      </c>
      <c r="Y29" s="230">
        <f t="shared" si="38"/>
        <v>5</v>
      </c>
      <c r="Z29" s="230">
        <f t="shared" si="38"/>
        <v>5</v>
      </c>
      <c r="AA29" s="230">
        <f t="shared" si="38"/>
        <v>5</v>
      </c>
      <c r="AB29" s="230">
        <f t="shared" si="38"/>
        <v>5</v>
      </c>
      <c r="AC29" s="230">
        <f t="shared" si="38"/>
        <v>5</v>
      </c>
      <c r="AD29" s="230">
        <f t="shared" si="38"/>
        <v>5</v>
      </c>
      <c r="AE29" s="26"/>
      <c r="AF29" s="188" t="str">
        <f>IF(Actuals!BF29="","",Actuals!BF29)</f>
        <v>Sum</v>
      </c>
      <c r="AG29" s="26" t="str">
        <f t="shared" si="27"/>
        <v>Marketing Leads - Events / Conferences</v>
      </c>
      <c r="AH29" s="195">
        <f t="shared" si="33"/>
        <v>15</v>
      </c>
      <c r="AI29" s="195">
        <f t="shared" si="34"/>
        <v>15</v>
      </c>
      <c r="AJ29" s="195">
        <f t="shared" si="35"/>
        <v>15</v>
      </c>
      <c r="AK29" s="195">
        <f t="shared" si="36"/>
        <v>15</v>
      </c>
      <c r="AL29" s="195">
        <f ca="1">IF(AF29="EoP",OFFSET(S29,0,MONTH('2024 Control'!$C$4)-1),SUM(S29:OFFSET(S29,0,MONTH('2024 Control'!$C$4)-1))/IF(AF29="Sum",1,MONTH('2024 Control'!$C$4)))</f>
        <v>60</v>
      </c>
      <c r="AM29" s="304">
        <f ca="1">IF(AF29="Sum",(SUM(OFFSET(S29,0,MONTH('2024 Control'!$C$4)-12):OFFSET(S29,0,MONTH('2024 Control'!$C$4)-1))),IF(AF29="Average",(SUM(OFFSET(S29,0,MONTH('2024 Control'!$C$4)-12):OFFSET(S29,0,MONTH('2024 Control'!$C$4)-1)))/12,"-"))</f>
        <v>60</v>
      </c>
    </row>
    <row r="30" spans="2:39">
      <c r="B30" s="26" t="s">
        <v>103</v>
      </c>
      <c r="C30" s="26" t="s">
        <v>296</v>
      </c>
      <c r="D30" s="26" t="str">
        <f t="shared" ref="D30:D35" si="39">B30&amp;" "&amp;E30</f>
        <v>Marketing Leads - Outbound (BDR)</v>
      </c>
      <c r="E30" s="26" t="s">
        <v>121</v>
      </c>
      <c r="F30" s="186" t="str">
        <f>Actuals!F30</f>
        <v>#</v>
      </c>
      <c r="G30" s="230"/>
      <c r="H30" s="230"/>
      <c r="I30" s="230"/>
      <c r="J30" s="230"/>
      <c r="K30" s="230"/>
      <c r="L30" s="230"/>
      <c r="M30" s="230"/>
      <c r="N30" s="230"/>
      <c r="O30" s="230"/>
      <c r="P30" s="230"/>
      <c r="Q30" s="230"/>
      <c r="R30" s="230"/>
      <c r="S30" s="230">
        <f>120/12</f>
        <v>10</v>
      </c>
      <c r="T30" s="230">
        <f t="shared" ref="T30:AD30" si="40">120/12</f>
        <v>10</v>
      </c>
      <c r="U30" s="230">
        <f t="shared" si="40"/>
        <v>10</v>
      </c>
      <c r="V30" s="230">
        <f t="shared" si="40"/>
        <v>10</v>
      </c>
      <c r="W30" s="230">
        <f t="shared" si="40"/>
        <v>10</v>
      </c>
      <c r="X30" s="230">
        <f t="shared" si="40"/>
        <v>10</v>
      </c>
      <c r="Y30" s="230">
        <f t="shared" si="40"/>
        <v>10</v>
      </c>
      <c r="Z30" s="230">
        <f t="shared" si="40"/>
        <v>10</v>
      </c>
      <c r="AA30" s="230">
        <f t="shared" si="40"/>
        <v>10</v>
      </c>
      <c r="AB30" s="230">
        <f t="shared" si="40"/>
        <v>10</v>
      </c>
      <c r="AC30" s="230">
        <f t="shared" si="40"/>
        <v>10</v>
      </c>
      <c r="AD30" s="230">
        <f t="shared" si="40"/>
        <v>10</v>
      </c>
      <c r="AE30" s="26"/>
      <c r="AF30" s="188" t="str">
        <f>IF(Actuals!BF30="","",Actuals!BF30)</f>
        <v>Sum</v>
      </c>
      <c r="AG30" s="26" t="str">
        <f t="shared" ref="AG30:AG35" si="41">D30</f>
        <v>Marketing Leads - Outbound (BDR)</v>
      </c>
      <c r="AH30" s="195">
        <f t="shared" ref="AH30:AH35" si="42">IF($AF30="Sum",SUM(S30:U30),IF($AF30="Average",AVERAGE(S30:U30),IF($AF30="EoP",IV30,"ERROR")))</f>
        <v>30</v>
      </c>
      <c r="AI30" s="195">
        <f t="shared" ref="AI30:AI35" si="43">IF($AF30="Sum",SUM(V30:X30),IF($AF30="Average",AVERAGE(V30:X30),IF($AF30="EoP",U30,"ERROR")))</f>
        <v>30</v>
      </c>
      <c r="AJ30" s="195">
        <f t="shared" ref="AJ30:AJ35" si="44">IF($AF30="Sum",SUM(X30:Z30),IF($AF30="Average",AVERAGE(X30:Z30),IF($AF30="EoP",Z30,"ERROR")))</f>
        <v>30</v>
      </c>
      <c r="AK30" s="195">
        <f t="shared" ref="AK30:AK35" si="45">IF($AF30="Sum",SUM(AB30:AD30),IF($AF30="Average",AVERAGE(AB30:AD30),IF($AF30="EoP",AD30,"ERROR")))</f>
        <v>30</v>
      </c>
      <c r="AL30" s="195">
        <f ca="1">IF(AF30="EoP",OFFSET(S30,0,MONTH('2024 Control'!$C$4)-1),SUM(S30:OFFSET(S30,0,MONTH('2024 Control'!$C$4)-1))/IF(AF30="Sum",1,MONTH('2024 Control'!$C$4)))</f>
        <v>120</v>
      </c>
      <c r="AM30" s="304">
        <f ca="1">IF(AF30="Sum",(SUM(OFFSET(S30,0,MONTH('2024 Control'!$C$4)-12):OFFSET(S30,0,MONTH('2024 Control'!$C$4)-1))),IF(AF30="Average",(SUM(OFFSET(S30,0,MONTH('2024 Control'!$C$4)-12):OFFSET(S30,0,MONTH('2024 Control'!$C$4)-1)))/12,"-"))</f>
        <v>120</v>
      </c>
    </row>
    <row r="31" spans="2:39">
      <c r="B31" s="26" t="s">
        <v>103</v>
      </c>
      <c r="C31" s="26" t="s">
        <v>296</v>
      </c>
      <c r="D31" s="26" t="str">
        <f t="shared" si="39"/>
        <v>Marketing Leads - Other</v>
      </c>
      <c r="E31" s="26" t="s">
        <v>122</v>
      </c>
      <c r="F31" s="186" t="str">
        <f>Actuals!F31</f>
        <v>#</v>
      </c>
      <c r="G31" s="230"/>
      <c r="H31" s="230"/>
      <c r="I31" s="230"/>
      <c r="J31" s="230"/>
      <c r="K31" s="230"/>
      <c r="L31" s="230"/>
      <c r="M31" s="230"/>
      <c r="N31" s="230"/>
      <c r="O31" s="230"/>
      <c r="P31" s="230"/>
      <c r="Q31" s="230"/>
      <c r="R31" s="230"/>
      <c r="S31" s="230">
        <v>0</v>
      </c>
      <c r="T31" s="230">
        <v>0</v>
      </c>
      <c r="U31" s="230">
        <v>0</v>
      </c>
      <c r="V31" s="230">
        <v>0</v>
      </c>
      <c r="W31" s="230">
        <v>0</v>
      </c>
      <c r="X31" s="230">
        <v>0</v>
      </c>
      <c r="Y31" s="230">
        <v>0</v>
      </c>
      <c r="Z31" s="230">
        <v>0</v>
      </c>
      <c r="AA31" s="230">
        <v>0</v>
      </c>
      <c r="AB31" s="230">
        <v>0</v>
      </c>
      <c r="AC31" s="230">
        <v>0</v>
      </c>
      <c r="AD31" s="230">
        <v>0</v>
      </c>
      <c r="AE31" s="26"/>
      <c r="AF31" s="188" t="str">
        <f>IF(Actuals!BF31="","",Actuals!BF31)</f>
        <v>Sum</v>
      </c>
      <c r="AG31" s="26" t="str">
        <f t="shared" si="41"/>
        <v>Marketing Leads - Other</v>
      </c>
      <c r="AH31" s="195">
        <f t="shared" si="42"/>
        <v>0</v>
      </c>
      <c r="AI31" s="195">
        <f t="shared" si="43"/>
        <v>0</v>
      </c>
      <c r="AJ31" s="195">
        <f t="shared" si="44"/>
        <v>0</v>
      </c>
      <c r="AK31" s="195">
        <f t="shared" si="45"/>
        <v>0</v>
      </c>
      <c r="AL31" s="195">
        <f ca="1">IF(AF31="EoP",OFFSET(S31,0,MONTH('2024 Control'!$C$4)-1),SUM(S31:OFFSET(S31,0,MONTH('2024 Control'!$C$4)-1))/IF(AF31="Sum",1,MONTH('2024 Control'!$C$4)))</f>
        <v>0</v>
      </c>
      <c r="AM31" s="304">
        <f ca="1">IF(AF31="Sum",(SUM(OFFSET(S31,0,MONTH('2024 Control'!$C$4)-12):OFFSET(S31,0,MONTH('2024 Control'!$C$4)-1))),IF(AF31="Average",(SUM(OFFSET(S31,0,MONTH('2024 Control'!$C$4)-12):OFFSET(S31,0,MONTH('2024 Control'!$C$4)-1)))/12,"-"))</f>
        <v>0</v>
      </c>
    </row>
    <row r="32" spans="2:39">
      <c r="B32" s="26" t="s">
        <v>103</v>
      </c>
      <c r="C32" s="26" t="s">
        <v>296</v>
      </c>
      <c r="D32" s="26" t="str">
        <f t="shared" si="39"/>
        <v>Marketing Spend - Digital (Paid)</v>
      </c>
      <c r="E32" s="26" t="s">
        <v>123</v>
      </c>
      <c r="F32" s="186" t="str">
        <f>Actuals!F32</f>
        <v>$</v>
      </c>
      <c r="G32" s="230"/>
      <c r="H32" s="230"/>
      <c r="I32" s="230"/>
      <c r="J32" s="230"/>
      <c r="K32" s="230"/>
      <c r="L32" s="230"/>
      <c r="M32" s="230"/>
      <c r="N32" s="230"/>
      <c r="O32" s="230"/>
      <c r="P32" s="230"/>
      <c r="Q32" s="230"/>
      <c r="R32" s="230"/>
      <c r="S32" s="338">
        <v>5000</v>
      </c>
      <c r="T32" s="338">
        <v>5000</v>
      </c>
      <c r="U32" s="338">
        <v>5000</v>
      </c>
      <c r="V32" s="338">
        <v>5000</v>
      </c>
      <c r="W32" s="338">
        <v>5000</v>
      </c>
      <c r="X32" s="338">
        <v>5000</v>
      </c>
      <c r="Y32" s="338">
        <v>5000</v>
      </c>
      <c r="Z32" s="338">
        <v>5000</v>
      </c>
      <c r="AA32" s="338">
        <v>5000</v>
      </c>
      <c r="AB32" s="338">
        <v>5000</v>
      </c>
      <c r="AC32" s="338">
        <v>5000</v>
      </c>
      <c r="AD32" s="338">
        <v>5000</v>
      </c>
      <c r="AE32" s="26"/>
      <c r="AF32" s="188" t="str">
        <f>IF(Actuals!BF32="","",Actuals!BF32)</f>
        <v>Sum</v>
      </c>
      <c r="AG32" s="26" t="str">
        <f t="shared" si="41"/>
        <v>Marketing Spend - Digital (Paid)</v>
      </c>
      <c r="AH32" s="195">
        <f t="shared" si="42"/>
        <v>15000</v>
      </c>
      <c r="AI32" s="195">
        <f t="shared" si="43"/>
        <v>15000</v>
      </c>
      <c r="AJ32" s="195">
        <f t="shared" si="44"/>
        <v>15000</v>
      </c>
      <c r="AK32" s="195">
        <f t="shared" si="45"/>
        <v>15000</v>
      </c>
      <c r="AL32" s="195">
        <f ca="1">IF(AF32="EoP",OFFSET(S32,0,MONTH('2024 Control'!$C$4)-1),SUM(S32:OFFSET(S32,0,MONTH('2024 Control'!$C$4)-1))/IF(AF32="Sum",1,MONTH('2024 Control'!$C$4)))</f>
        <v>60000</v>
      </c>
      <c r="AM32" s="304">
        <f ca="1">IF(AF32="Sum",(SUM(OFFSET(S32,0,MONTH('2024 Control'!$C$4)-12):OFFSET(S32,0,MONTH('2024 Control'!$C$4)-1))),IF(AF32="Average",(SUM(OFFSET(S32,0,MONTH('2024 Control'!$C$4)-12):OFFSET(S32,0,MONTH('2024 Control'!$C$4)-1)))/12,"-"))</f>
        <v>60000</v>
      </c>
    </row>
    <row r="33" spans="2:39">
      <c r="B33" s="26" t="s">
        <v>103</v>
      </c>
      <c r="C33" s="26" t="s">
        <v>296</v>
      </c>
      <c r="D33" s="26" t="str">
        <f t="shared" si="39"/>
        <v>Marketing Spend - Digital (Organic)</v>
      </c>
      <c r="E33" s="26" t="s">
        <v>124</v>
      </c>
      <c r="F33" s="186" t="str">
        <f>Actuals!F33</f>
        <v>$</v>
      </c>
      <c r="G33" s="230"/>
      <c r="H33" s="230"/>
      <c r="I33" s="230"/>
      <c r="J33" s="230"/>
      <c r="K33" s="230"/>
      <c r="L33" s="230"/>
      <c r="M33" s="230"/>
      <c r="N33" s="230"/>
      <c r="O33" s="230"/>
      <c r="P33" s="230"/>
      <c r="Q33" s="230"/>
      <c r="R33" s="230"/>
      <c r="S33" s="338">
        <v>0</v>
      </c>
      <c r="T33" s="338">
        <v>0</v>
      </c>
      <c r="U33" s="338">
        <v>0</v>
      </c>
      <c r="V33" s="338">
        <v>0</v>
      </c>
      <c r="W33" s="338">
        <v>0</v>
      </c>
      <c r="X33" s="338">
        <v>0</v>
      </c>
      <c r="Y33" s="338">
        <v>0</v>
      </c>
      <c r="Z33" s="338">
        <v>0</v>
      </c>
      <c r="AA33" s="338">
        <v>0</v>
      </c>
      <c r="AB33" s="338">
        <v>0</v>
      </c>
      <c r="AC33" s="338">
        <v>0</v>
      </c>
      <c r="AD33" s="338">
        <v>0</v>
      </c>
      <c r="AE33" s="26"/>
      <c r="AF33" s="188" t="str">
        <f>IF(Actuals!BF33="","",Actuals!BF33)</f>
        <v>Sum</v>
      </c>
      <c r="AG33" s="26" t="str">
        <f t="shared" si="41"/>
        <v>Marketing Spend - Digital (Organic)</v>
      </c>
      <c r="AH33" s="195">
        <f t="shared" si="42"/>
        <v>0</v>
      </c>
      <c r="AI33" s="195">
        <f t="shared" si="43"/>
        <v>0</v>
      </c>
      <c r="AJ33" s="195">
        <f t="shared" si="44"/>
        <v>0</v>
      </c>
      <c r="AK33" s="195">
        <f t="shared" si="45"/>
        <v>0</v>
      </c>
      <c r="AL33" s="195">
        <f ca="1">IF(AF33="EoP",OFFSET(S33,0,MONTH('2024 Control'!$C$4)-1),SUM(S33:OFFSET(S33,0,MONTH('2024 Control'!$C$4)-1))/IF(AF33="Sum",1,MONTH('2024 Control'!$C$4)))</f>
        <v>0</v>
      </c>
      <c r="AM33" s="304">
        <f ca="1">IF(AF33="Sum",(SUM(OFFSET(S33,0,MONTH('2024 Control'!$C$4)-12):OFFSET(S33,0,MONTH('2024 Control'!$C$4)-1))),IF(AF33="Average",(SUM(OFFSET(S33,0,MONTH('2024 Control'!$C$4)-12):OFFSET(S33,0,MONTH('2024 Control'!$C$4)-1)))/12,"-"))</f>
        <v>0</v>
      </c>
    </row>
    <row r="34" spans="2:39">
      <c r="B34" s="26" t="s">
        <v>103</v>
      </c>
      <c r="C34" s="26" t="s">
        <v>296</v>
      </c>
      <c r="D34" s="26" t="str">
        <f t="shared" si="39"/>
        <v>Marketing Spend - Events / Conferences</v>
      </c>
      <c r="E34" s="26" t="s">
        <v>125</v>
      </c>
      <c r="F34" s="186" t="str">
        <f>Actuals!F34</f>
        <v>$</v>
      </c>
      <c r="G34" s="230"/>
      <c r="H34" s="230"/>
      <c r="I34" s="230"/>
      <c r="J34" s="230"/>
      <c r="K34" s="230"/>
      <c r="L34" s="230"/>
      <c r="M34" s="230"/>
      <c r="N34" s="230"/>
      <c r="O34" s="230"/>
      <c r="P34" s="230"/>
      <c r="Q34" s="230"/>
      <c r="R34" s="230"/>
      <c r="S34" s="230"/>
      <c r="T34" s="230"/>
      <c r="U34" s="230"/>
      <c r="V34" s="230"/>
      <c r="W34" s="230"/>
      <c r="X34" s="230"/>
      <c r="Y34" s="230"/>
      <c r="Z34" s="230"/>
      <c r="AA34" s="230"/>
      <c r="AB34" s="230"/>
      <c r="AC34" s="230"/>
      <c r="AD34" s="230"/>
      <c r="AE34" s="26"/>
      <c r="AF34" s="188" t="str">
        <f>IF(Actuals!BF34="","",Actuals!BF34)</f>
        <v>Sum</v>
      </c>
      <c r="AG34" s="26" t="str">
        <f t="shared" si="41"/>
        <v>Marketing Spend - Events / Conferences</v>
      </c>
      <c r="AH34" s="195">
        <f t="shared" si="42"/>
        <v>0</v>
      </c>
      <c r="AI34" s="195">
        <f t="shared" si="43"/>
        <v>0</v>
      </c>
      <c r="AJ34" s="195">
        <f t="shared" si="44"/>
        <v>0</v>
      </c>
      <c r="AK34" s="195">
        <f t="shared" si="45"/>
        <v>0</v>
      </c>
      <c r="AL34" s="195">
        <f ca="1">IF(AF34="EoP",OFFSET(S34,0,MONTH('2024 Control'!$C$4)-1),SUM(S34:OFFSET(S34,0,MONTH('2024 Control'!$C$4)-1))/IF(AF34="Sum",1,MONTH('2024 Control'!$C$4)))</f>
        <v>0</v>
      </c>
      <c r="AM34" s="304">
        <f ca="1">IF(AF34="Sum",(SUM(OFFSET(S34,0,MONTH('2024 Control'!$C$4)-12):OFFSET(S34,0,MONTH('2024 Control'!$C$4)-1))),IF(AF34="Average",(SUM(OFFSET(S34,0,MONTH('2024 Control'!$C$4)-12):OFFSET(S34,0,MONTH('2024 Control'!$C$4)-1)))/12,"-"))</f>
        <v>0</v>
      </c>
    </row>
    <row r="35" spans="2:39">
      <c r="B35" s="26" t="s">
        <v>103</v>
      </c>
      <c r="C35" s="26" t="s">
        <v>296</v>
      </c>
      <c r="D35" s="26" t="str">
        <f t="shared" si="39"/>
        <v>Marketing Spend - Outbound (BDR)</v>
      </c>
      <c r="E35" s="26" t="s">
        <v>126</v>
      </c>
      <c r="F35" s="186" t="str">
        <f>Actuals!F35</f>
        <v>$</v>
      </c>
      <c r="G35" s="230"/>
      <c r="H35" s="230"/>
      <c r="I35" s="230"/>
      <c r="J35" s="230"/>
      <c r="K35" s="230"/>
      <c r="L35" s="230"/>
      <c r="M35" s="230"/>
      <c r="N35" s="230"/>
      <c r="O35" s="230"/>
      <c r="P35" s="230"/>
      <c r="Q35" s="230"/>
      <c r="R35" s="230"/>
      <c r="S35" s="338">
        <f>21850</f>
        <v>21850</v>
      </c>
      <c r="T35" s="338">
        <f>21850</f>
        <v>21850</v>
      </c>
      <c r="U35" s="338">
        <f>21850</f>
        <v>21850</v>
      </c>
      <c r="V35" s="338">
        <f>21850</f>
        <v>21850</v>
      </c>
      <c r="W35" s="338">
        <f>21850</f>
        <v>21850</v>
      </c>
      <c r="X35" s="338">
        <f>21850</f>
        <v>21850</v>
      </c>
      <c r="Y35" s="338">
        <v>22943</v>
      </c>
      <c r="Z35" s="338">
        <v>22943</v>
      </c>
      <c r="AA35" s="338">
        <v>22943</v>
      </c>
      <c r="AB35" s="338">
        <v>22943</v>
      </c>
      <c r="AC35" s="338">
        <v>22943</v>
      </c>
      <c r="AD35" s="338">
        <v>22943</v>
      </c>
      <c r="AE35" s="26"/>
      <c r="AF35" s="188" t="str">
        <f>IF(Actuals!BF35="","",Actuals!BF35)</f>
        <v>Sum</v>
      </c>
      <c r="AG35" s="26" t="str">
        <f t="shared" si="41"/>
        <v>Marketing Spend - Outbound (BDR)</v>
      </c>
      <c r="AH35" s="195">
        <f t="shared" si="42"/>
        <v>65550</v>
      </c>
      <c r="AI35" s="195">
        <f t="shared" si="43"/>
        <v>65550</v>
      </c>
      <c r="AJ35" s="195">
        <f t="shared" si="44"/>
        <v>67736</v>
      </c>
      <c r="AK35" s="195">
        <f t="shared" si="45"/>
        <v>68829</v>
      </c>
      <c r="AL35" s="195">
        <f ca="1">IF(AF35="EoP",OFFSET(S35,0,MONTH('2024 Control'!$C$4)-1),SUM(S35:OFFSET(S35,0,MONTH('2024 Control'!$C$4)-1))/IF(AF35="Sum",1,MONTH('2024 Control'!$C$4)))</f>
        <v>268758</v>
      </c>
      <c r="AM35" s="304">
        <f ca="1">IF(AF35="Sum",(SUM(OFFSET(S35,0,MONTH('2024 Control'!$C$4)-12):OFFSET(S35,0,MONTH('2024 Control'!$C$4)-1))),IF(AF35="Average",(SUM(OFFSET(S35,0,MONTH('2024 Control'!$C$4)-12):OFFSET(S35,0,MONTH('2024 Control'!$C$4)-1)))/12,"-"))</f>
        <v>268758</v>
      </c>
    </row>
    <row r="36" spans="2:39">
      <c r="B36" s="26" t="s">
        <v>103</v>
      </c>
      <c r="C36" s="26" t="s">
        <v>296</v>
      </c>
      <c r="D36" s="26" t="str">
        <f t="shared" ref="D36" si="46">B36&amp;" "&amp;E36</f>
        <v>Marketing Spend - Other</v>
      </c>
      <c r="E36" s="26" t="s">
        <v>127</v>
      </c>
      <c r="F36" s="186" t="str">
        <f>Actuals!F36</f>
        <v>$</v>
      </c>
      <c r="G36" s="230"/>
      <c r="H36" s="230"/>
      <c r="I36" s="230"/>
      <c r="J36" s="230"/>
      <c r="K36" s="230"/>
      <c r="L36" s="230"/>
      <c r="M36" s="230"/>
      <c r="N36" s="230"/>
      <c r="O36" s="230"/>
      <c r="P36" s="230"/>
      <c r="Q36" s="230"/>
      <c r="R36" s="230"/>
      <c r="S36" s="230"/>
      <c r="T36" s="230"/>
      <c r="U36" s="230"/>
      <c r="V36" s="230"/>
      <c r="W36" s="230"/>
      <c r="X36" s="230"/>
      <c r="Y36" s="230"/>
      <c r="Z36" s="230"/>
      <c r="AA36" s="230"/>
      <c r="AB36" s="230"/>
      <c r="AC36" s="230"/>
      <c r="AD36" s="230"/>
      <c r="AE36" s="26"/>
      <c r="AF36" s="188" t="str">
        <f>IF(Actuals!BF36="","",Actuals!BF36)</f>
        <v>Sum</v>
      </c>
      <c r="AG36" s="26" t="str">
        <f t="shared" ref="AG36" si="47">D36</f>
        <v>Marketing Spend - Other</v>
      </c>
      <c r="AH36" s="195">
        <f t="shared" ref="AH36" si="48">IF($AF36="Sum",SUM(S36:U36),IF($AF36="Average",AVERAGE(S36:U36),IF($AF36="EoP",IV36,"ERROR")))</f>
        <v>0</v>
      </c>
      <c r="AI36" s="195">
        <f t="shared" ref="AI36" si="49">IF($AF36="Sum",SUM(V36:X36),IF($AF36="Average",AVERAGE(V36:X36),IF($AF36="EoP",U36,"ERROR")))</f>
        <v>0</v>
      </c>
      <c r="AJ36" s="195">
        <f t="shared" ref="AJ36" si="50">IF($AF36="Sum",SUM(X36:Z36),IF($AF36="Average",AVERAGE(X36:Z36),IF($AF36="EoP",Z36,"ERROR")))</f>
        <v>0</v>
      </c>
      <c r="AK36" s="195">
        <f t="shared" ref="AK36" si="51">IF($AF36="Sum",SUM(AB36:AD36),IF($AF36="Average",AVERAGE(AB36:AD36),IF($AF36="EoP",AD36,"ERROR")))</f>
        <v>0</v>
      </c>
      <c r="AL36" s="195">
        <f ca="1">IF(AF36="EoP",OFFSET(S36,0,MONTH('2024 Control'!$C$4)-1),SUM(S36:OFFSET(S36,0,MONTH('2024 Control'!$C$4)-1))/IF(AF36="Sum",1,MONTH('2024 Control'!$C$4)))</f>
        <v>0</v>
      </c>
      <c r="AM36" s="304">
        <f ca="1">IF(AF36="Sum",(SUM(OFFSET(S36,0,MONTH('2024 Control'!$C$4)-12):OFFSET(S36,0,MONTH('2024 Control'!$C$4)-1))),IF(AF36="Average",(SUM(OFFSET(S36,0,MONTH('2024 Control'!$C$4)-12):OFFSET(S36,0,MONTH('2024 Control'!$C$4)-1)))/12,"-"))</f>
        <v>0</v>
      </c>
    </row>
    <row r="37" spans="2:39">
      <c r="B37" s="26" t="s">
        <v>103</v>
      </c>
      <c r="C37" s="26" t="s">
        <v>57</v>
      </c>
      <c r="D37" s="26" t="str">
        <f t="shared" si="24"/>
        <v>Marketing Headcount</v>
      </c>
      <c r="E37" s="26" t="s">
        <v>97</v>
      </c>
      <c r="F37" s="186" t="str">
        <f>Actuals!F37</f>
        <v>#</v>
      </c>
      <c r="G37" s="160">
        <v>2</v>
      </c>
      <c r="H37" s="160">
        <v>2</v>
      </c>
      <c r="I37" s="160">
        <v>2</v>
      </c>
      <c r="J37" s="160">
        <v>2</v>
      </c>
      <c r="K37" s="160">
        <v>2</v>
      </c>
      <c r="L37" s="160">
        <v>2</v>
      </c>
      <c r="M37" s="160">
        <v>3</v>
      </c>
      <c r="N37" s="160">
        <v>3</v>
      </c>
      <c r="O37" s="160">
        <v>3</v>
      </c>
      <c r="P37" s="160">
        <v>3</v>
      </c>
      <c r="Q37" s="160">
        <v>3</v>
      </c>
      <c r="R37" s="160">
        <v>3</v>
      </c>
      <c r="S37" s="160">
        <v>3</v>
      </c>
      <c r="T37" s="160">
        <v>3</v>
      </c>
      <c r="U37" s="160">
        <v>3</v>
      </c>
      <c r="V37" s="160">
        <v>3</v>
      </c>
      <c r="W37" s="160">
        <v>3</v>
      </c>
      <c r="X37" s="160">
        <v>3</v>
      </c>
      <c r="Y37" s="160">
        <v>3</v>
      </c>
      <c r="Z37" s="160">
        <v>3</v>
      </c>
      <c r="AA37" s="160">
        <v>3</v>
      </c>
      <c r="AB37" s="160">
        <v>3</v>
      </c>
      <c r="AC37" s="160">
        <v>3</v>
      </c>
      <c r="AD37" s="160">
        <v>3</v>
      </c>
      <c r="AE37" s="26"/>
      <c r="AF37" s="188" t="str">
        <f>IF(Actuals!BF37="","",Actuals!BF37)</f>
        <v>EoP</v>
      </c>
      <c r="AG37" s="26" t="str">
        <f t="shared" si="27"/>
        <v>Marketing Headcount</v>
      </c>
      <c r="AH37" s="195">
        <f t="shared" si="33"/>
        <v>0</v>
      </c>
      <c r="AI37" s="195">
        <f t="shared" si="34"/>
        <v>3</v>
      </c>
      <c r="AJ37" s="195">
        <f t="shared" si="35"/>
        <v>3</v>
      </c>
      <c r="AK37" s="195">
        <f t="shared" si="36"/>
        <v>3</v>
      </c>
      <c r="AL37" s="195">
        <f ca="1">IF(AF37="EoP",OFFSET(S37,0,MONTH('2024 Control'!$C$4)-1),SUM(S37:OFFSET(S37,0,MONTH('2024 Control'!$C$4)-1))/IF(AF37="Sum",1,MONTH('2024 Control'!$C$4)))</f>
        <v>3</v>
      </c>
      <c r="AM37" s="304" t="str">
        <f ca="1">IF(AF37="Sum",(SUM(OFFSET(S37,0,MONTH('2024 Control'!$C$4)-12):OFFSET(S37,0,MONTH('2024 Control'!$C$4)-1))),IF(AF37="Average",(SUM(OFFSET(S37,0,MONTH('2024 Control'!$C$4)-12):OFFSET(S37,0,MONTH('2024 Control'!$C$4)-1)))/12,"-"))</f>
        <v>-</v>
      </c>
    </row>
    <row r="38" spans="2:39">
      <c r="B38" s="26" t="s">
        <v>103</v>
      </c>
      <c r="C38" s="26" t="s">
        <v>57</v>
      </c>
      <c r="D38" s="26" t="str">
        <f t="shared" si="24"/>
        <v>Marketing Mktg expense</v>
      </c>
      <c r="E38" s="26" t="s">
        <v>133</v>
      </c>
      <c r="F38" s="186" t="str">
        <f>Actuals!F38</f>
        <v>$</v>
      </c>
      <c r="G38" s="226">
        <f t="shared" ref="G38:R38" si="52">-G110</f>
        <v>70667</v>
      </c>
      <c r="H38" s="226">
        <f t="shared" si="52"/>
        <v>69167</v>
      </c>
      <c r="I38" s="226">
        <f t="shared" si="52"/>
        <v>70667</v>
      </c>
      <c r="J38" s="226">
        <f t="shared" si="52"/>
        <v>69167</v>
      </c>
      <c r="K38" s="226">
        <f t="shared" si="52"/>
        <v>73067</v>
      </c>
      <c r="L38" s="226">
        <f t="shared" si="52"/>
        <v>69167</v>
      </c>
      <c r="M38" s="226">
        <f t="shared" si="52"/>
        <v>76967</v>
      </c>
      <c r="N38" s="226">
        <f t="shared" si="52"/>
        <v>75467</v>
      </c>
      <c r="O38" s="226">
        <f t="shared" si="52"/>
        <v>76967</v>
      </c>
      <c r="P38" s="226">
        <f t="shared" si="52"/>
        <v>75467</v>
      </c>
      <c r="Q38" s="226">
        <f t="shared" si="52"/>
        <v>76967</v>
      </c>
      <c r="R38" s="226">
        <f t="shared" si="52"/>
        <v>75467</v>
      </c>
      <c r="S38" s="343">
        <f>35010+6656+33640+267+225</f>
        <v>75798</v>
      </c>
      <c r="T38" s="343">
        <f>35010+6656+33640+225+3000</f>
        <v>78531</v>
      </c>
      <c r="U38" s="343">
        <f>35010+6656+33640+225+3000</f>
        <v>78531</v>
      </c>
      <c r="V38" s="343">
        <f>35010+6656+39000+225+3000+1200</f>
        <v>85091</v>
      </c>
      <c r="W38" s="343">
        <f>35010+6656+39000+225+3000</f>
        <v>83891</v>
      </c>
      <c r="X38" s="343">
        <f>35010+6656+39000+225+3000</f>
        <v>83891</v>
      </c>
      <c r="Y38" s="343">
        <f>35010+6656+40250+420+225</f>
        <v>82561</v>
      </c>
      <c r="Z38" s="343">
        <f>35010+6656+40250+420+225+3000</f>
        <v>85561</v>
      </c>
      <c r="AA38" s="343">
        <f>35010+6656+40250+420+225+3000</f>
        <v>85561</v>
      </c>
      <c r="AB38" s="343">
        <f t="shared" ref="AB38:AD38" si="53">35010+6656+40250+420+225+3000</f>
        <v>85561</v>
      </c>
      <c r="AC38" s="343">
        <f t="shared" si="53"/>
        <v>85561</v>
      </c>
      <c r="AD38" s="343">
        <f t="shared" si="53"/>
        <v>85561</v>
      </c>
      <c r="AE38" s="26"/>
      <c r="AF38" s="188" t="str">
        <f>IF(Actuals!BF38="","",Actuals!BF38)</f>
        <v>Sum</v>
      </c>
      <c r="AG38" s="26" t="str">
        <f t="shared" si="27"/>
        <v>Marketing Mktg expense</v>
      </c>
      <c r="AH38" s="195">
        <f t="shared" si="33"/>
        <v>232860</v>
      </c>
      <c r="AI38" s="195">
        <f t="shared" si="34"/>
        <v>252873</v>
      </c>
      <c r="AJ38" s="195">
        <f t="shared" si="35"/>
        <v>252013</v>
      </c>
      <c r="AK38" s="195">
        <f t="shared" si="36"/>
        <v>256683</v>
      </c>
      <c r="AL38" s="195">
        <f ca="1">IF(AF38="EoP",OFFSET(S38,0,MONTH('2024 Control'!$C$4)-1),SUM(S38:OFFSET(S38,0,MONTH('2024 Control'!$C$4)-1))/IF(AF38="Sum",1,MONTH('2024 Control'!$C$4)))</f>
        <v>996099</v>
      </c>
      <c r="AM38" s="304">
        <f ca="1">IF(AF38="Sum",(SUM(OFFSET(S38,0,MONTH('2024 Control'!$C$4)-12):OFFSET(S38,0,MONTH('2024 Control'!$C$4)-1))),IF(AF38="Average",(SUM(OFFSET(S38,0,MONTH('2024 Control'!$C$4)-12):OFFSET(S38,0,MONTH('2024 Control'!$C$4)-1)))/12,"-"))</f>
        <v>996099</v>
      </c>
    </row>
    <row r="39" spans="2:39">
      <c r="B39" s="26" t="s">
        <v>103</v>
      </c>
      <c r="C39" s="26" t="s">
        <v>57</v>
      </c>
      <c r="D39" s="26" t="str">
        <f t="shared" si="24"/>
        <v>Marketing Mktg exp. per $1 ARR</v>
      </c>
      <c r="E39" s="26" t="s">
        <v>134</v>
      </c>
      <c r="F39" s="186" t="str">
        <f>Actuals!F39</f>
        <v>$</v>
      </c>
      <c r="G39" s="231">
        <v>0.48727083333333332</v>
      </c>
      <c r="H39" s="231">
        <v>0.48727083333333332</v>
      </c>
      <c r="I39" s="235">
        <f>SUM(G38:I38)/432000</f>
        <v>0.48727083333333332</v>
      </c>
      <c r="J39" s="235">
        <f>SUM(G38:J38)/432000</f>
        <v>0.64737962962962958</v>
      </c>
      <c r="K39" s="235">
        <f>SUM(G38:K38)/432000</f>
        <v>0.8165162037037037</v>
      </c>
      <c r="L39" s="235">
        <f>SUM(G38:L38)/(432000+396000)</f>
        <v>0.50954347826086954</v>
      </c>
      <c r="M39" s="235">
        <f>SUM(G38:M38)/(432000+396000)</f>
        <v>0.60249879227053138</v>
      </c>
      <c r="N39" s="235">
        <f>SUM(G38:N38)/(432000+396000)</f>
        <v>0.69364251207729466</v>
      </c>
      <c r="O39" s="235">
        <f>SUM(G38:O38)/(432000+396000+324000)</f>
        <v>0.56536718750000003</v>
      </c>
      <c r="P39" s="235">
        <f>SUM(G38:P38)/(432000+396000+324000)</f>
        <v>0.63087673611111106</v>
      </c>
      <c r="Q39" s="235">
        <f>SUM(G38:Q38)/(432000+396000+324000)</f>
        <v>0.69768836805555556</v>
      </c>
      <c r="R39" s="235">
        <f>SUM(G38:R38)/(432000+396000+324000+648000)</f>
        <v>0.48844666666666664</v>
      </c>
      <c r="S39" s="350" t="e">
        <f>S38/S26</f>
        <v>#DIV/0!</v>
      </c>
      <c r="T39" s="350" t="e">
        <f t="shared" ref="T39:AD39" si="54">T38/T26</f>
        <v>#DIV/0!</v>
      </c>
      <c r="U39" s="350">
        <f t="shared" si="54"/>
        <v>0.24540937500000001</v>
      </c>
      <c r="V39" s="350" t="e">
        <f t="shared" si="54"/>
        <v>#DIV/0!</v>
      </c>
      <c r="W39" s="350" t="e">
        <f t="shared" si="54"/>
        <v>#DIV/0!</v>
      </c>
      <c r="X39" s="350">
        <f t="shared" si="54"/>
        <v>0.18642444444444445</v>
      </c>
      <c r="Y39" s="350" t="e">
        <f t="shared" si="54"/>
        <v>#DIV/0!</v>
      </c>
      <c r="Z39" s="350" t="e">
        <f t="shared" si="54"/>
        <v>#DIV/0!</v>
      </c>
      <c r="AA39" s="350">
        <f t="shared" si="54"/>
        <v>0.19013555555555556</v>
      </c>
      <c r="AB39" s="350" t="e">
        <f t="shared" si="54"/>
        <v>#DIV/0!</v>
      </c>
      <c r="AC39" s="350" t="e">
        <f t="shared" si="54"/>
        <v>#DIV/0!</v>
      </c>
      <c r="AD39" s="350">
        <f t="shared" si="54"/>
        <v>0.14751896551724139</v>
      </c>
      <c r="AE39" s="26"/>
      <c r="AF39" s="188" t="str">
        <f>IF(Actuals!BF39="","",Actuals!BF39)</f>
        <v/>
      </c>
      <c r="AG39" s="26" t="str">
        <f t="shared" si="27"/>
        <v>Marketing Mktg exp. per $1 ARR</v>
      </c>
      <c r="AH39" s="218">
        <f>IFERROR(AH38/AH40,"-")</f>
        <v>0.72768750000000004</v>
      </c>
      <c r="AI39" s="218">
        <f t="shared" ref="AI39:AL39" si="55">IFERROR(AI38/AI40,"-")</f>
        <v>0.56194</v>
      </c>
      <c r="AJ39" s="218">
        <f t="shared" si="55"/>
        <v>0.56002888888888891</v>
      </c>
      <c r="AK39" s="218">
        <f t="shared" si="55"/>
        <v>0.44255689655172414</v>
      </c>
      <c r="AL39" s="218">
        <f t="shared" ca="1" si="55"/>
        <v>0.55338833333333337</v>
      </c>
      <c r="AM39" s="304" t="str">
        <f ca="1">IF(AF39="Sum",(SUM(OFFSET(S39,0,MONTH('2024 Control'!$C$4)-12):OFFSET(S39,0,MONTH('2024 Control'!$C$4)-1))),IF(AF39="Average",(SUM(OFFSET(S39,0,MONTH('2024 Control'!$C$4)-12):OFFSET(S39,0,MONTH('2024 Control'!$C$4)-1)))/12,"-"))</f>
        <v>-</v>
      </c>
    </row>
    <row r="40" spans="2:39">
      <c r="B40" s="26" t="s">
        <v>65</v>
      </c>
      <c r="C40" s="26" t="s">
        <v>66</v>
      </c>
      <c r="D40" s="26" t="str">
        <f>B40&amp;" "&amp;E40</f>
        <v>Sales New Logo ARR ($)</v>
      </c>
      <c r="E40" s="26" t="s">
        <v>67</v>
      </c>
      <c r="F40" s="186" t="str">
        <f>Actuals!F40</f>
        <v>$</v>
      </c>
      <c r="G40" s="226">
        <v>0</v>
      </c>
      <c r="H40" s="226">
        <v>0</v>
      </c>
      <c r="I40" s="226">
        <v>400000</v>
      </c>
      <c r="J40" s="226">
        <v>0</v>
      </c>
      <c r="K40" s="226">
        <v>0</v>
      </c>
      <c r="L40" s="226">
        <v>374000</v>
      </c>
      <c r="M40" s="226">
        <v>0</v>
      </c>
      <c r="N40" s="226">
        <v>0</v>
      </c>
      <c r="O40" s="226">
        <v>306000</v>
      </c>
      <c r="P40" s="226">
        <v>0</v>
      </c>
      <c r="Q40" s="226">
        <v>0</v>
      </c>
      <c r="R40" s="226">
        <v>620000</v>
      </c>
      <c r="S40" s="225">
        <f t="shared" ref="S40:T40" si="56">S26</f>
        <v>0</v>
      </c>
      <c r="T40" s="225">
        <f t="shared" si="56"/>
        <v>0</v>
      </c>
      <c r="U40" s="225">
        <f>U26</f>
        <v>320000</v>
      </c>
      <c r="V40" s="225">
        <f t="shared" ref="V40:AD40" si="57">V26</f>
        <v>0</v>
      </c>
      <c r="W40" s="225">
        <f t="shared" si="57"/>
        <v>0</v>
      </c>
      <c r="X40" s="225">
        <f t="shared" si="57"/>
        <v>450000</v>
      </c>
      <c r="Y40" s="225">
        <f t="shared" si="57"/>
        <v>0</v>
      </c>
      <c r="Z40" s="225">
        <f t="shared" si="57"/>
        <v>0</v>
      </c>
      <c r="AA40" s="225">
        <f t="shared" si="57"/>
        <v>450000</v>
      </c>
      <c r="AB40" s="225">
        <f t="shared" si="57"/>
        <v>0</v>
      </c>
      <c r="AC40" s="225">
        <f t="shared" si="57"/>
        <v>0</v>
      </c>
      <c r="AD40" s="225">
        <f t="shared" si="57"/>
        <v>580000</v>
      </c>
      <c r="AE40" s="26"/>
      <c r="AF40" s="188" t="str">
        <f>IF(Actuals!BF40="","",Actuals!BF40)</f>
        <v>Sum</v>
      </c>
      <c r="AG40" s="26" t="str">
        <f>D40</f>
        <v>Sales New Logo ARR ($)</v>
      </c>
      <c r="AH40" s="195">
        <f t="shared" ref="AH40:AH46" si="58">IF($AF40="Sum",SUM(S40:U40),IF($AF40="Average",AVERAGE(S40:U40),IF($AF40="EoP",IV40,"ERROR")))</f>
        <v>320000</v>
      </c>
      <c r="AI40" s="195">
        <f t="shared" ref="AI40:AI46" si="59">IF($AF40="Sum",SUM(V40:X40),IF($AF40="Average",AVERAGE(V40:X40),IF($AF40="EoP",U40,"ERROR")))</f>
        <v>450000</v>
      </c>
      <c r="AJ40" s="195">
        <f t="shared" ref="AJ40:AJ46" si="60">IF($AF40="Sum",SUM(X40:Z40),IF($AF40="Average",AVERAGE(X40:Z40),IF($AF40="EoP",Z40,"ERROR")))</f>
        <v>450000</v>
      </c>
      <c r="AK40" s="195">
        <f t="shared" ref="AK40:AK46" si="61">IF($AF40="Sum",SUM(AB40:AD40),IF($AF40="Average",AVERAGE(AB40:AD40),IF($AF40="EoP",AD40,"ERROR")))</f>
        <v>580000</v>
      </c>
      <c r="AL40" s="195">
        <f ca="1">IF(AF40="EoP",OFFSET(S40,0,MONTH('2024 Control'!$C$4)-1),SUM(S40:OFFSET(S40,0,MONTH('2024 Control'!$C$4)-1))/IF(AF40="Sum",1,MONTH('2024 Control'!$C$4)))</f>
        <v>1800000</v>
      </c>
      <c r="AM40" s="304">
        <f ca="1">IF(AF40="Sum",(SUM(OFFSET(S40,0,MONTH('2024 Control'!$C$4)-12):OFFSET(S40,0,MONTH('2024 Control'!$C$4)-1))),IF(AF40="Average",(SUM(OFFSET(S40,0,MONTH('2024 Control'!$C$4)-12):OFFSET(S40,0,MONTH('2024 Control'!$C$4)-1)))/12,"-"))</f>
        <v>1800000</v>
      </c>
    </row>
    <row r="41" spans="2:39">
      <c r="B41" s="26" t="s">
        <v>65</v>
      </c>
      <c r="C41" s="26" t="s">
        <v>68</v>
      </c>
      <c r="D41" s="26" t="str">
        <f t="shared" si="24"/>
        <v>Sales Sales Generated Opps.</v>
      </c>
      <c r="E41" s="207" t="s">
        <v>69</v>
      </c>
      <c r="F41" s="186" t="str">
        <f>Actuals!F41</f>
        <v>#</v>
      </c>
      <c r="G41" s="160"/>
      <c r="H41" s="160"/>
      <c r="I41" s="160">
        <f>50*0.2</f>
        <v>10</v>
      </c>
      <c r="J41" s="160"/>
      <c r="K41" s="160"/>
      <c r="L41" s="160">
        <v>15</v>
      </c>
      <c r="M41" s="160"/>
      <c r="N41" s="160"/>
      <c r="O41" s="160">
        <v>15</v>
      </c>
      <c r="P41" s="160"/>
      <c r="Q41" s="160"/>
      <c r="R41" s="160">
        <v>15</v>
      </c>
      <c r="S41" s="160">
        <v>0</v>
      </c>
      <c r="T41" s="160">
        <v>0</v>
      </c>
      <c r="U41" s="160">
        <v>0</v>
      </c>
      <c r="V41" s="160">
        <v>0</v>
      </c>
      <c r="W41" s="160">
        <v>0</v>
      </c>
      <c r="X41" s="160">
        <v>0</v>
      </c>
      <c r="Y41" s="160">
        <v>0</v>
      </c>
      <c r="Z41" s="160">
        <v>0</v>
      </c>
      <c r="AA41" s="160">
        <v>0</v>
      </c>
      <c r="AB41" s="160">
        <v>0</v>
      </c>
      <c r="AC41" s="160">
        <v>0</v>
      </c>
      <c r="AD41" s="160">
        <v>0</v>
      </c>
      <c r="AE41" s="26"/>
      <c r="AF41" s="188" t="str">
        <f>IF(Actuals!BF41="","",Actuals!BF41)</f>
        <v>Sum</v>
      </c>
      <c r="AG41" s="26" t="str">
        <f t="shared" si="27"/>
        <v>Sales Sales Generated Opps.</v>
      </c>
      <c r="AH41" s="195">
        <f t="shared" si="58"/>
        <v>0</v>
      </c>
      <c r="AI41" s="195">
        <f t="shared" si="59"/>
        <v>0</v>
      </c>
      <c r="AJ41" s="195">
        <f t="shared" si="60"/>
        <v>0</v>
      </c>
      <c r="AK41" s="195">
        <f t="shared" si="61"/>
        <v>0</v>
      </c>
      <c r="AL41" s="195">
        <f ca="1">IF(AF41="EoP",OFFSET(S41,0,MONTH('2024 Control'!$C$4)-1),SUM(S41:OFFSET(S41,0,MONTH('2024 Control'!$C$4)-1))/IF(AF41="Sum",1,MONTH('2024 Control'!$C$4)))</f>
        <v>0</v>
      </c>
      <c r="AM41" s="304">
        <f ca="1">IF(AF41="Sum",(SUM(OFFSET(S41,0,MONTH('2024 Control'!$C$4)-12):OFFSET(S41,0,MONTH('2024 Control'!$C$4)-1))),IF(AF41="Average",(SUM(OFFSET(S41,0,MONTH('2024 Control'!$C$4)-12):OFFSET(S41,0,MONTH('2024 Control'!$C$4)-1)))/12,"-"))</f>
        <v>0</v>
      </c>
    </row>
    <row r="42" spans="2:39">
      <c r="B42" s="26" t="s">
        <v>65</v>
      </c>
      <c r="C42" s="26" t="s">
        <v>68</v>
      </c>
      <c r="D42" s="26" t="str">
        <f t="shared" si="24"/>
        <v>Sales Marketing Generated Opps.</v>
      </c>
      <c r="E42" s="207" t="s">
        <v>70</v>
      </c>
      <c r="F42" s="186" t="str">
        <f>Actuals!F42</f>
        <v>#</v>
      </c>
      <c r="G42" s="160"/>
      <c r="H42" s="160"/>
      <c r="I42" s="160">
        <f>50*0.7</f>
        <v>35</v>
      </c>
      <c r="J42" s="160"/>
      <c r="K42" s="160"/>
      <c r="L42" s="160">
        <v>50</v>
      </c>
      <c r="M42" s="160"/>
      <c r="N42" s="160"/>
      <c r="O42" s="160">
        <v>50</v>
      </c>
      <c r="P42" s="160"/>
      <c r="Q42" s="160"/>
      <c r="R42" s="160">
        <v>50</v>
      </c>
      <c r="S42" s="160">
        <f>SUM(S27:S31)</f>
        <v>20</v>
      </c>
      <c r="T42" s="160">
        <f t="shared" ref="T42:AD42" si="62">SUM(T27:T31)</f>
        <v>20</v>
      </c>
      <c r="U42" s="160">
        <f t="shared" si="62"/>
        <v>20</v>
      </c>
      <c r="V42" s="160">
        <f t="shared" si="62"/>
        <v>20</v>
      </c>
      <c r="W42" s="160">
        <f t="shared" si="62"/>
        <v>20</v>
      </c>
      <c r="X42" s="160">
        <f t="shared" si="62"/>
        <v>20</v>
      </c>
      <c r="Y42" s="160">
        <f t="shared" si="62"/>
        <v>20</v>
      </c>
      <c r="Z42" s="160">
        <f t="shared" si="62"/>
        <v>20</v>
      </c>
      <c r="AA42" s="160">
        <f t="shared" si="62"/>
        <v>20</v>
      </c>
      <c r="AB42" s="160">
        <f t="shared" si="62"/>
        <v>20</v>
      </c>
      <c r="AC42" s="160">
        <f t="shared" si="62"/>
        <v>20</v>
      </c>
      <c r="AD42" s="160">
        <f t="shared" si="62"/>
        <v>20</v>
      </c>
      <c r="AE42" s="26"/>
      <c r="AF42" s="188" t="str">
        <f>IF(Actuals!BF42="","",Actuals!BF42)</f>
        <v>Sum</v>
      </c>
      <c r="AG42" s="26" t="str">
        <f t="shared" si="27"/>
        <v>Sales Marketing Generated Opps.</v>
      </c>
      <c r="AH42" s="195">
        <f t="shared" si="58"/>
        <v>60</v>
      </c>
      <c r="AI42" s="195">
        <f t="shared" si="59"/>
        <v>60</v>
      </c>
      <c r="AJ42" s="195">
        <f t="shared" si="60"/>
        <v>60</v>
      </c>
      <c r="AK42" s="195">
        <f t="shared" si="61"/>
        <v>60</v>
      </c>
      <c r="AL42" s="195">
        <f ca="1">IF(AF42="EoP",OFFSET(S42,0,MONTH('2024 Control'!$C$4)-1),SUM(S42:OFFSET(S42,0,MONTH('2024 Control'!$C$4)-1))/IF(AF42="Sum",1,MONTH('2024 Control'!$C$4)))</f>
        <v>240</v>
      </c>
      <c r="AM42" s="304">
        <f ca="1">IF(AF42="Sum",(SUM(OFFSET(S42,0,MONTH('2024 Control'!$C$4)-12):OFFSET(S42,0,MONTH('2024 Control'!$C$4)-1))),IF(AF42="Average",(SUM(OFFSET(S42,0,MONTH('2024 Control'!$C$4)-12):OFFSET(S42,0,MONTH('2024 Control'!$C$4)-1)))/12,"-"))</f>
        <v>240</v>
      </c>
    </row>
    <row r="43" spans="2:39">
      <c r="B43" s="26" t="s">
        <v>65</v>
      </c>
      <c r="C43" s="26" t="s">
        <v>68</v>
      </c>
      <c r="D43" s="26" t="str">
        <f t="shared" si="24"/>
        <v>Sales Referral Generated Opps.</v>
      </c>
      <c r="E43" s="207" t="s">
        <v>71</v>
      </c>
      <c r="F43" s="186" t="str">
        <f>Actuals!F43</f>
        <v>#</v>
      </c>
      <c r="G43" s="160"/>
      <c r="H43" s="160"/>
      <c r="I43" s="160">
        <v>5</v>
      </c>
      <c r="J43" s="160"/>
      <c r="K43" s="160"/>
      <c r="L43" s="160">
        <v>5</v>
      </c>
      <c r="M43" s="160"/>
      <c r="N43" s="160"/>
      <c r="O43" s="160">
        <v>5</v>
      </c>
      <c r="P43" s="160"/>
      <c r="Q43" s="160"/>
      <c r="R43" s="160">
        <v>5</v>
      </c>
      <c r="S43" s="160"/>
      <c r="T43" s="160"/>
      <c r="U43" s="160"/>
      <c r="V43" s="160"/>
      <c r="W43" s="160"/>
      <c r="X43" s="160"/>
      <c r="Y43" s="160"/>
      <c r="Z43" s="160"/>
      <c r="AA43" s="160"/>
      <c r="AB43" s="160"/>
      <c r="AC43" s="160"/>
      <c r="AD43" s="160"/>
      <c r="AE43" s="26"/>
      <c r="AF43" s="188" t="str">
        <f>IF(Actuals!BF43="","",Actuals!BF43)</f>
        <v>Sum</v>
      </c>
      <c r="AG43" s="26" t="str">
        <f t="shared" si="27"/>
        <v>Sales Referral Generated Opps.</v>
      </c>
      <c r="AH43" s="195">
        <f t="shared" si="58"/>
        <v>0</v>
      </c>
      <c r="AI43" s="195">
        <f t="shared" si="59"/>
        <v>0</v>
      </c>
      <c r="AJ43" s="195">
        <f t="shared" si="60"/>
        <v>0</v>
      </c>
      <c r="AK43" s="195">
        <f t="shared" si="61"/>
        <v>0</v>
      </c>
      <c r="AL43" s="195">
        <f ca="1">IF(AF43="EoP",OFFSET(S43,0,MONTH('2024 Control'!$C$4)-1),SUM(S43:OFFSET(S43,0,MONTH('2024 Control'!$C$4)-1))/IF(AF43="Sum",1,MONTH('2024 Control'!$C$4)))</f>
        <v>0</v>
      </c>
      <c r="AM43" s="304">
        <f ca="1">IF(AF43="Sum",(SUM(OFFSET(S43,0,MONTH('2024 Control'!$C$4)-12):OFFSET(S43,0,MONTH('2024 Control'!$C$4)-1))),IF(AF43="Average",(SUM(OFFSET(S43,0,MONTH('2024 Control'!$C$4)-12):OFFSET(S43,0,MONTH('2024 Control'!$C$4)-1)))/12,"-"))</f>
        <v>0</v>
      </c>
    </row>
    <row r="44" spans="2:39">
      <c r="B44" s="26" t="s">
        <v>65</v>
      </c>
      <c r="C44" s="26" t="s">
        <v>68</v>
      </c>
      <c r="D44" s="26" t="str">
        <f t="shared" si="24"/>
        <v>Sales New Pipeline Opportunities</v>
      </c>
      <c r="E44" s="26" t="s">
        <v>72</v>
      </c>
      <c r="F44" s="186" t="str">
        <f>Actuals!F44</f>
        <v>#</v>
      </c>
      <c r="G44" s="247">
        <f>SUM(G41:G43)</f>
        <v>0</v>
      </c>
      <c r="H44" s="247">
        <f t="shared" ref="H44:R44" si="63">SUM(H41:H43)</f>
        <v>0</v>
      </c>
      <c r="I44" s="247">
        <f t="shared" si="63"/>
        <v>50</v>
      </c>
      <c r="J44" s="247">
        <f t="shared" si="63"/>
        <v>0</v>
      </c>
      <c r="K44" s="247">
        <f t="shared" si="63"/>
        <v>0</v>
      </c>
      <c r="L44" s="247">
        <f t="shared" si="63"/>
        <v>70</v>
      </c>
      <c r="M44" s="247">
        <f t="shared" si="63"/>
        <v>0</v>
      </c>
      <c r="N44" s="247">
        <f t="shared" si="63"/>
        <v>0</v>
      </c>
      <c r="O44" s="247">
        <f t="shared" si="63"/>
        <v>70</v>
      </c>
      <c r="P44" s="247">
        <f t="shared" si="63"/>
        <v>0</v>
      </c>
      <c r="Q44" s="247">
        <f t="shared" si="63"/>
        <v>0</v>
      </c>
      <c r="R44" s="247">
        <f t="shared" si="63"/>
        <v>70</v>
      </c>
      <c r="S44" s="247">
        <f>SUM(S41:S43)</f>
        <v>20</v>
      </c>
      <c r="T44" s="247">
        <f t="shared" ref="T44:AD44" si="64">SUM(T41:T43)</f>
        <v>20</v>
      </c>
      <c r="U44" s="247">
        <f t="shared" si="64"/>
        <v>20</v>
      </c>
      <c r="V44" s="247">
        <f t="shared" si="64"/>
        <v>20</v>
      </c>
      <c r="W44" s="247">
        <f t="shared" si="64"/>
        <v>20</v>
      </c>
      <c r="X44" s="247">
        <f t="shared" si="64"/>
        <v>20</v>
      </c>
      <c r="Y44" s="247">
        <f t="shared" si="64"/>
        <v>20</v>
      </c>
      <c r="Z44" s="247">
        <f t="shared" si="64"/>
        <v>20</v>
      </c>
      <c r="AA44" s="247">
        <f t="shared" si="64"/>
        <v>20</v>
      </c>
      <c r="AB44" s="247">
        <f t="shared" si="64"/>
        <v>20</v>
      </c>
      <c r="AC44" s="247">
        <f t="shared" si="64"/>
        <v>20</v>
      </c>
      <c r="AD44" s="247">
        <f t="shared" si="64"/>
        <v>20</v>
      </c>
      <c r="AE44" s="26"/>
      <c r="AF44" s="188" t="str">
        <f>IF(Actuals!BF44="","",Actuals!BF44)</f>
        <v>Sum</v>
      </c>
      <c r="AG44" s="26" t="str">
        <f t="shared" si="27"/>
        <v>Sales New Pipeline Opportunities</v>
      </c>
      <c r="AH44" s="195">
        <f t="shared" si="58"/>
        <v>60</v>
      </c>
      <c r="AI44" s="195">
        <f t="shared" si="59"/>
        <v>60</v>
      </c>
      <c r="AJ44" s="195">
        <f t="shared" si="60"/>
        <v>60</v>
      </c>
      <c r="AK44" s="195">
        <f t="shared" si="61"/>
        <v>60</v>
      </c>
      <c r="AL44" s="195">
        <f ca="1">IF(AF44="EoP",OFFSET(S44,0,MONTH('2024 Control'!$C$4)-1),SUM(S44:OFFSET(S44,0,MONTH('2024 Control'!$C$4)-1))/IF(AF44="Sum",1,MONTH('2024 Control'!$C$4)))</f>
        <v>240</v>
      </c>
      <c r="AM44" s="304">
        <f ca="1">IF(AF44="Sum",(SUM(OFFSET(S44,0,MONTH('2024 Control'!$C$4)-12):OFFSET(S44,0,MONTH('2024 Control'!$C$4)-1))),IF(AF44="Average",(SUM(OFFSET(S44,0,MONTH('2024 Control'!$C$4)-12):OFFSET(S44,0,MONTH('2024 Control'!$C$4)-1)))/12,"-"))</f>
        <v>240</v>
      </c>
    </row>
    <row r="45" spans="2:39">
      <c r="B45" s="26" t="s">
        <v>65</v>
      </c>
      <c r="C45" s="26" t="s">
        <v>68</v>
      </c>
      <c r="D45" s="26" t="str">
        <f t="shared" si="24"/>
        <v>Sales Won</v>
      </c>
      <c r="E45" s="26" t="s">
        <v>73</v>
      </c>
      <c r="F45" s="186" t="str">
        <f>Actuals!F45</f>
        <v>#</v>
      </c>
      <c r="G45" s="160">
        <f>0</f>
        <v>0</v>
      </c>
      <c r="H45" s="160">
        <v>0</v>
      </c>
      <c r="I45" s="160">
        <v>5</v>
      </c>
      <c r="J45" s="160">
        <v>0</v>
      </c>
      <c r="K45" s="160">
        <v>0</v>
      </c>
      <c r="L45" s="160">
        <v>4</v>
      </c>
      <c r="M45" s="160">
        <v>0</v>
      </c>
      <c r="N45" s="160">
        <v>0</v>
      </c>
      <c r="O45" s="160">
        <v>3</v>
      </c>
      <c r="P45" s="160"/>
      <c r="Q45" s="160"/>
      <c r="R45" s="160">
        <v>7</v>
      </c>
      <c r="S45" s="347">
        <f>S40/S48</f>
        <v>0</v>
      </c>
      <c r="T45" s="347">
        <f t="shared" ref="T45:AD45" si="65">T40/T48</f>
        <v>0</v>
      </c>
      <c r="U45" s="347">
        <f t="shared" si="65"/>
        <v>4.2666666666666666</v>
      </c>
      <c r="V45" s="347">
        <f t="shared" si="65"/>
        <v>0</v>
      </c>
      <c r="W45" s="347">
        <f t="shared" si="65"/>
        <v>0</v>
      </c>
      <c r="X45" s="347">
        <f t="shared" si="65"/>
        <v>6</v>
      </c>
      <c r="Y45" s="347">
        <f t="shared" si="65"/>
        <v>0</v>
      </c>
      <c r="Z45" s="347">
        <f t="shared" si="65"/>
        <v>0</v>
      </c>
      <c r="AA45" s="347">
        <f t="shared" si="65"/>
        <v>6</v>
      </c>
      <c r="AB45" s="347">
        <f t="shared" si="65"/>
        <v>0</v>
      </c>
      <c r="AC45" s="347">
        <f t="shared" si="65"/>
        <v>0</v>
      </c>
      <c r="AD45" s="347">
        <f t="shared" si="65"/>
        <v>7.7333333333333334</v>
      </c>
      <c r="AE45" s="26"/>
      <c r="AF45" s="188" t="str">
        <f>IF(Actuals!BF45="","",Actuals!BF45)</f>
        <v>Sum</v>
      </c>
      <c r="AG45" s="26" t="str">
        <f t="shared" si="27"/>
        <v>Sales Won</v>
      </c>
      <c r="AH45" s="195">
        <f t="shared" si="58"/>
        <v>4.2666666666666666</v>
      </c>
      <c r="AI45" s="195">
        <f t="shared" si="59"/>
        <v>6</v>
      </c>
      <c r="AJ45" s="195">
        <f t="shared" si="60"/>
        <v>6</v>
      </c>
      <c r="AK45" s="195">
        <f t="shared" si="61"/>
        <v>7.7333333333333334</v>
      </c>
      <c r="AL45" s="195">
        <f ca="1">IF(AF45="EoP",OFFSET(S45,0,MONTH('2024 Control'!$C$4)-1),SUM(S45:OFFSET(S45,0,MONTH('2024 Control'!$C$4)-1))/IF(AF45="Sum",1,MONTH('2024 Control'!$C$4)))</f>
        <v>24</v>
      </c>
      <c r="AM45" s="304">
        <f ca="1">IF(AF45="Sum",(SUM(OFFSET(S45,0,MONTH('2024 Control'!$C$4)-12):OFFSET(S45,0,MONTH('2024 Control'!$C$4)-1))),IF(AF45="Average",(SUM(OFFSET(S45,0,MONTH('2024 Control'!$C$4)-12):OFFSET(S45,0,MONTH('2024 Control'!$C$4)-1)))/12,"-"))</f>
        <v>24</v>
      </c>
    </row>
    <row r="46" spans="2:39">
      <c r="B46" s="26" t="s">
        <v>65</v>
      </c>
      <c r="C46" s="26" t="s">
        <v>68</v>
      </c>
      <c r="D46" s="26" t="str">
        <f t="shared" si="24"/>
        <v>Sales Lost + Nurture</v>
      </c>
      <c r="E46" s="26" t="s">
        <v>74</v>
      </c>
      <c r="F46" s="186" t="str">
        <f>Actuals!F46</f>
        <v>#</v>
      </c>
      <c r="G46" s="160"/>
      <c r="H46" s="160"/>
      <c r="I46" s="160"/>
      <c r="J46" s="160"/>
      <c r="K46" s="160"/>
      <c r="L46" s="160"/>
      <c r="M46" s="160"/>
      <c r="N46" s="160"/>
      <c r="O46" s="160"/>
      <c r="P46" s="160"/>
      <c r="Q46" s="160"/>
      <c r="R46" s="160"/>
      <c r="S46" s="160"/>
      <c r="T46" s="160"/>
      <c r="U46" s="160"/>
      <c r="V46" s="160"/>
      <c r="W46" s="160"/>
      <c r="X46" s="160"/>
      <c r="Y46" s="160"/>
      <c r="Z46" s="160"/>
      <c r="AA46" s="160"/>
      <c r="AB46" s="160"/>
      <c r="AC46" s="160"/>
      <c r="AD46" s="160"/>
      <c r="AE46" s="26"/>
      <c r="AF46" s="188" t="str">
        <f>IF(Actuals!BF46="","",Actuals!BF46)</f>
        <v>Sum</v>
      </c>
      <c r="AG46" s="26" t="str">
        <f t="shared" si="27"/>
        <v>Sales Lost + Nurture</v>
      </c>
      <c r="AH46" s="193">
        <f t="shared" si="58"/>
        <v>0</v>
      </c>
      <c r="AI46" s="193">
        <f t="shared" si="59"/>
        <v>0</v>
      </c>
      <c r="AJ46" s="193">
        <f t="shared" si="60"/>
        <v>0</v>
      </c>
      <c r="AK46" s="193">
        <f t="shared" si="61"/>
        <v>0</v>
      </c>
      <c r="AL46" s="193">
        <f ca="1">IF(AF46="EoP",OFFSET(S46,0,MONTH('2024 Control'!$C$4)-1),SUM(S46:OFFSET(S46,0,MONTH('2024 Control'!$C$4)-1))/IF(AF46="Sum",1,MONTH('2024 Control'!$C$4)))</f>
        <v>0</v>
      </c>
      <c r="AM46" s="304">
        <f ca="1">IF(AF46="Sum",(SUM(OFFSET(S46,0,MONTH('2024 Control'!$C$4)-12):OFFSET(S46,0,MONTH('2024 Control'!$C$4)-1))),IF(AF46="Average",(SUM(OFFSET(S46,0,MONTH('2024 Control'!$C$4)-12):OFFSET(S46,0,MONTH('2024 Control'!$C$4)-1)))/12,"-"))</f>
        <v>0</v>
      </c>
    </row>
    <row r="47" spans="2:39">
      <c r="B47" s="26" t="s">
        <v>65</v>
      </c>
      <c r="C47" s="26" t="s">
        <v>68</v>
      </c>
      <c r="D47" s="26" t="str">
        <f t="shared" si="24"/>
        <v>Sales Win rate: Total</v>
      </c>
      <c r="E47" s="26" t="s">
        <v>75</v>
      </c>
      <c r="F47" s="186" t="str">
        <f>Actuals!F47</f>
        <v>#</v>
      </c>
      <c r="G47" s="248"/>
      <c r="H47" s="248"/>
      <c r="I47" s="248"/>
      <c r="J47" s="248"/>
      <c r="K47" s="248"/>
      <c r="L47" s="248"/>
      <c r="M47" s="248"/>
      <c r="N47" s="248"/>
      <c r="O47" s="248"/>
      <c r="P47" s="248"/>
      <c r="Q47" s="248"/>
      <c r="R47" s="248"/>
      <c r="S47" s="248"/>
      <c r="T47" s="248"/>
      <c r="U47" s="248"/>
      <c r="V47" s="248"/>
      <c r="W47" s="248"/>
      <c r="X47" s="248"/>
      <c r="Y47" s="248"/>
      <c r="Z47" s="248"/>
      <c r="AA47" s="248"/>
      <c r="AB47" s="248"/>
      <c r="AC47" s="248"/>
      <c r="AD47" s="248"/>
      <c r="AE47" s="26"/>
      <c r="AF47" s="188" t="str">
        <f>IF(Actuals!BF47="","",Actuals!BF47)</f>
        <v>Average</v>
      </c>
      <c r="AG47" s="26" t="str">
        <f t="shared" si="27"/>
        <v>Sales Win rate: Total</v>
      </c>
      <c r="AH47" s="214" t="str">
        <f>IF($AF47="Sum",SUM(S47:U47),IF($AF47="Average",IFERROR(AVERAGE(S47:U47),"-"),IF($AF47="EoP",IV47,"ERROR")))</f>
        <v>-</v>
      </c>
      <c r="AI47" s="214" t="str">
        <f>IF($AF47="Sum",SUM(V47:X47),IF($AF47="Average",IFERROR(AVERAGE(V47:X47),"-"),IF($AF47="EoP",U47,"ERROR")))</f>
        <v>-</v>
      </c>
      <c r="AJ47" s="214" t="str">
        <f>IF($AF47="Sum",SUM(X47:Z47),IF($AF47="Average",IFERROR(AVERAGE(X47:Z47),"-"),IF($AF47="EoP",Z47,"ERROR")))</f>
        <v>-</v>
      </c>
      <c r="AK47" s="214" t="str">
        <f>IF($AF47="Sum",SUM(AB47:AD47),IF($AF47="Average",IFERROR(AVERAGE(AB47:AD47),"-"),IF($AF47="EoP",AD47,"ERROR")))</f>
        <v>-</v>
      </c>
      <c r="AL47" s="194">
        <f ca="1">IF(AF47="EoP",OFFSET(S47,0,MONTH('2024 Control'!$C$4)-1),SUM(S47:OFFSET(S47,0,MONTH('2024 Control'!$C$4)-1))/IF(AF47="Sum",1,MONTH('2024 Control'!$C$4)))</f>
        <v>0</v>
      </c>
      <c r="AM47" s="304">
        <f ca="1">IF(AF47="Sum",(SUM(OFFSET(S47,0,MONTH('2024 Control'!$C$4)-12):OFFSET(S47,0,MONTH('2024 Control'!$C$4)-1))),IF(AF47="Average",(SUM(OFFSET(S47,0,MONTH('2024 Control'!$C$4)-12):OFFSET(S47,0,MONTH('2024 Control'!$C$4)-1)))/12,"-"))</f>
        <v>0</v>
      </c>
    </row>
    <row r="48" spans="2:39">
      <c r="B48" s="26" t="s">
        <v>65</v>
      </c>
      <c r="C48" s="26" t="s">
        <v>68</v>
      </c>
      <c r="D48" s="26" t="str">
        <f t="shared" si="24"/>
        <v>Sales Avg ACV</v>
      </c>
      <c r="E48" s="26" t="s">
        <v>76</v>
      </c>
      <c r="F48" s="186" t="str">
        <f>Actuals!F48</f>
        <v>#</v>
      </c>
      <c r="G48" s="225">
        <v>90000</v>
      </c>
      <c r="H48" s="225">
        <v>90000</v>
      </c>
      <c r="I48" s="225">
        <v>90000</v>
      </c>
      <c r="J48" s="225">
        <v>90000</v>
      </c>
      <c r="K48" s="225">
        <v>90000</v>
      </c>
      <c r="L48" s="225">
        <v>90000</v>
      </c>
      <c r="M48" s="225">
        <v>90000</v>
      </c>
      <c r="N48" s="225">
        <v>90000</v>
      </c>
      <c r="O48" s="225">
        <v>90000</v>
      </c>
      <c r="P48" s="225">
        <v>90000</v>
      </c>
      <c r="Q48" s="225">
        <v>90000</v>
      </c>
      <c r="R48" s="225">
        <v>90000</v>
      </c>
      <c r="S48" s="225">
        <v>75000</v>
      </c>
      <c r="T48" s="225">
        <v>75000</v>
      </c>
      <c r="U48" s="225">
        <v>75000</v>
      </c>
      <c r="V48" s="225">
        <v>75000</v>
      </c>
      <c r="W48" s="225">
        <v>75000</v>
      </c>
      <c r="X48" s="225">
        <v>75000</v>
      </c>
      <c r="Y48" s="225">
        <v>75000</v>
      </c>
      <c r="Z48" s="225">
        <v>75000</v>
      </c>
      <c r="AA48" s="225">
        <v>75000</v>
      </c>
      <c r="AB48" s="225">
        <v>75000</v>
      </c>
      <c r="AC48" s="225">
        <v>75000</v>
      </c>
      <c r="AD48" s="225">
        <v>75000</v>
      </c>
      <c r="AE48" s="26"/>
      <c r="AF48" s="188" t="s">
        <v>249</v>
      </c>
      <c r="AG48" s="26" t="str">
        <f t="shared" si="27"/>
        <v>Sales Avg ACV</v>
      </c>
      <c r="AH48" s="278">
        <f>IF($AF48="Sum",SUM(S48:U48),IF($AF48="Average",IFERROR(AVERAGE(S48:U48),"-"),IF($AF48="EoP",IV48,"ERROR")))</f>
        <v>75000</v>
      </c>
      <c r="AI48" s="278">
        <f>IF($AF48="Sum",SUM(V48:X48),IF($AF48="Average",IFERROR(AVERAGE(V48:X48),"-"),IF($AF48="EoP",U48,"ERROR")))</f>
        <v>75000</v>
      </c>
      <c r="AJ48" s="278">
        <f>IF($AF48="Sum",SUM(X48:Z48),IF($AF48="Average",IFERROR(AVERAGE(X48:Z48),"-"),IF($AF48="EoP",Z48,"ERROR")))</f>
        <v>75000</v>
      </c>
      <c r="AK48" s="278">
        <f>IF($AF48="Sum",SUM(AB48:AD48),IF($AF48="Average",IFERROR(AVERAGE(AB48:AD48),"-"),IF($AF48="EoP",AD48,"ERROR")))</f>
        <v>75000</v>
      </c>
      <c r="AL48" s="279">
        <f ca="1">IF(AF48="EoP",OFFSET(S48,0,MONTH('2024 Control'!$C$4)-1),SUM(S48:OFFSET(S48,0,MONTH('2024 Control'!$C$4)-1))/IF(AF48="Sum",1,MONTH('2024 Control'!$C$4)))</f>
        <v>75000</v>
      </c>
      <c r="AM48" s="304">
        <f ca="1">IF(AF48="Sum",(SUM(OFFSET(S48,0,MONTH('2024 Control'!$C$4)-12):OFFSET(S48,0,MONTH('2024 Control'!$C$4)-1))),IF(AF48="Average",(SUM(OFFSET(S48,0,MONTH('2024 Control'!$C$4)-12):OFFSET(S48,0,MONTH('2024 Control'!$C$4)-1)))/12,"-"))</f>
        <v>75000</v>
      </c>
    </row>
    <row r="49" spans="2:39">
      <c r="B49" s="26" t="s">
        <v>65</v>
      </c>
      <c r="C49" s="26" t="s">
        <v>68</v>
      </c>
      <c r="D49" s="26" t="str">
        <f t="shared" si="24"/>
        <v>Sales Avg Age of Opps Won in Period</v>
      </c>
      <c r="E49" s="26" t="s">
        <v>77</v>
      </c>
      <c r="F49" s="186" t="str">
        <f>Actuals!F49</f>
        <v>#</v>
      </c>
      <c r="G49" s="160"/>
      <c r="H49" s="160"/>
      <c r="I49" s="160"/>
      <c r="J49" s="160"/>
      <c r="K49" s="160"/>
      <c r="L49" s="160"/>
      <c r="M49" s="160"/>
      <c r="N49" s="160"/>
      <c r="O49" s="160"/>
      <c r="P49" s="160"/>
      <c r="Q49" s="160"/>
      <c r="R49" s="160"/>
      <c r="S49" s="160"/>
      <c r="T49" s="160"/>
      <c r="U49" s="160"/>
      <c r="V49" s="160"/>
      <c r="W49" s="160"/>
      <c r="X49" s="160"/>
      <c r="Y49" s="160"/>
      <c r="Z49" s="160"/>
      <c r="AA49" s="160"/>
      <c r="AB49" s="160"/>
      <c r="AC49" s="160"/>
      <c r="AD49" s="160"/>
      <c r="AE49" s="26"/>
      <c r="AF49" s="188" t="str">
        <f>IF(Actuals!BF49="","",Actuals!BF49)</f>
        <v>Average</v>
      </c>
      <c r="AG49" s="26" t="str">
        <f t="shared" si="27"/>
        <v>Sales Avg Age of Opps Won in Period</v>
      </c>
      <c r="AH49" s="214" t="str">
        <f>IF($AF49="Sum",SUM(S49:U49),IF($AF49="Average",IFERROR(AVERAGE(S49:U49),"-"),IF($AF49="EoP",IV49,"ERROR")))</f>
        <v>-</v>
      </c>
      <c r="AI49" s="214" t="str">
        <f>IF($AF49="Sum",SUM(V49:X49),IF($AF49="Average",IFERROR(AVERAGE(V49:X49),"-"),IF($AF49="EoP",U49,"ERROR")))</f>
        <v>-</v>
      </c>
      <c r="AJ49" s="214" t="str">
        <f>IF($AF49="Sum",SUM(X49:Z49),IF($AF49="Average",IFERROR(AVERAGE(X49:Z49),"-"),IF($AF49="EoP",Z49,"ERROR")))</f>
        <v>-</v>
      </c>
      <c r="AK49" s="214" t="str">
        <f>IF($AF49="Sum",SUM(AB49:AD49),IF($AF49="Average",IFERROR(AVERAGE(AB49:AD49),"-"),IF($AF49="EoP",AD49,"ERROR")))</f>
        <v>-</v>
      </c>
      <c r="AL49" s="195">
        <f ca="1">IF(AF49="EoP",OFFSET(S49,0,MONTH('2024 Control'!$C$4)-1),SUM(S49:OFFSET(S49,0,MONTH('2024 Control'!$C$4)-1))/IF(AF49="Sum",1,MONTH('2024 Control'!$C$4)))</f>
        <v>0</v>
      </c>
      <c r="AM49" s="304">
        <f ca="1">IF(AF49="Sum",(SUM(OFFSET(S49,0,MONTH('2024 Control'!$C$4)-12):OFFSET(S49,0,MONTH('2024 Control'!$C$4)-1))),IF(AF49="Average",(SUM(OFFSET(S49,0,MONTH('2024 Control'!$C$4)-12):OFFSET(S49,0,MONTH('2024 Control'!$C$4)-1)))/12,"-"))</f>
        <v>0</v>
      </c>
    </row>
    <row r="50" spans="2:39">
      <c r="B50" s="26" t="s">
        <v>65</v>
      </c>
      <c r="C50" s="26" t="s">
        <v>78</v>
      </c>
      <c r="D50" s="26" t="str">
        <f t="shared" si="24"/>
        <v>Sales EoP Value - Early Stage</v>
      </c>
      <c r="E50" s="26" t="s">
        <v>79</v>
      </c>
      <c r="F50" s="186" t="str">
        <f>Actuals!F50</f>
        <v>#</v>
      </c>
      <c r="G50" s="160"/>
      <c r="H50" s="160"/>
      <c r="I50" s="160"/>
      <c r="J50" s="160"/>
      <c r="K50" s="160"/>
      <c r="L50" s="160"/>
      <c r="M50" s="160"/>
      <c r="N50" s="160"/>
      <c r="O50" s="160"/>
      <c r="P50" s="160"/>
      <c r="Q50" s="160"/>
      <c r="R50" s="160"/>
      <c r="S50" s="160"/>
      <c r="T50" s="160"/>
      <c r="U50" s="160"/>
      <c r="V50" s="160"/>
      <c r="W50" s="160"/>
      <c r="X50" s="160"/>
      <c r="Y50" s="160"/>
      <c r="Z50" s="160"/>
      <c r="AA50" s="160"/>
      <c r="AB50" s="160"/>
      <c r="AC50" s="160"/>
      <c r="AD50" s="160"/>
      <c r="AE50" s="26"/>
      <c r="AF50" s="188" t="str">
        <f>IF(Actuals!BF50="","",Actuals!BF50)</f>
        <v>EoP</v>
      </c>
      <c r="AG50" s="26" t="str">
        <f t="shared" si="27"/>
        <v>Sales EoP Value - Early Stage</v>
      </c>
      <c r="AH50" s="196">
        <f t="shared" ref="AH50:AH57" si="66">IF($AF50="Sum",SUM(S50:U50),IF($AF50="Average",AVERAGE(S50:U50),IF($AF50="EoP",IV50,"ERROR")))</f>
        <v>0</v>
      </c>
      <c r="AI50" s="196">
        <f t="shared" ref="AI50:AI57" si="67">IF($AF50="Sum",SUM(V50:X50),IF($AF50="Average",AVERAGE(V50:X50),IF($AF50="EoP",U50,"ERROR")))</f>
        <v>0</v>
      </c>
      <c r="AJ50" s="196">
        <f t="shared" ref="AJ50:AJ57" si="68">IF($AF50="Sum",SUM(X50:Z50),IF($AF50="Average",AVERAGE(X50:Z50),IF($AF50="EoP",Z50,"ERROR")))</f>
        <v>0</v>
      </c>
      <c r="AK50" s="196">
        <f t="shared" ref="AK50:AK57" si="69">IF($AF50="Sum",SUM(AB50:AD50),IF($AF50="Average",AVERAGE(AB50:AD50),IF($AF50="EoP",AD50,"ERROR")))</f>
        <v>0</v>
      </c>
      <c r="AL50" s="196">
        <f ca="1">IF(AF50="EoP",OFFSET(S50,0,MONTH('2024 Control'!$C$4)-1),SUM(S50:OFFSET(S50,0,MONTH('2024 Control'!$C$4)-1))/IF(AF50="Sum",1,MONTH('2024 Control'!$C$4)))</f>
        <v>0</v>
      </c>
      <c r="AM50" s="304" t="str">
        <f ca="1">IF(AF50="Sum",(SUM(OFFSET(S50,0,MONTH('2024 Control'!$C$4)-12):OFFSET(S50,0,MONTH('2024 Control'!$C$4)-1))),IF(AF50="Average",(SUM(OFFSET(S50,0,MONTH('2024 Control'!$C$4)-12):OFFSET(S50,0,MONTH('2024 Control'!$C$4)-1)))/12,"-"))</f>
        <v>-</v>
      </c>
    </row>
    <row r="51" spans="2:39">
      <c r="B51" s="26" t="s">
        <v>65</v>
      </c>
      <c r="C51" s="26" t="s">
        <v>78</v>
      </c>
      <c r="D51" s="26" t="str">
        <f t="shared" si="24"/>
        <v>Sales EoP Value - Intermediate Stage</v>
      </c>
      <c r="E51" s="26" t="s">
        <v>80</v>
      </c>
      <c r="F51" s="186" t="str">
        <f>Actuals!F51</f>
        <v>#</v>
      </c>
      <c r="G51" s="160"/>
      <c r="H51" s="160"/>
      <c r="I51" s="160"/>
      <c r="J51" s="160"/>
      <c r="K51" s="160"/>
      <c r="L51" s="160"/>
      <c r="M51" s="160"/>
      <c r="N51" s="160"/>
      <c r="O51" s="160"/>
      <c r="P51" s="160"/>
      <c r="Q51" s="160"/>
      <c r="R51" s="160"/>
      <c r="S51" s="160"/>
      <c r="T51" s="160"/>
      <c r="U51" s="160"/>
      <c r="V51" s="160"/>
      <c r="W51" s="160"/>
      <c r="X51" s="160"/>
      <c r="Y51" s="160"/>
      <c r="Z51" s="160"/>
      <c r="AA51" s="160"/>
      <c r="AB51" s="160"/>
      <c r="AC51" s="160"/>
      <c r="AD51" s="160"/>
      <c r="AE51" s="26"/>
      <c r="AF51" s="188" t="str">
        <f>IF(Actuals!BF51="","",Actuals!BF51)</f>
        <v>EoP</v>
      </c>
      <c r="AG51" s="26" t="str">
        <f t="shared" si="27"/>
        <v>Sales EoP Value - Intermediate Stage</v>
      </c>
      <c r="AH51" s="196">
        <f t="shared" si="66"/>
        <v>0</v>
      </c>
      <c r="AI51" s="196">
        <f t="shared" si="67"/>
        <v>0</v>
      </c>
      <c r="AJ51" s="196">
        <f t="shared" si="68"/>
        <v>0</v>
      </c>
      <c r="AK51" s="196">
        <f t="shared" si="69"/>
        <v>0</v>
      </c>
      <c r="AL51" s="196">
        <f ca="1">IF(AF51="EoP",OFFSET(S51,0,MONTH('2024 Control'!$C$4)-1),SUM(S51:OFFSET(S51,0,MONTH('2024 Control'!$C$4)-1))/IF(AF51="Sum",1,MONTH('2024 Control'!$C$4)))</f>
        <v>0</v>
      </c>
      <c r="AM51" s="304" t="str">
        <f ca="1">IF(AF51="Sum",(SUM(OFFSET(S51,0,MONTH('2024 Control'!$C$4)-12):OFFSET(S51,0,MONTH('2024 Control'!$C$4)-1))),IF(AF51="Average",(SUM(OFFSET(S51,0,MONTH('2024 Control'!$C$4)-12):OFFSET(S51,0,MONTH('2024 Control'!$C$4)-1)))/12,"-"))</f>
        <v>-</v>
      </c>
    </row>
    <row r="52" spans="2:39">
      <c r="B52" s="26" t="s">
        <v>65</v>
      </c>
      <c r="C52" s="26" t="s">
        <v>78</v>
      </c>
      <c r="D52" s="26" t="str">
        <f t="shared" si="24"/>
        <v>Sales EoP Value - Advanced Stage</v>
      </c>
      <c r="E52" s="26" t="s">
        <v>81</v>
      </c>
      <c r="F52" s="186" t="str">
        <f>Actuals!F52</f>
        <v>#</v>
      </c>
      <c r="G52" s="160"/>
      <c r="H52" s="160"/>
      <c r="I52" s="160"/>
      <c r="J52" s="160"/>
      <c r="K52" s="160"/>
      <c r="L52" s="160"/>
      <c r="M52" s="160"/>
      <c r="N52" s="160"/>
      <c r="O52" s="160"/>
      <c r="P52" s="160"/>
      <c r="Q52" s="160"/>
      <c r="R52" s="160"/>
      <c r="S52" s="160"/>
      <c r="T52" s="160"/>
      <c r="U52" s="160"/>
      <c r="V52" s="160"/>
      <c r="W52" s="160"/>
      <c r="X52" s="160"/>
      <c r="Y52" s="160"/>
      <c r="Z52" s="160"/>
      <c r="AA52" s="160"/>
      <c r="AB52" s="160"/>
      <c r="AC52" s="160"/>
      <c r="AD52" s="160"/>
      <c r="AE52" s="26"/>
      <c r="AF52" s="188" t="str">
        <f>IF(Actuals!BF52="","",Actuals!BF52)</f>
        <v>EoP</v>
      </c>
      <c r="AG52" s="26" t="str">
        <f t="shared" si="27"/>
        <v>Sales EoP Value - Advanced Stage</v>
      </c>
      <c r="AH52" s="196">
        <f t="shared" si="66"/>
        <v>0</v>
      </c>
      <c r="AI52" s="196">
        <f t="shared" si="67"/>
        <v>0</v>
      </c>
      <c r="AJ52" s="196">
        <f t="shared" si="68"/>
        <v>0</v>
      </c>
      <c r="AK52" s="196">
        <f t="shared" si="69"/>
        <v>0</v>
      </c>
      <c r="AL52" s="196">
        <f ca="1">IF(AF52="EoP",OFFSET(S52,0,MONTH('2024 Control'!$C$4)-1),SUM(S52:OFFSET(S52,0,MONTH('2024 Control'!$C$4)-1))/IF(AF52="Sum",1,MONTH('2024 Control'!$C$4)))</f>
        <v>0</v>
      </c>
      <c r="AM52" s="304" t="str">
        <f ca="1">IF(AF52="Sum",(SUM(OFFSET(S52,0,MONTH('2024 Control'!$C$4)-12):OFFSET(S52,0,MONTH('2024 Control'!$C$4)-1))),IF(AF52="Average",(SUM(OFFSET(S52,0,MONTH('2024 Control'!$C$4)-12):OFFSET(S52,0,MONTH('2024 Control'!$C$4)-1)))/12,"-"))</f>
        <v>-</v>
      </c>
    </row>
    <row r="53" spans="2:39">
      <c r="B53" s="26" t="s">
        <v>65</v>
      </c>
      <c r="C53" s="26" t="s">
        <v>78</v>
      </c>
      <c r="D53" s="26" t="str">
        <f t="shared" si="24"/>
        <v>Sales EoP Value - Total</v>
      </c>
      <c r="E53" s="26" t="s">
        <v>82</v>
      </c>
      <c r="F53" s="186" t="str">
        <f>Actuals!F53</f>
        <v>#</v>
      </c>
      <c r="G53" s="160"/>
      <c r="H53" s="160"/>
      <c r="I53" s="226">
        <v>4000000</v>
      </c>
      <c r="J53" s="160"/>
      <c r="K53" s="160"/>
      <c r="L53" s="226">
        <v>5600000</v>
      </c>
      <c r="M53" s="226"/>
      <c r="N53" s="226"/>
      <c r="O53" s="226">
        <v>5600000</v>
      </c>
      <c r="P53" s="226"/>
      <c r="Q53" s="226"/>
      <c r="R53" s="226">
        <v>5600000</v>
      </c>
      <c r="S53" s="160"/>
      <c r="T53" s="160"/>
      <c r="U53" s="226"/>
      <c r="V53" s="160"/>
      <c r="W53" s="160"/>
      <c r="X53" s="226"/>
      <c r="Y53" s="226"/>
      <c r="Z53" s="226"/>
      <c r="AA53" s="226"/>
      <c r="AB53" s="226"/>
      <c r="AC53" s="226"/>
      <c r="AD53" s="226"/>
      <c r="AE53" s="26"/>
      <c r="AF53" s="188" t="str">
        <f>IF(Actuals!BF53="","",Actuals!BF53)</f>
        <v>EoP</v>
      </c>
      <c r="AG53" s="26" t="str">
        <f t="shared" si="27"/>
        <v>Sales EoP Value - Total</v>
      </c>
      <c r="AH53" s="196">
        <f t="shared" si="66"/>
        <v>0</v>
      </c>
      <c r="AI53" s="196">
        <f t="shared" si="67"/>
        <v>0</v>
      </c>
      <c r="AJ53" s="196">
        <f t="shared" si="68"/>
        <v>0</v>
      </c>
      <c r="AK53" s="196">
        <f t="shared" si="69"/>
        <v>0</v>
      </c>
      <c r="AL53" s="196">
        <f ca="1">IF(AF53="EoP",OFFSET(S53,0,MONTH('2024 Control'!$C$4)-1),SUM(S53:OFFSET(S53,0,MONTH('2024 Control'!$C$4)-1))/IF(AF53="Sum",1,MONTH('2024 Control'!$C$4)))</f>
        <v>0</v>
      </c>
      <c r="AM53" s="304" t="str">
        <f ca="1">IF(AF53="Sum",(SUM(OFFSET(S53,0,MONTH('2024 Control'!$C$4)-12):OFFSET(S53,0,MONTH('2024 Control'!$C$4)-1))),IF(AF53="Average",(SUM(OFFSET(S53,0,MONTH('2024 Control'!$C$4)-12):OFFSET(S53,0,MONTH('2024 Control'!$C$4)-1)))/12,"-"))</f>
        <v>-</v>
      </c>
    </row>
    <row r="54" spans="2:39">
      <c r="B54" s="26" t="s">
        <v>65</v>
      </c>
      <c r="C54" s="26" t="s">
        <v>83</v>
      </c>
      <c r="D54" s="26" t="str">
        <f t="shared" ref="D54:D89" si="70">B54&amp;" "&amp;E54</f>
        <v>Sales EoP Count - Early Stage</v>
      </c>
      <c r="E54" s="26" t="s">
        <v>84</v>
      </c>
      <c r="F54" s="186" t="str">
        <f>Actuals!F54</f>
        <v>#</v>
      </c>
      <c r="G54" s="160"/>
      <c r="H54" s="160"/>
      <c r="I54" s="160"/>
      <c r="J54" s="160"/>
      <c r="K54" s="160"/>
      <c r="L54" s="160"/>
      <c r="M54" s="160"/>
      <c r="N54" s="160"/>
      <c r="O54" s="160"/>
      <c r="P54" s="160"/>
      <c r="Q54" s="160"/>
      <c r="R54" s="160"/>
      <c r="S54" s="160"/>
      <c r="T54" s="160"/>
      <c r="U54" s="160"/>
      <c r="V54" s="160"/>
      <c r="W54" s="160"/>
      <c r="X54" s="160"/>
      <c r="Y54" s="160"/>
      <c r="Z54" s="160"/>
      <c r="AA54" s="160"/>
      <c r="AB54" s="160"/>
      <c r="AC54" s="160"/>
      <c r="AD54" s="160"/>
      <c r="AE54" s="26"/>
      <c r="AF54" s="188" t="str">
        <f>IF(Actuals!BF54="","",Actuals!BF54)</f>
        <v>EoP</v>
      </c>
      <c r="AG54" s="26" t="str">
        <f t="shared" ref="AG54:AG89" si="71">D54</f>
        <v>Sales EoP Count - Early Stage</v>
      </c>
      <c r="AH54" s="196">
        <f t="shared" si="66"/>
        <v>0</v>
      </c>
      <c r="AI54" s="196">
        <f t="shared" si="67"/>
        <v>0</v>
      </c>
      <c r="AJ54" s="196">
        <f t="shared" si="68"/>
        <v>0</v>
      </c>
      <c r="AK54" s="196">
        <f t="shared" si="69"/>
        <v>0</v>
      </c>
      <c r="AL54" s="196">
        <f ca="1">IF(AF54="EoP",OFFSET(S54,0,MONTH('2024 Control'!$C$4)-1),SUM(S54:OFFSET(S54,0,MONTH('2024 Control'!$C$4)-1))/IF(AF54="Sum",1,MONTH('2024 Control'!$C$4)))</f>
        <v>0</v>
      </c>
      <c r="AM54" s="304" t="str">
        <f ca="1">IF(AF54="Sum",(SUM(OFFSET(S54,0,MONTH('2024 Control'!$C$4)-12):OFFSET(S54,0,MONTH('2024 Control'!$C$4)-1))),IF(AF54="Average",(SUM(OFFSET(S54,0,MONTH('2024 Control'!$C$4)-12):OFFSET(S54,0,MONTH('2024 Control'!$C$4)-1)))/12,"-"))</f>
        <v>-</v>
      </c>
    </row>
    <row r="55" spans="2:39">
      <c r="B55" s="26" t="s">
        <v>65</v>
      </c>
      <c r="C55" s="26" t="s">
        <v>83</v>
      </c>
      <c r="D55" s="26" t="str">
        <f t="shared" si="70"/>
        <v>Sales EoP Count - Intermediate Stage</v>
      </c>
      <c r="E55" s="26" t="s">
        <v>85</v>
      </c>
      <c r="F55" s="186" t="str">
        <f>Actuals!F55</f>
        <v>#</v>
      </c>
      <c r="G55" s="160"/>
      <c r="H55" s="160"/>
      <c r="I55" s="160"/>
      <c r="J55" s="160"/>
      <c r="K55" s="160"/>
      <c r="L55" s="160"/>
      <c r="M55" s="160"/>
      <c r="N55" s="160"/>
      <c r="O55" s="160"/>
      <c r="P55" s="160"/>
      <c r="Q55" s="160"/>
      <c r="R55" s="160"/>
      <c r="S55" s="160"/>
      <c r="T55" s="160"/>
      <c r="U55" s="160"/>
      <c r="V55" s="160"/>
      <c r="W55" s="160"/>
      <c r="X55" s="160"/>
      <c r="Y55" s="160"/>
      <c r="Z55" s="160"/>
      <c r="AA55" s="160"/>
      <c r="AB55" s="160"/>
      <c r="AC55" s="160"/>
      <c r="AD55" s="160"/>
      <c r="AE55" s="26"/>
      <c r="AF55" s="188" t="str">
        <f>IF(Actuals!BF55="","",Actuals!BF55)</f>
        <v>EoP</v>
      </c>
      <c r="AG55" s="26" t="str">
        <f t="shared" si="71"/>
        <v>Sales EoP Count - Intermediate Stage</v>
      </c>
      <c r="AH55" s="196">
        <f t="shared" si="66"/>
        <v>0</v>
      </c>
      <c r="AI55" s="196">
        <f t="shared" si="67"/>
        <v>0</v>
      </c>
      <c r="AJ55" s="196">
        <f t="shared" si="68"/>
        <v>0</v>
      </c>
      <c r="AK55" s="196">
        <f t="shared" si="69"/>
        <v>0</v>
      </c>
      <c r="AL55" s="196">
        <f ca="1">IF(AF55="EoP",OFFSET(S55,0,MONTH('2024 Control'!$C$4)-1),SUM(S55:OFFSET(S55,0,MONTH('2024 Control'!$C$4)-1))/IF(AF55="Sum",1,MONTH('2024 Control'!$C$4)))</f>
        <v>0</v>
      </c>
      <c r="AM55" s="304" t="str">
        <f ca="1">IF(AF55="Sum",(SUM(OFFSET(S55,0,MONTH('2024 Control'!$C$4)-12):OFFSET(S55,0,MONTH('2024 Control'!$C$4)-1))),IF(AF55="Average",(SUM(OFFSET(S55,0,MONTH('2024 Control'!$C$4)-12):OFFSET(S55,0,MONTH('2024 Control'!$C$4)-1)))/12,"-"))</f>
        <v>-</v>
      </c>
    </row>
    <row r="56" spans="2:39">
      <c r="B56" s="26" t="s">
        <v>65</v>
      </c>
      <c r="C56" s="26" t="s">
        <v>83</v>
      </c>
      <c r="D56" s="26" t="str">
        <f t="shared" si="70"/>
        <v>Sales EoP Count - Advanced Stage</v>
      </c>
      <c r="E56" s="26" t="s">
        <v>86</v>
      </c>
      <c r="F56" s="186" t="str">
        <f>Actuals!F56</f>
        <v>#</v>
      </c>
      <c r="G56" s="160"/>
      <c r="H56" s="160"/>
      <c r="I56" s="160"/>
      <c r="J56" s="160"/>
      <c r="K56" s="160"/>
      <c r="L56" s="160"/>
      <c r="M56" s="160"/>
      <c r="N56" s="160"/>
      <c r="O56" s="160"/>
      <c r="P56" s="160"/>
      <c r="Q56" s="160"/>
      <c r="R56" s="160"/>
      <c r="S56" s="160"/>
      <c r="T56" s="160"/>
      <c r="U56" s="160"/>
      <c r="V56" s="160"/>
      <c r="W56" s="160"/>
      <c r="X56" s="160"/>
      <c r="Y56" s="160"/>
      <c r="Z56" s="160"/>
      <c r="AA56" s="160"/>
      <c r="AB56" s="160"/>
      <c r="AC56" s="160"/>
      <c r="AD56" s="160"/>
      <c r="AE56" s="26"/>
      <c r="AF56" s="188" t="str">
        <f>IF(Actuals!BF56="","",Actuals!BF56)</f>
        <v>EoP</v>
      </c>
      <c r="AG56" s="26" t="str">
        <f t="shared" si="71"/>
        <v>Sales EoP Count - Advanced Stage</v>
      </c>
      <c r="AH56" s="196">
        <f t="shared" si="66"/>
        <v>0</v>
      </c>
      <c r="AI56" s="196">
        <f t="shared" si="67"/>
        <v>0</v>
      </c>
      <c r="AJ56" s="196">
        <f t="shared" si="68"/>
        <v>0</v>
      </c>
      <c r="AK56" s="196">
        <f t="shared" si="69"/>
        <v>0</v>
      </c>
      <c r="AL56" s="196">
        <f ca="1">IF(AF56="EoP",OFFSET(S56,0,MONTH('2024 Control'!$C$4)-1),SUM(S56:OFFSET(S56,0,MONTH('2024 Control'!$C$4)-1))/IF(AF56="Sum",1,MONTH('2024 Control'!$C$4)))</f>
        <v>0</v>
      </c>
      <c r="AM56" s="304" t="str">
        <f ca="1">IF(AF56="Sum",(SUM(OFFSET(S56,0,MONTH('2024 Control'!$C$4)-12):OFFSET(S56,0,MONTH('2024 Control'!$C$4)-1))),IF(AF56="Average",(SUM(OFFSET(S56,0,MONTH('2024 Control'!$C$4)-12):OFFSET(S56,0,MONTH('2024 Control'!$C$4)-1)))/12,"-"))</f>
        <v>-</v>
      </c>
    </row>
    <row r="57" spans="2:39">
      <c r="B57" s="26" t="s">
        <v>65</v>
      </c>
      <c r="C57" s="26" t="s">
        <v>83</v>
      </c>
      <c r="D57" s="26" t="str">
        <f t="shared" si="70"/>
        <v>Sales EoP Count - Total</v>
      </c>
      <c r="E57" s="26" t="s">
        <v>87</v>
      </c>
      <c r="F57" s="186" t="str">
        <f>Actuals!F57</f>
        <v>#</v>
      </c>
      <c r="G57" s="160"/>
      <c r="H57" s="160"/>
      <c r="I57" s="160"/>
      <c r="J57" s="160"/>
      <c r="K57" s="160"/>
      <c r="L57" s="160"/>
      <c r="M57" s="160"/>
      <c r="N57" s="160"/>
      <c r="O57" s="160"/>
      <c r="P57" s="160"/>
      <c r="Q57" s="160"/>
      <c r="R57" s="160"/>
      <c r="S57" s="160"/>
      <c r="T57" s="160"/>
      <c r="U57" s="160"/>
      <c r="V57" s="160"/>
      <c r="W57" s="160"/>
      <c r="X57" s="160"/>
      <c r="Y57" s="160"/>
      <c r="Z57" s="160"/>
      <c r="AA57" s="160"/>
      <c r="AB57" s="160"/>
      <c r="AC57" s="160"/>
      <c r="AD57" s="160"/>
      <c r="AE57" s="26"/>
      <c r="AF57" s="188" t="str">
        <f>IF(Actuals!BF57="","",Actuals!BF57)</f>
        <v>EoP</v>
      </c>
      <c r="AG57" s="26" t="str">
        <f t="shared" si="71"/>
        <v>Sales EoP Count - Total</v>
      </c>
      <c r="AH57" s="196">
        <f t="shared" si="66"/>
        <v>0</v>
      </c>
      <c r="AI57" s="196">
        <f t="shared" si="67"/>
        <v>0</v>
      </c>
      <c r="AJ57" s="196">
        <f t="shared" si="68"/>
        <v>0</v>
      </c>
      <c r="AK57" s="196">
        <f t="shared" si="69"/>
        <v>0</v>
      </c>
      <c r="AL57" s="196">
        <f ca="1">IF(AF57="EoP",OFFSET(S57,0,MONTH('2024 Control'!$C$4)-1),SUM(S57:OFFSET(S57,0,MONTH('2024 Control'!$C$4)-1))/IF(AF57="Sum",1,MONTH('2024 Control'!$C$4)))</f>
        <v>0</v>
      </c>
      <c r="AM57" s="304" t="str">
        <f ca="1">IF(AF57="Sum",(SUM(OFFSET(S57,0,MONTH('2024 Control'!$C$4)-12):OFFSET(S57,0,MONTH('2024 Control'!$C$4)-1))),IF(AF57="Average",(SUM(OFFSET(S57,0,MONTH('2024 Control'!$C$4)-12):OFFSET(S57,0,MONTH('2024 Control'!$C$4)-1)))/12,"-"))</f>
        <v>-</v>
      </c>
    </row>
    <row r="58" spans="2:39">
      <c r="B58" s="26" t="s">
        <v>65</v>
      </c>
      <c r="C58" s="26" t="s">
        <v>88</v>
      </c>
      <c r="D58" s="26" t="str">
        <f t="shared" si="70"/>
        <v>Sales Pipeline Weeks - Early</v>
      </c>
      <c r="E58" s="26" t="s">
        <v>89</v>
      </c>
      <c r="F58" s="186" t="str">
        <f>Actuals!F58</f>
        <v>#</v>
      </c>
      <c r="G58" s="160"/>
      <c r="H58" s="160"/>
      <c r="I58" s="160"/>
      <c r="J58" s="160"/>
      <c r="K58" s="160"/>
      <c r="L58" s="160"/>
      <c r="M58" s="160"/>
      <c r="N58" s="160"/>
      <c r="O58" s="160"/>
      <c r="P58" s="160"/>
      <c r="Q58" s="160"/>
      <c r="R58" s="160"/>
      <c r="S58" s="160"/>
      <c r="T58" s="160"/>
      <c r="U58" s="160"/>
      <c r="V58" s="160"/>
      <c r="W58" s="160"/>
      <c r="X58" s="160"/>
      <c r="Y58" s="160"/>
      <c r="Z58" s="160"/>
      <c r="AA58" s="160"/>
      <c r="AB58" s="160"/>
      <c r="AC58" s="160"/>
      <c r="AD58" s="160"/>
      <c r="AE58" s="26"/>
      <c r="AF58" s="188" t="str">
        <f>IF(Actuals!BF58="","",Actuals!BF58)</f>
        <v>Average</v>
      </c>
      <c r="AG58" s="26" t="str">
        <f t="shared" si="71"/>
        <v>Sales Pipeline Weeks - Early</v>
      </c>
      <c r="AH58" s="214" t="str">
        <f>IF($AF58="Sum",SUM(S58:U58),IF($AF58="Average",IFERROR(AVERAGE(S58:U58),"-"),IF($AF58="EoP",IV58,"ERROR")))</f>
        <v>-</v>
      </c>
      <c r="AI58" s="214" t="str">
        <f>IF($AF58="Sum",SUM(V58:X58),IF($AF58="Average",IFERROR(AVERAGE(V58:X58),"-"),IF($AF58="EoP",U58,"ERROR")))</f>
        <v>-</v>
      </c>
      <c r="AJ58" s="214" t="str">
        <f>IF($AF58="Sum",SUM(X58:Z58),IF($AF58="Average",IFERROR(AVERAGE(X58:Z58),"-"),IF($AF58="EoP",Z58,"ERROR")))</f>
        <v>-</v>
      </c>
      <c r="AK58" s="214" t="str">
        <f>IF($AF58="Sum",SUM(AB58:AD58),IF($AF58="Average",IFERROR(AVERAGE(AB58:AD58),"-"),IF($AF58="EoP",AD58,"ERROR")))</f>
        <v>-</v>
      </c>
      <c r="AL58" s="195">
        <f ca="1">IF(AF58="EoP",OFFSET(S58,0,MONTH('2024 Control'!$C$4)-1),SUM(S58:OFFSET(S58,0,MONTH('2024 Control'!$C$4)-1))/IF(AF58="Sum",1,MONTH('2024 Control'!$C$4)))</f>
        <v>0</v>
      </c>
      <c r="AM58" s="304">
        <f ca="1">IF(AF58="Sum",(SUM(OFFSET(S58,0,MONTH('2024 Control'!$C$4)-12):OFFSET(S58,0,MONTH('2024 Control'!$C$4)-1))),IF(AF58="Average",(SUM(OFFSET(S58,0,MONTH('2024 Control'!$C$4)-12):OFFSET(S58,0,MONTH('2024 Control'!$C$4)-1)))/12,"-"))</f>
        <v>0</v>
      </c>
    </row>
    <row r="59" spans="2:39">
      <c r="B59" s="26" t="s">
        <v>65</v>
      </c>
      <c r="C59" s="26" t="s">
        <v>88</v>
      </c>
      <c r="D59" s="26" t="str">
        <f t="shared" si="70"/>
        <v>Sales Pipeline Weeks - Intermediate</v>
      </c>
      <c r="E59" s="26" t="s">
        <v>90</v>
      </c>
      <c r="F59" s="186" t="str">
        <f>Actuals!F59</f>
        <v>#</v>
      </c>
      <c r="G59" s="160"/>
      <c r="H59" s="160"/>
      <c r="I59" s="160"/>
      <c r="J59" s="160"/>
      <c r="K59" s="160"/>
      <c r="L59" s="160"/>
      <c r="M59" s="160"/>
      <c r="N59" s="160"/>
      <c r="O59" s="160"/>
      <c r="P59" s="160"/>
      <c r="Q59" s="160"/>
      <c r="R59" s="160"/>
      <c r="S59" s="160"/>
      <c r="T59" s="160"/>
      <c r="U59" s="160"/>
      <c r="V59" s="160"/>
      <c r="W59" s="160"/>
      <c r="X59" s="160"/>
      <c r="Y59" s="160"/>
      <c r="Z59" s="160"/>
      <c r="AA59" s="160"/>
      <c r="AB59" s="160"/>
      <c r="AC59" s="160"/>
      <c r="AD59" s="160"/>
      <c r="AE59" s="26"/>
      <c r="AF59" s="188" t="str">
        <f>IF(Actuals!BF59="","",Actuals!BF59)</f>
        <v>Average</v>
      </c>
      <c r="AG59" s="26" t="str">
        <f t="shared" si="71"/>
        <v>Sales Pipeline Weeks - Intermediate</v>
      </c>
      <c r="AH59" s="214" t="str">
        <f>IF($AF59="Sum",SUM(S59:U59),IF($AF59="Average",IFERROR(AVERAGE(S59:U59),"-"),IF($AF59="EoP",IV59,"ERROR")))</f>
        <v>-</v>
      </c>
      <c r="AI59" s="214" t="str">
        <f>IF($AF59="Sum",SUM(V59:X59),IF($AF59="Average",IFERROR(AVERAGE(V59:X59),"-"),IF($AF59="EoP",U59,"ERROR")))</f>
        <v>-</v>
      </c>
      <c r="AJ59" s="214" t="str">
        <f>IF($AF59="Sum",SUM(X59:Z59),IF($AF59="Average",IFERROR(AVERAGE(X59:Z59),"-"),IF($AF59="EoP",Z59,"ERROR")))</f>
        <v>-</v>
      </c>
      <c r="AK59" s="214" t="str">
        <f>IF($AF59="Sum",SUM(AB59:AD59),IF($AF59="Average",IFERROR(AVERAGE(AB59:AD59),"-"),IF($AF59="EoP",AD59,"ERROR")))</f>
        <v>-</v>
      </c>
      <c r="AL59" s="195">
        <f ca="1">IF(AF59="EoP",OFFSET(S59,0,MONTH('2024 Control'!$C$4)-1),SUM(S59:OFFSET(S59,0,MONTH('2024 Control'!$C$4)-1))/IF(AF59="Sum",1,MONTH('2024 Control'!$C$4)))</f>
        <v>0</v>
      </c>
      <c r="AM59" s="304">
        <f ca="1">IF(AF59="Sum",(SUM(OFFSET(S59,0,MONTH('2024 Control'!$C$4)-12):OFFSET(S59,0,MONTH('2024 Control'!$C$4)-1))),IF(AF59="Average",(SUM(OFFSET(S59,0,MONTH('2024 Control'!$C$4)-12):OFFSET(S59,0,MONTH('2024 Control'!$C$4)-1)))/12,"-"))</f>
        <v>0</v>
      </c>
    </row>
    <row r="60" spans="2:39">
      <c r="B60" s="26" t="s">
        <v>65</v>
      </c>
      <c r="C60" s="26" t="s">
        <v>88</v>
      </c>
      <c r="D60" s="26" t="str">
        <f t="shared" si="70"/>
        <v>Sales Pipeline Weeks - Advanced</v>
      </c>
      <c r="E60" s="26" t="s">
        <v>91</v>
      </c>
      <c r="F60" s="186" t="str">
        <f>Actuals!F60</f>
        <v>#</v>
      </c>
      <c r="G60" s="160"/>
      <c r="H60" s="160"/>
      <c r="I60" s="160"/>
      <c r="J60" s="160"/>
      <c r="K60" s="160"/>
      <c r="L60" s="160"/>
      <c r="M60" s="160"/>
      <c r="N60" s="160"/>
      <c r="O60" s="160"/>
      <c r="P60" s="160"/>
      <c r="Q60" s="160"/>
      <c r="R60" s="160"/>
      <c r="S60" s="160"/>
      <c r="T60" s="160"/>
      <c r="U60" s="160"/>
      <c r="V60" s="160"/>
      <c r="W60" s="160"/>
      <c r="X60" s="160"/>
      <c r="Y60" s="160"/>
      <c r="Z60" s="160"/>
      <c r="AA60" s="160"/>
      <c r="AB60" s="160"/>
      <c r="AC60" s="160"/>
      <c r="AD60" s="160"/>
      <c r="AE60" s="26"/>
      <c r="AF60" s="188" t="str">
        <f>IF(Actuals!BF60="","",Actuals!BF60)</f>
        <v>Average</v>
      </c>
      <c r="AG60" s="26" t="str">
        <f t="shared" si="71"/>
        <v>Sales Pipeline Weeks - Advanced</v>
      </c>
      <c r="AH60" s="214" t="str">
        <f>IF($AF60="Sum",SUM(S60:U60),IF($AF60="Average",IFERROR(AVERAGE(S60:U60),"-"),IF($AF60="EoP",IV60,"ERROR")))</f>
        <v>-</v>
      </c>
      <c r="AI60" s="214" t="str">
        <f>IF($AF60="Sum",SUM(V60:X60),IF($AF60="Average",IFERROR(AVERAGE(V60:X60),"-"),IF($AF60="EoP",U60,"ERROR")))</f>
        <v>-</v>
      </c>
      <c r="AJ60" s="214" t="str">
        <f>IF($AF60="Sum",SUM(X60:Z60),IF($AF60="Average",IFERROR(AVERAGE(X60:Z60),"-"),IF($AF60="EoP",Z60,"ERROR")))</f>
        <v>-</v>
      </c>
      <c r="AK60" s="214" t="str">
        <f>IF($AF60="Sum",SUM(AB60:AD60),IF($AF60="Average",IFERROR(AVERAGE(AB60:AD60),"-"),IF($AF60="EoP",AD60,"ERROR")))</f>
        <v>-</v>
      </c>
      <c r="AL60" s="195">
        <f ca="1">IF(AF60="EoP",OFFSET(S60,0,MONTH('2024 Control'!$C$4)-1),SUM(S60:OFFSET(S60,0,MONTH('2024 Control'!$C$4)-1))/IF(AF60="Sum",1,MONTH('2024 Control'!$C$4)))</f>
        <v>0</v>
      </c>
      <c r="AM60" s="304">
        <f ca="1">IF(AF60="Sum",(SUM(OFFSET(S60,0,MONTH('2024 Control'!$C$4)-12):OFFSET(S60,0,MONTH('2024 Control'!$C$4)-1))),IF(AF60="Average",(SUM(OFFSET(S60,0,MONTH('2024 Control'!$C$4)-12):OFFSET(S60,0,MONTH('2024 Control'!$C$4)-1)))/12,"-"))</f>
        <v>0</v>
      </c>
    </row>
    <row r="61" spans="2:39">
      <c r="B61" s="26" t="s">
        <v>65</v>
      </c>
      <c r="C61" s="26" t="s">
        <v>88</v>
      </c>
      <c r="D61" s="26" t="str">
        <f t="shared" si="70"/>
        <v>Sales Pipeline Weeks - Total</v>
      </c>
      <c r="E61" s="26" t="s">
        <v>297</v>
      </c>
      <c r="F61" s="186" t="str">
        <f>Actuals!F61</f>
        <v>#</v>
      </c>
      <c r="G61" s="160"/>
      <c r="H61" s="160"/>
      <c r="I61" s="160"/>
      <c r="J61" s="160"/>
      <c r="K61" s="160"/>
      <c r="L61" s="160"/>
      <c r="M61" s="160"/>
      <c r="N61" s="160"/>
      <c r="O61" s="160"/>
      <c r="P61" s="160"/>
      <c r="Q61" s="160"/>
      <c r="R61" s="160"/>
      <c r="S61" s="160"/>
      <c r="T61" s="160"/>
      <c r="U61" s="160"/>
      <c r="V61" s="160"/>
      <c r="W61" s="160"/>
      <c r="X61" s="160"/>
      <c r="Y61" s="160"/>
      <c r="Z61" s="160"/>
      <c r="AA61" s="160"/>
      <c r="AB61" s="160"/>
      <c r="AC61" s="160"/>
      <c r="AD61" s="160"/>
      <c r="AE61" s="26"/>
      <c r="AF61" s="188" t="s">
        <v>249</v>
      </c>
      <c r="AG61" s="26" t="str">
        <f t="shared" si="71"/>
        <v>Sales Pipeline Weeks - Total</v>
      </c>
      <c r="AH61" s="214" t="str">
        <f>IF($AF61="Sum",SUM(S61:U61),IF($AF61="Average",IFERROR(AVERAGE(S61:U61),"-"),IF($AF61="EoP",IV61,"ERROR")))</f>
        <v>-</v>
      </c>
      <c r="AI61" s="214" t="str">
        <f>IF($AF61="Sum",SUM(V61:X61),IF($AF61="Average",IFERROR(AVERAGE(V61:X61),"-"),IF($AF61="EoP",U61,"ERROR")))</f>
        <v>-</v>
      </c>
      <c r="AJ61" s="214" t="str">
        <f>IF($AF61="Sum",SUM(X61:Z61),IF($AF61="Average",IFERROR(AVERAGE(X61:Z61),"-"),IF($AF61="EoP",Z61,"ERROR")))</f>
        <v>-</v>
      </c>
      <c r="AK61" s="214" t="str">
        <f>IF($AF61="Sum",SUM(AB61:AD61),IF($AF61="Average",IFERROR(AVERAGE(AB61:AD61),"-"),IF($AF61="EoP",AD61,"ERROR")))</f>
        <v>-</v>
      </c>
      <c r="AL61" s="195">
        <f ca="1">IF(AF61="EoP",OFFSET(S61,0,MONTH('2024 Control'!$C$4)-1),SUM(S61:OFFSET(S61,0,MONTH('2024 Control'!$C$4)-1))/IF(AF61="Sum",1,MONTH('2024 Control'!$C$4)))</f>
        <v>0</v>
      </c>
      <c r="AM61" s="304">
        <f ca="1">IF(AF61="Sum",(SUM(OFFSET(S61,0,MONTH('2024 Control'!$C$4)-12):OFFSET(S61,0,MONTH('2024 Control'!$C$4)-1))),IF(AF61="Average",(SUM(OFFSET(S61,0,MONTH('2024 Control'!$C$4)-12):OFFSET(S61,0,MONTH('2024 Control'!$C$4)-1)))/12,"-"))</f>
        <v>0</v>
      </c>
    </row>
    <row r="62" spans="2:39">
      <c r="B62" s="26" t="s">
        <v>65</v>
      </c>
      <c r="C62" s="26" t="s">
        <v>92</v>
      </c>
      <c r="D62" s="26" t="str">
        <f t="shared" si="70"/>
        <v>Sales Lost + Nutured - Early</v>
      </c>
      <c r="E62" s="26" t="s">
        <v>93</v>
      </c>
      <c r="F62" s="186" t="str">
        <f>Actuals!F61</f>
        <v>#</v>
      </c>
      <c r="G62" s="160"/>
      <c r="H62" s="160"/>
      <c r="I62" s="160"/>
      <c r="J62" s="160"/>
      <c r="K62" s="160"/>
      <c r="L62" s="160"/>
      <c r="M62" s="160"/>
      <c r="N62" s="160"/>
      <c r="O62" s="160"/>
      <c r="P62" s="160"/>
      <c r="Q62" s="160"/>
      <c r="R62" s="160"/>
      <c r="S62" s="160"/>
      <c r="T62" s="160"/>
      <c r="U62" s="160"/>
      <c r="V62" s="160"/>
      <c r="W62" s="160"/>
      <c r="X62" s="160"/>
      <c r="Y62" s="160"/>
      <c r="Z62" s="160"/>
      <c r="AA62" s="160"/>
      <c r="AB62" s="160"/>
      <c r="AC62" s="160"/>
      <c r="AD62" s="160"/>
      <c r="AE62" s="26"/>
      <c r="AF62" s="188" t="str">
        <f>IF(Actuals!BF61="","",Actuals!BF61)</f>
        <v>Sum</v>
      </c>
      <c r="AG62" s="26" t="str">
        <f t="shared" si="71"/>
        <v>Sales Lost + Nutured - Early</v>
      </c>
      <c r="AH62" s="195">
        <f t="shared" ref="AH62:AH67" si="72">IF($AF62="Sum",SUM(S62:U62),IF($AF62="Average",AVERAGE(S62:U62),IF($AF62="EoP",IV62,"ERROR")))</f>
        <v>0</v>
      </c>
      <c r="AI62" s="195">
        <f t="shared" ref="AI62:AI67" si="73">IF($AF62="Sum",SUM(V62:X62),IF($AF62="Average",AVERAGE(V62:X62),IF($AF62="EoP",U62,"ERROR")))</f>
        <v>0</v>
      </c>
      <c r="AJ62" s="195">
        <f t="shared" ref="AJ62:AJ67" si="74">IF($AF62="Sum",SUM(X62:Z62),IF($AF62="Average",AVERAGE(X62:Z62),IF($AF62="EoP",Z62,"ERROR")))</f>
        <v>0</v>
      </c>
      <c r="AK62" s="195">
        <f t="shared" ref="AK62:AK67" si="75">IF($AF62="Sum",SUM(AB62:AD62),IF($AF62="Average",AVERAGE(AB62:AD62),IF($AF62="EoP",AD62,"ERROR")))</f>
        <v>0</v>
      </c>
      <c r="AL62" s="195">
        <f ca="1">IF(AF62="EoP",OFFSET(S62,0,MONTH('2024 Control'!$C$4)-1),SUM(S62:OFFSET(S62,0,MONTH('2024 Control'!$C$4)-1))/IF(AF62="Sum",1,MONTH('2024 Control'!$C$4)))</f>
        <v>0</v>
      </c>
      <c r="AM62" s="304">
        <f ca="1">IF(AF62="Sum",(SUM(OFFSET(S62,0,MONTH('2024 Control'!$C$4)-12):OFFSET(S62,0,MONTH('2024 Control'!$C$4)-1))),IF(AF62="Average",(SUM(OFFSET(S62,0,MONTH('2024 Control'!$C$4)-12):OFFSET(S62,0,MONTH('2024 Control'!$C$4)-1)))/12,"-"))</f>
        <v>0</v>
      </c>
    </row>
    <row r="63" spans="2:39">
      <c r="B63" s="26" t="s">
        <v>65</v>
      </c>
      <c r="C63" s="26" t="s">
        <v>92</v>
      </c>
      <c r="D63" s="26" t="str">
        <f t="shared" si="70"/>
        <v>Sales Lost + Nutured - Intermediate</v>
      </c>
      <c r="E63" s="26" t="s">
        <v>94</v>
      </c>
      <c r="F63" s="186" t="str">
        <f>Actuals!F62</f>
        <v>#</v>
      </c>
      <c r="G63" s="160"/>
      <c r="H63" s="160"/>
      <c r="I63" s="160"/>
      <c r="J63" s="160"/>
      <c r="K63" s="160"/>
      <c r="L63" s="160"/>
      <c r="M63" s="160"/>
      <c r="N63" s="160"/>
      <c r="O63" s="160"/>
      <c r="P63" s="160"/>
      <c r="Q63" s="160"/>
      <c r="R63" s="160"/>
      <c r="S63" s="160"/>
      <c r="T63" s="160"/>
      <c r="U63" s="160"/>
      <c r="V63" s="160"/>
      <c r="W63" s="160"/>
      <c r="X63" s="160"/>
      <c r="Y63" s="160"/>
      <c r="Z63" s="160"/>
      <c r="AA63" s="160"/>
      <c r="AB63" s="160"/>
      <c r="AC63" s="160"/>
      <c r="AD63" s="160"/>
      <c r="AE63" s="26"/>
      <c r="AF63" s="188" t="str">
        <f>IF(Actuals!BF62="","",Actuals!BF62)</f>
        <v>Sum</v>
      </c>
      <c r="AG63" s="26" t="str">
        <f t="shared" si="71"/>
        <v>Sales Lost + Nutured - Intermediate</v>
      </c>
      <c r="AH63" s="195">
        <f t="shared" si="72"/>
        <v>0</v>
      </c>
      <c r="AI63" s="195">
        <f t="shared" si="73"/>
        <v>0</v>
      </c>
      <c r="AJ63" s="195">
        <f t="shared" si="74"/>
        <v>0</v>
      </c>
      <c r="AK63" s="195">
        <f t="shared" si="75"/>
        <v>0</v>
      </c>
      <c r="AL63" s="195">
        <f ca="1">IF(AF63="EoP",OFFSET(S63,0,MONTH('2024 Control'!$C$4)-1),SUM(S63:OFFSET(S63,0,MONTH('2024 Control'!$C$4)-1))/IF(AF63="Sum",1,MONTH('2024 Control'!$C$4)))</f>
        <v>0</v>
      </c>
      <c r="AM63" s="304">
        <f ca="1">IF(AF63="Sum",(SUM(OFFSET(S63,0,MONTH('2024 Control'!$C$4)-12):OFFSET(S63,0,MONTH('2024 Control'!$C$4)-1))),IF(AF63="Average",(SUM(OFFSET(S63,0,MONTH('2024 Control'!$C$4)-12):OFFSET(S63,0,MONTH('2024 Control'!$C$4)-1)))/12,"-"))</f>
        <v>0</v>
      </c>
    </row>
    <row r="64" spans="2:39">
      <c r="B64" s="26" t="s">
        <v>65</v>
      </c>
      <c r="C64" s="26" t="s">
        <v>92</v>
      </c>
      <c r="D64" s="26" t="str">
        <f t="shared" si="70"/>
        <v>Sales Lost + Nutured - Advanced</v>
      </c>
      <c r="E64" s="26" t="s">
        <v>95</v>
      </c>
      <c r="F64" s="186" t="str">
        <f>Actuals!F63</f>
        <v>#</v>
      </c>
      <c r="G64" s="160"/>
      <c r="H64" s="160"/>
      <c r="I64" s="160"/>
      <c r="J64" s="160"/>
      <c r="K64" s="160"/>
      <c r="L64" s="160"/>
      <c r="M64" s="160"/>
      <c r="N64" s="160"/>
      <c r="O64" s="160"/>
      <c r="P64" s="160"/>
      <c r="Q64" s="160"/>
      <c r="R64" s="160"/>
      <c r="S64" s="160"/>
      <c r="T64" s="160"/>
      <c r="U64" s="160"/>
      <c r="V64" s="160"/>
      <c r="W64" s="160"/>
      <c r="X64" s="160"/>
      <c r="Y64" s="160"/>
      <c r="Z64" s="160"/>
      <c r="AA64" s="160"/>
      <c r="AB64" s="160"/>
      <c r="AC64" s="160"/>
      <c r="AD64" s="160"/>
      <c r="AE64" s="26"/>
      <c r="AF64" s="188" t="str">
        <f>IF(Actuals!BF63="","",Actuals!BF63)</f>
        <v>Sum</v>
      </c>
      <c r="AG64" s="26" t="str">
        <f t="shared" si="71"/>
        <v>Sales Lost + Nutured - Advanced</v>
      </c>
      <c r="AH64" s="195">
        <f t="shared" si="72"/>
        <v>0</v>
      </c>
      <c r="AI64" s="195">
        <f t="shared" si="73"/>
        <v>0</v>
      </c>
      <c r="AJ64" s="195">
        <f t="shared" si="74"/>
        <v>0</v>
      </c>
      <c r="AK64" s="195">
        <f t="shared" si="75"/>
        <v>0</v>
      </c>
      <c r="AL64" s="195">
        <f ca="1">IF(AF64="EoP",OFFSET(S64,0,MONTH('2024 Control'!$C$4)-1),SUM(S64:OFFSET(S64,0,MONTH('2024 Control'!$C$4)-1))/IF(AF64="Sum",1,MONTH('2024 Control'!$C$4)))</f>
        <v>0</v>
      </c>
      <c r="AM64" s="304">
        <f ca="1">IF(AF64="Sum",(SUM(OFFSET(S64,0,MONTH('2024 Control'!$C$4)-12):OFFSET(S64,0,MONTH('2024 Control'!$C$4)-1))),IF(AF64="Average",(SUM(OFFSET(S64,0,MONTH('2024 Control'!$C$4)-12):OFFSET(S64,0,MONTH('2024 Control'!$C$4)-1)))/12,"-"))</f>
        <v>0</v>
      </c>
    </row>
    <row r="65" spans="2:39">
      <c r="B65" s="26" t="s">
        <v>65</v>
      </c>
      <c r="C65" s="26" t="s">
        <v>92</v>
      </c>
      <c r="D65" s="26" t="str">
        <f t="shared" si="70"/>
        <v>Sales Lost + Nutured - Total</v>
      </c>
      <c r="E65" s="26" t="s">
        <v>96</v>
      </c>
      <c r="F65" s="186" t="str">
        <f>Actuals!F64</f>
        <v>#</v>
      </c>
      <c r="G65" s="160"/>
      <c r="H65" s="160"/>
      <c r="I65" s="160"/>
      <c r="J65" s="160"/>
      <c r="K65" s="160"/>
      <c r="L65" s="160"/>
      <c r="M65" s="160"/>
      <c r="N65" s="160"/>
      <c r="O65" s="160"/>
      <c r="P65" s="160"/>
      <c r="Q65" s="160"/>
      <c r="R65" s="160"/>
      <c r="S65" s="160"/>
      <c r="T65" s="160"/>
      <c r="U65" s="160"/>
      <c r="V65" s="160"/>
      <c r="W65" s="160"/>
      <c r="X65" s="160"/>
      <c r="Y65" s="160"/>
      <c r="Z65" s="160"/>
      <c r="AA65" s="160"/>
      <c r="AB65" s="160"/>
      <c r="AC65" s="160"/>
      <c r="AD65" s="160"/>
      <c r="AE65" s="26"/>
      <c r="AF65" s="188" t="str">
        <f>IF(Actuals!BF64="","",Actuals!BF64)</f>
        <v>Sum</v>
      </c>
      <c r="AG65" s="26" t="str">
        <f t="shared" si="71"/>
        <v>Sales Lost + Nutured - Total</v>
      </c>
      <c r="AH65" s="195">
        <f t="shared" si="72"/>
        <v>0</v>
      </c>
      <c r="AI65" s="195">
        <f t="shared" si="73"/>
        <v>0</v>
      </c>
      <c r="AJ65" s="195">
        <f t="shared" si="74"/>
        <v>0</v>
      </c>
      <c r="AK65" s="195">
        <f t="shared" si="75"/>
        <v>0</v>
      </c>
      <c r="AL65" s="195">
        <f ca="1">IF(AF65="EoP",OFFSET(S65,0,MONTH('2024 Control'!$C$4)-1),SUM(S65:OFFSET(S65,0,MONTH('2024 Control'!$C$4)-1))/IF(AF65="Sum",1,MONTH('2024 Control'!$C$4)))</f>
        <v>0</v>
      </c>
      <c r="AM65" s="304">
        <f ca="1">IF(AF65="Sum",(SUM(OFFSET(S65,0,MONTH('2024 Control'!$C$4)-12):OFFSET(S65,0,MONTH('2024 Control'!$C$4)-1))),IF(AF65="Average",(SUM(OFFSET(S65,0,MONTH('2024 Control'!$C$4)-12):OFFSET(S65,0,MONTH('2024 Control'!$C$4)-1)))/12,"-"))</f>
        <v>0</v>
      </c>
    </row>
    <row r="66" spans="2:39">
      <c r="B66" s="26" t="s">
        <v>65</v>
      </c>
      <c r="C66" s="26" t="s">
        <v>57</v>
      </c>
      <c r="D66" s="26" t="str">
        <f t="shared" si="70"/>
        <v>Sales Headcount</v>
      </c>
      <c r="E66" s="26" t="s">
        <v>97</v>
      </c>
      <c r="F66" s="186" t="str">
        <f>Actuals!F65</f>
        <v>#</v>
      </c>
      <c r="G66" s="160">
        <v>6</v>
      </c>
      <c r="H66" s="160">
        <v>8</v>
      </c>
      <c r="I66" s="160">
        <v>8</v>
      </c>
      <c r="J66" s="160">
        <v>9</v>
      </c>
      <c r="K66" s="160">
        <v>9</v>
      </c>
      <c r="L66" s="160">
        <v>9</v>
      </c>
      <c r="M66" s="160">
        <v>9</v>
      </c>
      <c r="N66" s="160">
        <v>9</v>
      </c>
      <c r="O66" s="160">
        <v>9</v>
      </c>
      <c r="P66" s="160">
        <v>9</v>
      </c>
      <c r="Q66" s="160">
        <v>9</v>
      </c>
      <c r="R66" s="160">
        <v>9</v>
      </c>
      <c r="S66" s="160">
        <v>8</v>
      </c>
      <c r="T66" s="160">
        <v>8</v>
      </c>
      <c r="U66" s="160">
        <v>8</v>
      </c>
      <c r="V66" s="160">
        <v>8</v>
      </c>
      <c r="W66" s="160">
        <v>8</v>
      </c>
      <c r="X66" s="160">
        <v>8</v>
      </c>
      <c r="Y66" s="160">
        <v>8</v>
      </c>
      <c r="Z66" s="160">
        <v>8</v>
      </c>
      <c r="AA66" s="160">
        <v>8</v>
      </c>
      <c r="AB66" s="160">
        <v>8</v>
      </c>
      <c r="AC66" s="160">
        <v>8</v>
      </c>
      <c r="AD66" s="160">
        <v>8</v>
      </c>
      <c r="AE66" s="26"/>
      <c r="AF66" s="188" t="str">
        <f>IF(Actuals!BF65="","",Actuals!BF65)</f>
        <v>EoP</v>
      </c>
      <c r="AG66" s="26" t="str">
        <f t="shared" si="71"/>
        <v>Sales Headcount</v>
      </c>
      <c r="AH66" s="195">
        <f t="shared" si="72"/>
        <v>0</v>
      </c>
      <c r="AI66" s="195">
        <f t="shared" si="73"/>
        <v>8</v>
      </c>
      <c r="AJ66" s="195">
        <f t="shared" si="74"/>
        <v>8</v>
      </c>
      <c r="AK66" s="195">
        <f t="shared" si="75"/>
        <v>8</v>
      </c>
      <c r="AL66" s="195">
        <f ca="1">IF(AF66="EoP",OFFSET(S66,0,MONTH('2024 Control'!$C$4)-1),SUM(S66:OFFSET(S66,0,MONTH('2024 Control'!$C$4)-1))/IF(AF66="Sum",1,MONTH('2024 Control'!$C$4)))</f>
        <v>8</v>
      </c>
      <c r="AM66" s="304" t="str">
        <f ca="1">IF(AF66="Sum",(SUM(OFFSET(S66,0,MONTH('2024 Control'!$C$4)-12):OFFSET(S66,0,MONTH('2024 Control'!$C$4)-1))),IF(AF66="Average",(SUM(OFFSET(S66,0,MONTH('2024 Control'!$C$4)-12):OFFSET(S66,0,MONTH('2024 Control'!$C$4)-1)))/12,"-"))</f>
        <v>-</v>
      </c>
    </row>
    <row r="67" spans="2:39">
      <c r="B67" s="26" t="s">
        <v>65</v>
      </c>
      <c r="C67" s="26" t="s">
        <v>57</v>
      </c>
      <c r="D67" s="26" t="str">
        <f t="shared" si="70"/>
        <v>Sales Sales expense</v>
      </c>
      <c r="E67" s="26" t="s">
        <v>98</v>
      </c>
      <c r="F67" s="186" t="str">
        <f>Actuals!F66</f>
        <v>$</v>
      </c>
      <c r="G67" s="227">
        <f>-G109</f>
        <v>141646</v>
      </c>
      <c r="H67" s="227">
        <f t="shared" ref="H67:R67" si="76">-H109</f>
        <v>183846</v>
      </c>
      <c r="I67" s="227">
        <f t="shared" si="76"/>
        <v>160046</v>
      </c>
      <c r="J67" s="227">
        <f t="shared" si="76"/>
        <v>168346</v>
      </c>
      <c r="K67" s="227">
        <f t="shared" si="76"/>
        <v>166846</v>
      </c>
      <c r="L67" s="227">
        <f t="shared" si="76"/>
        <v>166846</v>
      </c>
      <c r="M67" s="227">
        <f t="shared" si="76"/>
        <v>181930</v>
      </c>
      <c r="N67" s="227">
        <f t="shared" si="76"/>
        <v>179530</v>
      </c>
      <c r="O67" s="227">
        <f t="shared" si="76"/>
        <v>203530</v>
      </c>
      <c r="P67" s="227">
        <f t="shared" si="76"/>
        <v>197530</v>
      </c>
      <c r="Q67" s="227">
        <f t="shared" si="76"/>
        <v>179530</v>
      </c>
      <c r="R67" s="227">
        <f t="shared" si="76"/>
        <v>180730</v>
      </c>
      <c r="S67" s="227">
        <f>712+130850+600+37500+5000+1200</f>
        <v>175862</v>
      </c>
      <c r="T67" s="227">
        <f>600+130850+2000</f>
        <v>133450</v>
      </c>
      <c r="U67" s="227">
        <f t="shared" ref="U67:W67" si="77">600+130850+2000</f>
        <v>133450</v>
      </c>
      <c r="V67" s="227">
        <f t="shared" si="77"/>
        <v>133450</v>
      </c>
      <c r="W67" s="227">
        <f t="shared" si="77"/>
        <v>133450</v>
      </c>
      <c r="X67" s="227">
        <f>600+130850+1200+2000</f>
        <v>134650</v>
      </c>
      <c r="Y67" s="227">
        <f>1120+132543+600+5000</f>
        <v>139263</v>
      </c>
      <c r="Z67" s="227">
        <f>1120+132543+600+2000</f>
        <v>136263</v>
      </c>
      <c r="AA67" s="227">
        <f>1120+132543+600+2000</f>
        <v>136263</v>
      </c>
      <c r="AB67" s="227">
        <f>1120+132543+600+1200+2000</f>
        <v>137463</v>
      </c>
      <c r="AC67" s="227">
        <f>1120+132543+600+2000</f>
        <v>136263</v>
      </c>
      <c r="AD67" s="227">
        <f>1120+132543+600+2000</f>
        <v>136263</v>
      </c>
      <c r="AE67" s="26"/>
      <c r="AF67" s="188" t="str">
        <f>IF(Actuals!BF66="","",Actuals!BF66)</f>
        <v>Sum</v>
      </c>
      <c r="AG67" s="26" t="str">
        <f t="shared" si="71"/>
        <v>Sales Sales expense</v>
      </c>
      <c r="AH67" s="197">
        <f t="shared" si="72"/>
        <v>442762</v>
      </c>
      <c r="AI67" s="197">
        <f t="shared" si="73"/>
        <v>401550</v>
      </c>
      <c r="AJ67" s="197">
        <f t="shared" si="74"/>
        <v>410176</v>
      </c>
      <c r="AK67" s="197">
        <f t="shared" si="75"/>
        <v>409989</v>
      </c>
      <c r="AL67" s="197">
        <f ca="1">IF(AF67="EoP",OFFSET(S67,0,MONTH('2024 Control'!$C$4)-1),SUM(S67:OFFSET(S67,0,MONTH('2024 Control'!$C$4)-1))/IF(AF67="Sum",1,MONTH('2024 Control'!$C$4)))</f>
        <v>1666090</v>
      </c>
      <c r="AM67" s="304">
        <f ca="1">IF(AF67="Sum",(SUM(OFFSET(S67,0,MONTH('2024 Control'!$C$4)-12):OFFSET(S67,0,MONTH('2024 Control'!$C$4)-1))),IF(AF67="Average",(SUM(OFFSET(S67,0,MONTH('2024 Control'!$C$4)-12):OFFSET(S67,0,MONTH('2024 Control'!$C$4)-1)))/12,"-"))</f>
        <v>1666090</v>
      </c>
    </row>
    <row r="68" spans="2:39">
      <c r="B68" s="26" t="s">
        <v>65</v>
      </c>
      <c r="C68" s="26" t="s">
        <v>57</v>
      </c>
      <c r="D68" s="26" t="str">
        <f t="shared" si="70"/>
        <v>Sales Sales exp. per $1 ARR</v>
      </c>
      <c r="E68" s="26" t="s">
        <v>100</v>
      </c>
      <c r="F68" s="186" t="str">
        <f>Actuals!F67</f>
        <v>$</v>
      </c>
      <c r="G68" s="275" t="str">
        <f>IFERROR(G67/G40,"n.a.")</f>
        <v>n.a.</v>
      </c>
      <c r="H68" s="275" t="str">
        <f t="shared" ref="H68:R68" si="78">IFERROR(H67/H40,"n.a.")</f>
        <v>n.a.</v>
      </c>
      <c r="I68" s="275">
        <f t="shared" si="78"/>
        <v>0.400115</v>
      </c>
      <c r="J68" s="275" t="str">
        <f t="shared" si="78"/>
        <v>n.a.</v>
      </c>
      <c r="K68" s="275" t="str">
        <f t="shared" si="78"/>
        <v>n.a.</v>
      </c>
      <c r="L68" s="275">
        <f t="shared" si="78"/>
        <v>0.44611229946524067</v>
      </c>
      <c r="M68" s="275" t="str">
        <f t="shared" si="78"/>
        <v>n.a.</v>
      </c>
      <c r="N68" s="275" t="str">
        <f t="shared" si="78"/>
        <v>n.a.</v>
      </c>
      <c r="O68" s="275">
        <f t="shared" si="78"/>
        <v>0.66513071895424836</v>
      </c>
      <c r="P68" s="275" t="str">
        <f t="shared" si="78"/>
        <v>n.a.</v>
      </c>
      <c r="Q68" s="275" t="str">
        <f t="shared" si="78"/>
        <v>n.a.</v>
      </c>
      <c r="R68" s="275">
        <f t="shared" si="78"/>
        <v>0.29149999999999998</v>
      </c>
      <c r="S68" s="349" t="e">
        <f>S67/S40</f>
        <v>#DIV/0!</v>
      </c>
      <c r="T68" s="349" t="e">
        <f t="shared" ref="T68:AD68" si="79">T67/T40</f>
        <v>#DIV/0!</v>
      </c>
      <c r="U68" s="349">
        <f t="shared" si="79"/>
        <v>0.41703125000000002</v>
      </c>
      <c r="V68" s="349" t="e">
        <f t="shared" si="79"/>
        <v>#DIV/0!</v>
      </c>
      <c r="W68" s="349" t="e">
        <f t="shared" si="79"/>
        <v>#DIV/0!</v>
      </c>
      <c r="X68" s="349">
        <f t="shared" si="79"/>
        <v>0.29922222222222222</v>
      </c>
      <c r="Y68" s="349" t="e">
        <f t="shared" si="79"/>
        <v>#DIV/0!</v>
      </c>
      <c r="Z68" s="349" t="e">
        <f t="shared" si="79"/>
        <v>#DIV/0!</v>
      </c>
      <c r="AA68" s="349">
        <f t="shared" si="79"/>
        <v>0.30280666666666667</v>
      </c>
      <c r="AB68" s="349" t="e">
        <f t="shared" si="79"/>
        <v>#DIV/0!</v>
      </c>
      <c r="AC68" s="349" t="e">
        <f t="shared" si="79"/>
        <v>#DIV/0!</v>
      </c>
      <c r="AD68" s="349">
        <f t="shared" si="79"/>
        <v>0.23493620689655173</v>
      </c>
      <c r="AE68" s="26"/>
      <c r="AF68" s="188" t="str">
        <f>IF(Actuals!BF67="","",Actuals!BF67)</f>
        <v/>
      </c>
      <c r="AG68" s="26" t="str">
        <f t="shared" si="71"/>
        <v>Sales Sales exp. per $1 ARR</v>
      </c>
      <c r="AH68" s="218">
        <f>IFERROR(AH67/AH40,"-")</f>
        <v>1.3836312500000001</v>
      </c>
      <c r="AI68" s="218">
        <f t="shared" ref="AI68:AL68" si="80">IFERROR(AI67/AI40,"-")</f>
        <v>0.89233333333333331</v>
      </c>
      <c r="AJ68" s="218">
        <f t="shared" si="80"/>
        <v>0.91150222222222221</v>
      </c>
      <c r="AK68" s="218">
        <f t="shared" si="80"/>
        <v>0.70687758620689656</v>
      </c>
      <c r="AL68" s="218">
        <f t="shared" ca="1" si="80"/>
        <v>0.92560555555555557</v>
      </c>
      <c r="AM68" s="304" t="str">
        <f ca="1">IF(AF68="Sum",(SUM(OFFSET(S68,0,MONTH('2024 Control'!$C$4)-12):OFFSET(S68,0,MONTH('2024 Control'!$C$4)-1))),IF(AF68="Average",(SUM(OFFSET(S68,0,MONTH('2024 Control'!$C$4)-12):OFFSET(S68,0,MONTH('2024 Control'!$C$4)-1)))/12,"-"))</f>
        <v>-</v>
      </c>
    </row>
    <row r="69" spans="2:39">
      <c r="B69" s="26" t="s">
        <v>24</v>
      </c>
      <c r="C69" s="26" t="s">
        <v>258</v>
      </c>
      <c r="D69" s="26" t="str">
        <f t="shared" si="70"/>
        <v>Customer Success Cross-sell</v>
      </c>
      <c r="E69" s="26" t="s">
        <v>168</v>
      </c>
      <c r="F69" s="186" t="str">
        <f>Actuals!F68</f>
        <v>$</v>
      </c>
      <c r="G69" s="226">
        <v>0</v>
      </c>
      <c r="H69" s="226">
        <v>0</v>
      </c>
      <c r="I69" s="226">
        <f>288000*0.7</f>
        <v>201600</v>
      </c>
      <c r="J69" s="226">
        <v>0</v>
      </c>
      <c r="K69" s="226">
        <v>0</v>
      </c>
      <c r="L69" s="226">
        <f>26400*7</f>
        <v>184800</v>
      </c>
      <c r="M69" s="226">
        <v>0</v>
      </c>
      <c r="N69" s="226">
        <v>0</v>
      </c>
      <c r="O69" s="226">
        <f>216000*0.7</f>
        <v>151200</v>
      </c>
      <c r="P69" s="226">
        <v>0</v>
      </c>
      <c r="Q69" s="226">
        <v>0</v>
      </c>
      <c r="R69" s="226">
        <f>432000*0.7</f>
        <v>302400</v>
      </c>
      <c r="S69" s="226"/>
      <c r="T69" s="226"/>
      <c r="U69" s="226"/>
      <c r="V69" s="226"/>
      <c r="W69" s="226"/>
      <c r="X69" s="226"/>
      <c r="Y69" s="226"/>
      <c r="Z69" s="226"/>
      <c r="AA69" s="226"/>
      <c r="AB69" s="226"/>
      <c r="AC69" s="226"/>
      <c r="AD69" s="226"/>
      <c r="AE69" s="26"/>
      <c r="AF69" s="188" t="str">
        <f>IF(Actuals!BF68="","",Actuals!BF68)</f>
        <v>Sum</v>
      </c>
      <c r="AG69" s="26" t="str">
        <f t="shared" si="71"/>
        <v>Customer Success Cross-sell</v>
      </c>
      <c r="AH69" s="197">
        <f t="shared" ref="AH69:AH74" si="81">IF($AF69="Sum",SUM(S69:U69),IF($AF69="Average",AVERAGE(S69:U69),IF($AF69="EoP",IV69,"ERROR")))</f>
        <v>0</v>
      </c>
      <c r="AI69" s="197">
        <f t="shared" ref="AI69:AI74" si="82">IF($AF69="Sum",SUM(V69:X69),IF($AF69="Average",AVERAGE(V69:X69),IF($AF69="EoP",U69,"ERROR")))</f>
        <v>0</v>
      </c>
      <c r="AJ69" s="197">
        <f t="shared" ref="AJ69:AJ74" si="83">IF($AF69="Sum",SUM(X69:Z69),IF($AF69="Average",AVERAGE(X69:Z69),IF($AF69="EoP",Z69,"ERROR")))</f>
        <v>0</v>
      </c>
      <c r="AK69" s="197">
        <f t="shared" ref="AK69:AK74" si="84">IF($AF69="Sum",SUM(AB69:AD69),IF($AF69="Average",AVERAGE(AB69:AD69),IF($AF69="EoP",AD69,"ERROR")))</f>
        <v>0</v>
      </c>
      <c r="AL69" s="197">
        <f ca="1">IF(AF69="EoP",OFFSET(S69,0,MONTH('2024 Control'!$C$4)-1),SUM(S69:OFFSET(S69,0,MONTH('2024 Control'!$C$4)-1))/IF(AF69="Sum",1,MONTH('2024 Control'!$C$4)))</f>
        <v>0</v>
      </c>
      <c r="AM69" s="304">
        <f ca="1">IF(AF69="Sum",(SUM(OFFSET(S69,0,MONTH('2024 Control'!$C$4)-12):OFFSET(S69,0,MONTH('2024 Control'!$C$4)-1))),IF(AF69="Average",(SUM(OFFSET(S69,0,MONTH('2024 Control'!$C$4)-12):OFFSET(S69,0,MONTH('2024 Control'!$C$4)-1)))/12,"-"))</f>
        <v>0</v>
      </c>
    </row>
    <row r="70" spans="2:39">
      <c r="B70" s="26" t="s">
        <v>24</v>
      </c>
      <c r="C70" s="26" t="s">
        <v>258</v>
      </c>
      <c r="D70" s="26" t="str">
        <f t="shared" si="70"/>
        <v>Customer Success Upsell</v>
      </c>
      <c r="E70" s="26" t="s">
        <v>169</v>
      </c>
      <c r="F70" s="186" t="str">
        <f>Actuals!F69</f>
        <v>$</v>
      </c>
      <c r="G70" s="226">
        <v>0</v>
      </c>
      <c r="H70" s="226">
        <v>0</v>
      </c>
      <c r="I70" s="226">
        <v>86400</v>
      </c>
      <c r="J70" s="226">
        <v>0</v>
      </c>
      <c r="K70" s="226">
        <v>0</v>
      </c>
      <c r="L70" s="226">
        <v>79200</v>
      </c>
      <c r="M70" s="226">
        <v>0</v>
      </c>
      <c r="N70" s="226">
        <v>0</v>
      </c>
      <c r="O70" s="226">
        <v>64800</v>
      </c>
      <c r="P70" s="226">
        <v>0</v>
      </c>
      <c r="Q70" s="226">
        <v>0</v>
      </c>
      <c r="R70" s="226">
        <v>129600</v>
      </c>
      <c r="S70" s="226"/>
      <c r="T70" s="226"/>
      <c r="U70" s="226"/>
      <c r="V70" s="226"/>
      <c r="W70" s="226"/>
      <c r="X70" s="226"/>
      <c r="Y70" s="226"/>
      <c r="Z70" s="226"/>
      <c r="AA70" s="226"/>
      <c r="AB70" s="226"/>
      <c r="AC70" s="226"/>
      <c r="AD70" s="226"/>
      <c r="AE70" s="26"/>
      <c r="AF70" s="188" t="str">
        <f>IF(Actuals!BF69="","",Actuals!BF69)</f>
        <v>Sum</v>
      </c>
      <c r="AG70" s="26" t="str">
        <f t="shared" si="71"/>
        <v>Customer Success Upsell</v>
      </c>
      <c r="AH70" s="197">
        <f t="shared" si="81"/>
        <v>0</v>
      </c>
      <c r="AI70" s="197">
        <f t="shared" si="82"/>
        <v>0</v>
      </c>
      <c r="AJ70" s="197">
        <f t="shared" si="83"/>
        <v>0</v>
      </c>
      <c r="AK70" s="197">
        <f t="shared" si="84"/>
        <v>0</v>
      </c>
      <c r="AL70" s="197">
        <f ca="1">IF(AF70="EoP",OFFSET(S70,0,MONTH('2024 Control'!$C$4)-1),SUM(S70:OFFSET(S70,0,MONTH('2024 Control'!$C$4)-1))/IF(AF70="Sum",1,MONTH('2024 Control'!$C$4)))</f>
        <v>0</v>
      </c>
      <c r="AM70" s="304">
        <f ca="1">IF(AF70="Sum",(SUM(OFFSET(S70,0,MONTH('2024 Control'!$C$4)-12):OFFSET(S70,0,MONTH('2024 Control'!$C$4)-1))),IF(AF70="Average",(SUM(OFFSET(S70,0,MONTH('2024 Control'!$C$4)-12):OFFSET(S70,0,MONTH('2024 Control'!$C$4)-1)))/12,"-"))</f>
        <v>0</v>
      </c>
    </row>
    <row r="71" spans="2:39">
      <c r="B71" s="26" t="s">
        <v>24</v>
      </c>
      <c r="C71" s="26" t="s">
        <v>258</v>
      </c>
      <c r="D71" s="26" t="str">
        <f t="shared" si="70"/>
        <v>Customer Success Price</v>
      </c>
      <c r="E71" s="26" t="s">
        <v>170</v>
      </c>
      <c r="F71" s="186" t="str">
        <f>Actuals!F70</f>
        <v>$</v>
      </c>
      <c r="G71" s="160"/>
      <c r="H71" s="160"/>
      <c r="I71" s="160"/>
      <c r="J71" s="160"/>
      <c r="K71" s="160"/>
      <c r="L71" s="160"/>
      <c r="M71" s="160"/>
      <c r="N71" s="160"/>
      <c r="O71" s="160"/>
      <c r="P71" s="160"/>
      <c r="Q71" s="160"/>
      <c r="R71" s="160"/>
      <c r="S71" s="160"/>
      <c r="T71" s="160"/>
      <c r="U71" s="160"/>
      <c r="V71" s="160"/>
      <c r="W71" s="160"/>
      <c r="X71" s="160"/>
      <c r="Y71" s="160"/>
      <c r="Z71" s="160"/>
      <c r="AA71" s="160"/>
      <c r="AB71" s="160"/>
      <c r="AC71" s="160"/>
      <c r="AD71" s="160"/>
      <c r="AE71" s="26"/>
      <c r="AF71" s="188" t="str">
        <f>IF(Actuals!BF70="","",Actuals!BF70)</f>
        <v>Sum</v>
      </c>
      <c r="AG71" s="26" t="str">
        <f t="shared" si="71"/>
        <v>Customer Success Price</v>
      </c>
      <c r="AH71" s="197">
        <f t="shared" si="81"/>
        <v>0</v>
      </c>
      <c r="AI71" s="197">
        <f t="shared" si="82"/>
        <v>0</v>
      </c>
      <c r="AJ71" s="197">
        <f t="shared" si="83"/>
        <v>0</v>
      </c>
      <c r="AK71" s="197">
        <f t="shared" si="84"/>
        <v>0</v>
      </c>
      <c r="AL71" s="197">
        <f ca="1">IF(AF71="EoP",OFFSET(S71,0,MONTH('2024 Control'!$C$4)-1),SUM(S71:OFFSET(S71,0,MONTH('2024 Control'!$C$4)-1))/IF(AF71="Sum",1,MONTH('2024 Control'!$C$4)))</f>
        <v>0</v>
      </c>
      <c r="AM71" s="304">
        <f ca="1">IF(AF71="Sum",(SUM(OFFSET(S71,0,MONTH('2024 Control'!$C$4)-12):OFFSET(S71,0,MONTH('2024 Control'!$C$4)-1))),IF(AF71="Average",(SUM(OFFSET(S71,0,MONTH('2024 Control'!$C$4)-12):OFFSET(S71,0,MONTH('2024 Control'!$C$4)-1)))/12,"-"))</f>
        <v>0</v>
      </c>
    </row>
    <row r="72" spans="2:39">
      <c r="B72" s="26" t="s">
        <v>24</v>
      </c>
      <c r="C72" s="26" t="s">
        <v>258</v>
      </c>
      <c r="D72" s="26" t="str">
        <f t="shared" si="70"/>
        <v>Customer Success Total Gross Growth</v>
      </c>
      <c r="E72" s="26" t="s">
        <v>171</v>
      </c>
      <c r="F72" s="186" t="str">
        <f>Actuals!F71</f>
        <v>$</v>
      </c>
      <c r="G72" s="227">
        <f>SUM(G69:G71)</f>
        <v>0</v>
      </c>
      <c r="H72" s="227">
        <f t="shared" ref="H72:R72" si="85">SUM(H69:H71)</f>
        <v>0</v>
      </c>
      <c r="I72" s="227">
        <f t="shared" si="85"/>
        <v>288000</v>
      </c>
      <c r="J72" s="227">
        <f t="shared" si="85"/>
        <v>0</v>
      </c>
      <c r="K72" s="227">
        <f t="shared" si="85"/>
        <v>0</v>
      </c>
      <c r="L72" s="227">
        <f t="shared" si="85"/>
        <v>264000</v>
      </c>
      <c r="M72" s="227">
        <f t="shared" si="85"/>
        <v>0</v>
      </c>
      <c r="N72" s="227">
        <f t="shared" si="85"/>
        <v>0</v>
      </c>
      <c r="O72" s="227">
        <f t="shared" si="85"/>
        <v>216000</v>
      </c>
      <c r="P72" s="227">
        <f t="shared" si="85"/>
        <v>0</v>
      </c>
      <c r="Q72" s="227">
        <f t="shared" si="85"/>
        <v>0</v>
      </c>
      <c r="R72" s="227">
        <f t="shared" si="85"/>
        <v>432000</v>
      </c>
      <c r="S72" s="227"/>
      <c r="T72" s="227"/>
      <c r="U72" s="227">
        <f>559000-U40</f>
        <v>239000</v>
      </c>
      <c r="V72" s="227"/>
      <c r="W72" s="227"/>
      <c r="X72" s="227">
        <f>794000-X40</f>
        <v>344000</v>
      </c>
      <c r="Y72" s="227"/>
      <c r="Z72" s="227"/>
      <c r="AA72" s="227">
        <f>794000-AA40</f>
        <v>344000</v>
      </c>
      <c r="AB72" s="227"/>
      <c r="AC72" s="227"/>
      <c r="AD72" s="227">
        <f>1029000-AD40</f>
        <v>449000</v>
      </c>
      <c r="AE72" s="26"/>
      <c r="AF72" s="188" t="str">
        <f>IF(Actuals!BF71="","",Actuals!BF71)</f>
        <v>Sum</v>
      </c>
      <c r="AG72" s="26" t="str">
        <f t="shared" si="71"/>
        <v>Customer Success Total Gross Growth</v>
      </c>
      <c r="AH72" s="197">
        <f t="shared" si="81"/>
        <v>239000</v>
      </c>
      <c r="AI72" s="197">
        <f t="shared" si="82"/>
        <v>344000</v>
      </c>
      <c r="AJ72" s="197">
        <f t="shared" si="83"/>
        <v>344000</v>
      </c>
      <c r="AK72" s="197">
        <f t="shared" si="84"/>
        <v>449000</v>
      </c>
      <c r="AL72" s="197">
        <f ca="1">IF(AF72="EoP",OFFSET(S72,0,MONTH('2024 Control'!$C$4)-1),SUM(S72:OFFSET(S72,0,MONTH('2024 Control'!$C$4)-1))/IF(AF72="Sum",1,MONTH('2024 Control'!$C$4)))</f>
        <v>1376000</v>
      </c>
      <c r="AM72" s="304">
        <f ca="1">IF(AF72="Sum",(SUM(OFFSET(S72,0,MONTH('2024 Control'!$C$4)-12):OFFSET(S72,0,MONTH('2024 Control'!$C$4)-1))),IF(AF72="Average",(SUM(OFFSET(S72,0,MONTH('2024 Control'!$C$4)-12):OFFSET(S72,0,MONTH('2024 Control'!$C$4)-1)))/12,"-"))</f>
        <v>1376000</v>
      </c>
    </row>
    <row r="73" spans="2:39">
      <c r="B73" s="26" t="s">
        <v>24</v>
      </c>
      <c r="C73" s="26" t="s">
        <v>258</v>
      </c>
      <c r="D73" s="26" t="str">
        <f t="shared" si="70"/>
        <v>Customer Success (-) Churn</v>
      </c>
      <c r="E73" s="26" t="s">
        <v>172</v>
      </c>
      <c r="F73" s="186" t="str">
        <f>Actuals!F72</f>
        <v>$</v>
      </c>
      <c r="G73" s="226">
        <f>-3726*12</f>
        <v>-44712</v>
      </c>
      <c r="H73" s="226">
        <f>-3726*12</f>
        <v>-44712</v>
      </c>
      <c r="I73" s="226">
        <f>-3700*12</f>
        <v>-44400</v>
      </c>
      <c r="J73" s="226">
        <f>-3675*12</f>
        <v>-44100</v>
      </c>
      <c r="K73" s="226">
        <f>-3649*12</f>
        <v>-43788</v>
      </c>
      <c r="L73" s="226">
        <f>-3624*12</f>
        <v>-43488</v>
      </c>
      <c r="M73" s="226">
        <f>-3599*12</f>
        <v>-43188</v>
      </c>
      <c r="N73" s="226">
        <f>-3574*12</f>
        <v>-42888</v>
      </c>
      <c r="O73" s="226">
        <f>-3549*12</f>
        <v>-42588</v>
      </c>
      <c r="P73" s="226">
        <f>-3524*12</f>
        <v>-42288</v>
      </c>
      <c r="Q73" s="226">
        <f>-3500*12</f>
        <v>-42000</v>
      </c>
      <c r="R73" s="226">
        <f>-3475*12</f>
        <v>-41700</v>
      </c>
      <c r="S73" s="226">
        <f>-5785*12</f>
        <v>-69420</v>
      </c>
      <c r="T73" s="226">
        <f>-5785*12</f>
        <v>-69420</v>
      </c>
      <c r="U73" s="226">
        <f>-5734*12</f>
        <v>-68808</v>
      </c>
      <c r="V73" s="226">
        <f>-5682*12</f>
        <v>-68184</v>
      </c>
      <c r="W73" s="226">
        <f>-5631*12</f>
        <v>-67572</v>
      </c>
      <c r="X73" s="226">
        <f>-5580*12</f>
        <v>-66960</v>
      </c>
      <c r="Y73" s="226">
        <f>-5530*12</f>
        <v>-66360</v>
      </c>
      <c r="Z73" s="226">
        <f>-5481*12</f>
        <v>-65772</v>
      </c>
      <c r="AA73" s="226">
        <f>-5431*12</f>
        <v>-65172</v>
      </c>
      <c r="AB73" s="226">
        <f>-5383*12</f>
        <v>-64596</v>
      </c>
      <c r="AC73" s="226">
        <f>-5334*12</f>
        <v>-64008</v>
      </c>
      <c r="AD73" s="226">
        <f>-5286*12</f>
        <v>-63432</v>
      </c>
      <c r="AE73" s="26"/>
      <c r="AF73" s="188" t="str">
        <f>IF(Actuals!BF72="","",Actuals!BF72)</f>
        <v>Sum</v>
      </c>
      <c r="AG73" s="26" t="str">
        <f t="shared" si="71"/>
        <v>Customer Success (-) Churn</v>
      </c>
      <c r="AH73" s="197">
        <f t="shared" si="81"/>
        <v>-207648</v>
      </c>
      <c r="AI73" s="197">
        <f t="shared" si="82"/>
        <v>-202716</v>
      </c>
      <c r="AJ73" s="197">
        <f t="shared" si="83"/>
        <v>-199092</v>
      </c>
      <c r="AK73" s="197">
        <f t="shared" si="84"/>
        <v>-192036</v>
      </c>
      <c r="AL73" s="197">
        <f ca="1">IF(AF73="EoP",OFFSET(S73,0,MONTH('2024 Control'!$C$4)-1),SUM(S73:OFFSET(S73,0,MONTH('2024 Control'!$C$4)-1))/IF(AF73="Sum",1,MONTH('2024 Control'!$C$4)))</f>
        <v>-799704</v>
      </c>
      <c r="AM73" s="304">
        <f ca="1">IF(AF73="Sum",(SUM(OFFSET(S73,0,MONTH('2024 Control'!$C$4)-12):OFFSET(S73,0,MONTH('2024 Control'!$C$4)-1))),IF(AF73="Average",(SUM(OFFSET(S73,0,MONTH('2024 Control'!$C$4)-12):OFFSET(S73,0,MONTH('2024 Control'!$C$4)-1)))/12,"-"))</f>
        <v>-799704</v>
      </c>
    </row>
    <row r="74" spans="2:39">
      <c r="B74" s="26" t="s">
        <v>24</v>
      </c>
      <c r="C74" s="26" t="s">
        <v>258</v>
      </c>
      <c r="D74" s="26" t="str">
        <f t="shared" si="70"/>
        <v>Customer Success Total Net Growth</v>
      </c>
      <c r="E74" s="26" t="s">
        <v>173</v>
      </c>
      <c r="F74" s="186" t="str">
        <f>Actuals!F73</f>
        <v>$</v>
      </c>
      <c r="G74" s="227">
        <f>SUM(G72:G73)</f>
        <v>-44712</v>
      </c>
      <c r="H74" s="227">
        <f t="shared" ref="H74:R74" si="86">SUM(H72:H73)</f>
        <v>-44712</v>
      </c>
      <c r="I74" s="227">
        <f t="shared" si="86"/>
        <v>243600</v>
      </c>
      <c r="J74" s="227">
        <f t="shared" si="86"/>
        <v>-44100</v>
      </c>
      <c r="K74" s="227">
        <f t="shared" si="86"/>
        <v>-43788</v>
      </c>
      <c r="L74" s="227">
        <f t="shared" si="86"/>
        <v>220512</v>
      </c>
      <c r="M74" s="227">
        <f t="shared" si="86"/>
        <v>-43188</v>
      </c>
      <c r="N74" s="227">
        <f t="shared" si="86"/>
        <v>-42888</v>
      </c>
      <c r="O74" s="227">
        <f t="shared" si="86"/>
        <v>173412</v>
      </c>
      <c r="P74" s="227">
        <f t="shared" si="86"/>
        <v>-42288</v>
      </c>
      <c r="Q74" s="227">
        <f t="shared" si="86"/>
        <v>-42000</v>
      </c>
      <c r="R74" s="227">
        <f t="shared" si="86"/>
        <v>390300</v>
      </c>
      <c r="S74" s="345">
        <f>S72+S73</f>
        <v>-69420</v>
      </c>
      <c r="T74" s="345">
        <f t="shared" ref="T74:AD74" si="87">T72+T73</f>
        <v>-69420</v>
      </c>
      <c r="U74" s="345">
        <f t="shared" si="87"/>
        <v>170192</v>
      </c>
      <c r="V74" s="345">
        <f t="shared" si="87"/>
        <v>-68184</v>
      </c>
      <c r="W74" s="345">
        <f t="shared" si="87"/>
        <v>-67572</v>
      </c>
      <c r="X74" s="345">
        <f t="shared" si="87"/>
        <v>277040</v>
      </c>
      <c r="Y74" s="345">
        <f t="shared" si="87"/>
        <v>-66360</v>
      </c>
      <c r="Z74" s="345">
        <f t="shared" si="87"/>
        <v>-65772</v>
      </c>
      <c r="AA74" s="345">
        <f t="shared" si="87"/>
        <v>278828</v>
      </c>
      <c r="AB74" s="345">
        <f t="shared" si="87"/>
        <v>-64596</v>
      </c>
      <c r="AC74" s="345">
        <f t="shared" si="87"/>
        <v>-64008</v>
      </c>
      <c r="AD74" s="345">
        <f t="shared" si="87"/>
        <v>385568</v>
      </c>
      <c r="AE74" s="26"/>
      <c r="AF74" s="188" t="str">
        <f>IF(Actuals!BF73="","",Actuals!BF73)</f>
        <v>Sum</v>
      </c>
      <c r="AG74" s="26" t="str">
        <f t="shared" si="71"/>
        <v>Customer Success Total Net Growth</v>
      </c>
      <c r="AH74" s="197">
        <f t="shared" si="81"/>
        <v>31352</v>
      </c>
      <c r="AI74" s="197">
        <f t="shared" si="82"/>
        <v>141284</v>
      </c>
      <c r="AJ74" s="197">
        <f t="shared" si="83"/>
        <v>144908</v>
      </c>
      <c r="AK74" s="197">
        <f t="shared" si="84"/>
        <v>256964</v>
      </c>
      <c r="AL74" s="197">
        <f ca="1">IF(AF74="EoP",OFFSET(S74,0,MONTH('2024 Control'!$C$4)-1),SUM(S74:OFFSET(S74,0,MONTH('2024 Control'!$C$4)-1))/IF(AF74="Sum",1,MONTH('2024 Control'!$C$4)))</f>
        <v>576296</v>
      </c>
      <c r="AM74" s="304">
        <f ca="1">IF(AF74="Sum",(SUM(OFFSET(S74,0,MONTH('2024 Control'!$C$4)-12):OFFSET(S74,0,MONTH('2024 Control'!$C$4)-1))),IF(AF74="Average",(SUM(OFFSET(S74,0,MONTH('2024 Control'!$C$4)-12):OFFSET(S74,0,MONTH('2024 Control'!$C$4)-1)))/12,"-"))</f>
        <v>576296</v>
      </c>
    </row>
    <row r="75" spans="2:39">
      <c r="B75" s="26" t="s">
        <v>24</v>
      </c>
      <c r="C75" s="26" t="s">
        <v>258</v>
      </c>
      <c r="D75" s="26" t="str">
        <f t="shared" si="70"/>
        <v xml:space="preserve">Customer Success Gross Growth % </v>
      </c>
      <c r="E75" s="26" t="s">
        <v>174</v>
      </c>
      <c r="F75" s="186" t="str">
        <f>Actuals!F74</f>
        <v>$</v>
      </c>
      <c r="G75" s="259">
        <f>G72/6613040</f>
        <v>0</v>
      </c>
      <c r="H75" s="259">
        <f t="shared" ref="H75:R76" si="88">H72/6613040</f>
        <v>0</v>
      </c>
      <c r="I75" s="259">
        <f t="shared" si="88"/>
        <v>4.3550318764138729E-2</v>
      </c>
      <c r="J75" s="259">
        <f t="shared" si="88"/>
        <v>0</v>
      </c>
      <c r="K75" s="259">
        <f t="shared" si="88"/>
        <v>0</v>
      </c>
      <c r="L75" s="259">
        <f t="shared" si="88"/>
        <v>3.9921125533793837E-2</v>
      </c>
      <c r="M75" s="259">
        <f t="shared" si="88"/>
        <v>0</v>
      </c>
      <c r="N75" s="259">
        <f t="shared" si="88"/>
        <v>0</v>
      </c>
      <c r="O75" s="259">
        <f t="shared" si="88"/>
        <v>3.2662739073104047E-2</v>
      </c>
      <c r="P75" s="259">
        <f t="shared" si="88"/>
        <v>0</v>
      </c>
      <c r="Q75" s="259">
        <f t="shared" si="88"/>
        <v>0</v>
      </c>
      <c r="R75" s="259">
        <f t="shared" si="88"/>
        <v>6.5325478146208094E-2</v>
      </c>
      <c r="S75" s="344">
        <f>S72/'2024 Control'!$C$5</f>
        <v>0</v>
      </c>
      <c r="T75" s="344">
        <f>T72/'2024 Control'!$C$5</f>
        <v>0</v>
      </c>
      <c r="U75" s="344">
        <f>U72/'2024 Control'!$C$5</f>
        <v>2.9152164786087759E-2</v>
      </c>
      <c r="V75" s="344">
        <f>V72/'2024 Control'!$C$5</f>
        <v>0</v>
      </c>
      <c r="W75" s="344">
        <f>W72/'2024 Control'!$C$5</f>
        <v>0</v>
      </c>
      <c r="X75" s="344">
        <f>X72/'2024 Control'!$C$5</f>
        <v>4.1959601198385724E-2</v>
      </c>
      <c r="Y75" s="344">
        <f>Y72/'2024 Control'!$C$5</f>
        <v>0</v>
      </c>
      <c r="Z75" s="344">
        <f>Z72/'2024 Control'!$C$5</f>
        <v>0</v>
      </c>
      <c r="AA75" s="344">
        <f>AA72/'2024 Control'!$C$5</f>
        <v>4.1959601198385724E-2</v>
      </c>
      <c r="AB75" s="344">
        <f>AB72/'2024 Control'!$C$5</f>
        <v>0</v>
      </c>
      <c r="AC75" s="344">
        <f>AC72/'2024 Control'!$C$5</f>
        <v>0</v>
      </c>
      <c r="AD75" s="344">
        <f>AD72/'2024 Control'!$C$5</f>
        <v>5.4767037610683696E-2</v>
      </c>
      <c r="AE75" s="26"/>
      <c r="AF75" s="188" t="str">
        <f>IF(Actuals!BF74="","",Actuals!BF74)</f>
        <v>Average</v>
      </c>
      <c r="AG75" s="26" t="str">
        <f t="shared" si="71"/>
        <v xml:space="preserve">Customer Success Gross Growth % </v>
      </c>
      <c r="AH75" s="214">
        <f>IF($AF75="Sum",SUM(S75:U75),IF($AF75="Average",IFERROR(AVERAGE(S75:U75),"-"),IF($AF75="EoP",IV75,"ERROR")))</f>
        <v>9.7173882620292529E-3</v>
      </c>
      <c r="AI75" s="214">
        <f>IF($AF75="Sum",SUM(V75:X75),IF($AF75="Average",IFERROR(AVERAGE(V75:X75),"-"),IF($AF75="EoP",U75,"ERROR")))</f>
        <v>1.3986533732795242E-2</v>
      </c>
      <c r="AJ75" s="214">
        <f>IF($AF75="Sum",SUM(X75:Z75),IF($AF75="Average",IFERROR(AVERAGE(X75:Z75),"-"),IF($AF75="EoP",Z75,"ERROR")))</f>
        <v>1.3986533732795242E-2</v>
      </c>
      <c r="AK75" s="214">
        <f>IF($AF75="Sum",SUM(AB75:AD75),IF($AF75="Average",IFERROR(AVERAGE(AB75:AD75),"-"),IF($AF75="EoP",AD75,"ERROR")))</f>
        <v>1.8255679203561231E-2</v>
      </c>
      <c r="AL75" s="194">
        <f ca="1">IF(AF75="EoP",OFFSET(S75,0,MONTH('2024 Control'!$C$4)-1),SUM(S75:OFFSET(S75,0,MONTH('2024 Control'!$C$4)-1))/IF(AF75="Sum",1,MONTH('2024 Control'!$C$4)))</f>
        <v>1.3986533732795242E-2</v>
      </c>
      <c r="AM75" s="304">
        <f ca="1">IF(AF75="Sum",(SUM(OFFSET(S75,0,MONTH('2024 Control'!$C$4)-12):OFFSET(S75,0,MONTH('2024 Control'!$C$4)-1))),IF(AF75="Average",(SUM(OFFSET(S75,0,MONTH('2024 Control'!$C$4)-12):OFFSET(S75,0,MONTH('2024 Control'!$C$4)-1)))/12,"-"))</f>
        <v>1.3986533732795242E-2</v>
      </c>
    </row>
    <row r="76" spans="2:39">
      <c r="B76" s="26" t="s">
        <v>24</v>
      </c>
      <c r="C76" s="26" t="s">
        <v>258</v>
      </c>
      <c r="D76" s="26" t="str">
        <f t="shared" si="70"/>
        <v xml:space="preserve">Customer Success Churn % </v>
      </c>
      <c r="E76" s="26" t="s">
        <v>175</v>
      </c>
      <c r="F76" s="186" t="str">
        <f>Actuals!F75</f>
        <v>$</v>
      </c>
      <c r="G76" s="259">
        <f>G73/6613040</f>
        <v>-6.7611869881325382E-3</v>
      </c>
      <c r="H76" s="259">
        <f t="shared" si="88"/>
        <v>-6.7611869881325382E-3</v>
      </c>
      <c r="I76" s="259">
        <f t="shared" si="88"/>
        <v>-6.7140074761380545E-3</v>
      </c>
      <c r="J76" s="259">
        <f t="shared" si="88"/>
        <v>-6.6686425607587431E-3</v>
      </c>
      <c r="K76" s="259">
        <f t="shared" si="88"/>
        <v>-6.6214630487642593E-3</v>
      </c>
      <c r="L76" s="259">
        <f t="shared" si="88"/>
        <v>-6.5760981333849488E-3</v>
      </c>
      <c r="M76" s="259">
        <f t="shared" si="88"/>
        <v>-6.5307332180056374E-3</v>
      </c>
      <c r="N76" s="259">
        <f t="shared" si="88"/>
        <v>-6.4853683026263259E-3</v>
      </c>
      <c r="O76" s="259">
        <f t="shared" si="88"/>
        <v>-6.4400033872470154E-3</v>
      </c>
      <c r="P76" s="259">
        <f t="shared" si="88"/>
        <v>-6.394638471867704E-3</v>
      </c>
      <c r="Q76" s="259">
        <f t="shared" si="88"/>
        <v>-6.3510881531035649E-3</v>
      </c>
      <c r="R76" s="259">
        <f t="shared" si="88"/>
        <v>-6.3057232377242535E-3</v>
      </c>
      <c r="S76" s="344">
        <f>S73/'2024 Control'!$C$5</f>
        <v>-8.4675451023021424E-3</v>
      </c>
      <c r="T76" s="344">
        <f>T73/'2024 Control'!$C$5</f>
        <v>-8.4675451023021424E-3</v>
      </c>
      <c r="U76" s="344">
        <f>U73/'2024 Control'!$C$5</f>
        <v>-8.3928960443561771E-3</v>
      </c>
      <c r="V76" s="344">
        <f>V73/'2024 Control'!$C$5</f>
        <v>-8.3167832793916638E-3</v>
      </c>
      <c r="W76" s="344">
        <f>W73/'2024 Control'!$C$5</f>
        <v>-8.2421342214456985E-3</v>
      </c>
      <c r="X76" s="344">
        <f>X73/'2024 Control'!$C$5</f>
        <v>-8.1674851634997332E-3</v>
      </c>
      <c r="Y76" s="344">
        <f>Y73/'2024 Control'!$C$5</f>
        <v>-8.094299812572316E-3</v>
      </c>
      <c r="Z76" s="344">
        <f>Z73/'2024 Control'!$C$5</f>
        <v>-8.0225781686634485E-3</v>
      </c>
      <c r="AA76" s="344">
        <f>AA73/'2024 Control'!$C$5</f>
        <v>-7.9493928177360312E-3</v>
      </c>
      <c r="AB76" s="344">
        <f>AB73/'2024 Control'!$C$5</f>
        <v>-7.8791348808457101E-3</v>
      </c>
      <c r="AC76" s="344">
        <f>AC73/'2024 Control'!$C$5</f>
        <v>-7.8074132369368417E-3</v>
      </c>
      <c r="AD76" s="344">
        <f>AD73/'2024 Control'!$C$5</f>
        <v>-7.7371553000465214E-3</v>
      </c>
      <c r="AE76" s="26"/>
      <c r="AF76" s="188" t="str">
        <f>IF(Actuals!BF75="","",Actuals!BF75)</f>
        <v>Average</v>
      </c>
      <c r="AG76" s="26" t="str">
        <f t="shared" si="71"/>
        <v xml:space="preserve">Customer Success Churn % </v>
      </c>
      <c r="AH76" s="214">
        <f>IF($AF76="Sum",SUM(S76:U76),IF($AF76="Average",IFERROR(AVERAGE(S76:U76),"-"),IF($AF76="EoP",IV76,"ERROR")))</f>
        <v>-8.4426620829868206E-3</v>
      </c>
      <c r="AI76" s="214">
        <f>IF($AF76="Sum",SUM(V76:X76),IF($AF76="Average",IFERROR(AVERAGE(V76:X76),"-"),IF($AF76="EoP",U76,"ERROR")))</f>
        <v>-8.2421342214456985E-3</v>
      </c>
      <c r="AJ76" s="214">
        <f>IF($AF76="Sum",SUM(X76:Z76),IF($AF76="Average",IFERROR(AVERAGE(X76:Z76),"-"),IF($AF76="EoP",Z76,"ERROR")))</f>
        <v>-8.094787714911832E-3</v>
      </c>
      <c r="AK76" s="214">
        <f>IF($AF76="Sum",SUM(AB76:AD76),IF($AF76="Average",IFERROR(AVERAGE(AB76:AD76),"-"),IF($AF76="EoP",AD76,"ERROR")))</f>
        <v>-7.8079011392763577E-3</v>
      </c>
      <c r="AL76" s="194">
        <f ca="1">IF(AF76="EoP",OFFSET(S76,0,MONTH('2024 Control'!$C$4)-1),SUM(S76:OFFSET(S76,0,MONTH('2024 Control'!$C$4)-1))/IF(AF76="Sum",1,MONTH('2024 Control'!$C$4)))</f>
        <v>-8.1286969275082017E-3</v>
      </c>
      <c r="AM76" s="304">
        <f ca="1">IF(AF76="Sum",(SUM(OFFSET(S76,0,MONTH('2024 Control'!$C$4)-12):OFFSET(S76,0,MONTH('2024 Control'!$C$4)-1))),IF(AF76="Average",(SUM(OFFSET(S76,0,MONTH('2024 Control'!$C$4)-12):OFFSET(S76,0,MONTH('2024 Control'!$C$4)-1)))/12,"-"))</f>
        <v>-8.1286969275082017E-3</v>
      </c>
    </row>
    <row r="77" spans="2:39">
      <c r="B77" s="26" t="s">
        <v>24</v>
      </c>
      <c r="C77" s="26" t="s">
        <v>258</v>
      </c>
      <c r="D77" s="26" t="str">
        <f t="shared" si="70"/>
        <v>Customer Success NRR %</v>
      </c>
      <c r="E77" s="26" t="s">
        <v>176</v>
      </c>
      <c r="F77" s="186" t="str">
        <f>Actuals!F76</f>
        <v>$</v>
      </c>
      <c r="G77" s="209">
        <f>(6613040+G74)/6613040</f>
        <v>0.99323881301186745</v>
      </c>
      <c r="H77" s="209">
        <f t="shared" ref="H77:R77" si="89">(6613040+H74)/6613040</f>
        <v>0.99323881301186745</v>
      </c>
      <c r="I77" s="209">
        <f t="shared" si="89"/>
        <v>1.0368363112880006</v>
      </c>
      <c r="J77" s="209">
        <f t="shared" si="89"/>
        <v>0.99333135743924128</v>
      </c>
      <c r="K77" s="209">
        <f t="shared" si="89"/>
        <v>0.99337853695123579</v>
      </c>
      <c r="L77" s="209">
        <f t="shared" si="89"/>
        <v>1.0333450274004088</v>
      </c>
      <c r="M77" s="209">
        <f t="shared" si="89"/>
        <v>0.99346926678199432</v>
      </c>
      <c r="N77" s="209">
        <f t="shared" si="89"/>
        <v>0.99351463169737364</v>
      </c>
      <c r="O77" s="209">
        <f t="shared" si="89"/>
        <v>1.0262227356858571</v>
      </c>
      <c r="P77" s="209">
        <f t="shared" si="89"/>
        <v>0.99360536152813228</v>
      </c>
      <c r="Q77" s="209">
        <f t="shared" si="89"/>
        <v>0.99364891184689641</v>
      </c>
      <c r="R77" s="209">
        <f t="shared" si="89"/>
        <v>1.0590197549084839</v>
      </c>
      <c r="S77" s="248">
        <f>S74/'2024 Control'!$C$5+1</f>
        <v>0.99153245489769781</v>
      </c>
      <c r="T77" s="248">
        <f>T74/'2024 Control'!$C$5+1</f>
        <v>0.99153245489769781</v>
      </c>
      <c r="U77" s="248">
        <f>U74/'2024 Control'!$C$5+1</f>
        <v>1.0207592687417315</v>
      </c>
      <c r="V77" s="248">
        <f>V74/'2024 Control'!$C$5+1</f>
        <v>0.99168321672060833</v>
      </c>
      <c r="W77" s="248">
        <f>W74/'2024 Control'!$C$5+1</f>
        <v>0.99175786577855429</v>
      </c>
      <c r="X77" s="248">
        <f>X74/'2024 Control'!$C$5+1</f>
        <v>1.033792116034886</v>
      </c>
      <c r="Y77" s="248">
        <f>Y74/'2024 Control'!$C$5+1</f>
        <v>0.99190570018742763</v>
      </c>
      <c r="Z77" s="248">
        <f>Z74/'2024 Control'!$C$5+1</f>
        <v>0.99197742183133653</v>
      </c>
      <c r="AA77" s="248">
        <f>AA74/'2024 Control'!$C$5+1</f>
        <v>1.0340102083806497</v>
      </c>
      <c r="AB77" s="248">
        <f>AB74/'2024 Control'!$C$5+1</f>
        <v>0.99212086511915432</v>
      </c>
      <c r="AC77" s="248">
        <f>AC74/'2024 Control'!$C$5+1</f>
        <v>0.99219258676306321</v>
      </c>
      <c r="AD77" s="248">
        <f>AD74/'2024 Control'!$C$5+1</f>
        <v>1.0470298823106372</v>
      </c>
      <c r="AE77" s="26"/>
      <c r="AF77" s="188" t="str">
        <f>IF(Actuals!BF76="","",Actuals!BF76)</f>
        <v>Average</v>
      </c>
      <c r="AG77" s="26" t="str">
        <f t="shared" si="71"/>
        <v>Customer Success NRR %</v>
      </c>
      <c r="AH77" s="194">
        <f t="shared" ref="AH77:AH89" si="90">IF($AF77="Sum",SUM(S77:U77),IF($AF77="Average",AVERAGE(S77:U77),IF($AF77="EoP",IV77,"ERROR")))</f>
        <v>1.0012747261790425</v>
      </c>
      <c r="AI77" s="194">
        <f t="shared" ref="AI77:AI89" si="91">IF($AF77="Sum",SUM(V77:X77),IF($AF77="Average",AVERAGE(V77:X77),IF($AF77="EoP",U77,"ERROR")))</f>
        <v>1.0057443995113495</v>
      </c>
      <c r="AJ77" s="194">
        <f t="shared" ref="AJ77:AJ89" si="92">IF($AF77="Sum",SUM(X77:Z77),IF($AF77="Average",AVERAGE(X77:Z77),IF($AF77="EoP",Z77,"ERROR")))</f>
        <v>1.0058917460178833</v>
      </c>
      <c r="AK77" s="194">
        <f t="shared" ref="AK77:AK89" si="93">IF($AF77="Sum",SUM(AB77:AD77),IF($AF77="Average",AVERAGE(AB77:AD77),IF($AF77="EoP",AD77,"ERROR")))</f>
        <v>1.0104477780642849</v>
      </c>
      <c r="AL77" s="194">
        <f ca="1">IF(AF77="EoP",OFFSET(S77,0,MONTH('2024 Control'!$C$4)-1),SUM(S77:OFFSET(S77,0,MONTH('2024 Control'!$C$4)-1))/IF(AF77="Sum",1,MONTH('2024 Control'!$C$4)))</f>
        <v>1.0058578368052868</v>
      </c>
      <c r="AM77" s="304">
        <f ca="1">IF(AF77="Sum",(SUM(OFFSET(S77,0,MONTH('2024 Control'!$C$4)-12):OFFSET(S77,0,MONTH('2024 Control'!$C$4)-1))),IF(AF77="Average",(SUM(OFFSET(S77,0,MONTH('2024 Control'!$C$4)-12):OFFSET(S77,0,MONTH('2024 Control'!$C$4)-1)))/12,"-"))</f>
        <v>1.0058578368052868</v>
      </c>
    </row>
    <row r="78" spans="2:39">
      <c r="B78" s="26" t="s">
        <v>24</v>
      </c>
      <c r="C78" s="26" t="s">
        <v>177</v>
      </c>
      <c r="D78" s="26" t="str">
        <f t="shared" si="70"/>
        <v>Customer Success # of Clients</v>
      </c>
      <c r="E78" s="26" t="s">
        <v>178</v>
      </c>
      <c r="F78" s="186" t="str">
        <f>Actuals!F77</f>
        <v>#</v>
      </c>
      <c r="G78" s="160">
        <v>64</v>
      </c>
      <c r="H78" s="160">
        <v>64</v>
      </c>
      <c r="I78" s="160">
        <f>64+5-1</f>
        <v>68</v>
      </c>
      <c r="J78" s="160">
        <v>68</v>
      </c>
      <c r="K78" s="160">
        <f>68-1</f>
        <v>67</v>
      </c>
      <c r="L78" s="160">
        <f>68+4</f>
        <v>72</v>
      </c>
      <c r="M78" s="160">
        <v>72</v>
      </c>
      <c r="N78" s="160">
        <v>72</v>
      </c>
      <c r="O78" s="160">
        <v>76</v>
      </c>
      <c r="P78" s="160">
        <v>76</v>
      </c>
      <c r="Q78" s="160">
        <v>76</v>
      </c>
      <c r="R78" s="160">
        <f>76+7-2</f>
        <v>81</v>
      </c>
      <c r="S78" s="160"/>
      <c r="T78" s="160"/>
      <c r="U78" s="160"/>
      <c r="V78" s="160"/>
      <c r="W78" s="160"/>
      <c r="X78" s="160"/>
      <c r="Y78" s="160"/>
      <c r="Z78" s="160"/>
      <c r="AA78" s="160"/>
      <c r="AB78" s="160"/>
      <c r="AC78" s="160"/>
      <c r="AD78" s="160"/>
      <c r="AE78" s="26"/>
      <c r="AF78" s="188" t="str">
        <f>IF(Actuals!BF77="","",Actuals!BF77)</f>
        <v>EoP</v>
      </c>
      <c r="AG78" s="26" t="str">
        <f t="shared" si="71"/>
        <v>Customer Success # of Clients</v>
      </c>
      <c r="AH78" s="195">
        <f t="shared" si="90"/>
        <v>0</v>
      </c>
      <c r="AI78" s="195">
        <f t="shared" si="91"/>
        <v>0</v>
      </c>
      <c r="AJ78" s="195">
        <f t="shared" si="92"/>
        <v>0</v>
      </c>
      <c r="AK78" s="195">
        <f t="shared" si="93"/>
        <v>0</v>
      </c>
      <c r="AL78" s="195">
        <f ca="1">IF(AF78="EoP",OFFSET(S78,0,MONTH('2024 Control'!$C$4)-1),SUM(S78:OFFSET(S78,0,MONTH('2024 Control'!$C$4)-1))/IF(AF78="Sum",1,MONTH('2024 Control'!$C$4)))</f>
        <v>0</v>
      </c>
      <c r="AM78" s="304" t="str">
        <f ca="1">IF(AF78="Sum",(SUM(OFFSET(S78,0,MONTH('2024 Control'!$C$4)-12):OFFSET(S78,0,MONTH('2024 Control'!$C$4)-1))),IF(AF78="Average",(SUM(OFFSET(S78,0,MONTH('2024 Control'!$C$4)-12):OFFSET(S78,0,MONTH('2024 Control'!$C$4)-1)))/12,"-"))</f>
        <v>-</v>
      </c>
    </row>
    <row r="79" spans="2:39">
      <c r="B79" s="26" t="s">
        <v>24</v>
      </c>
      <c r="C79" s="26" t="s">
        <v>177</v>
      </c>
      <c r="D79" s="26" t="str">
        <f t="shared" si="70"/>
        <v>Customer Success Reference Clients</v>
      </c>
      <c r="E79" s="26" t="s">
        <v>179</v>
      </c>
      <c r="F79" s="186" t="str">
        <f>Actuals!F78</f>
        <v>#</v>
      </c>
      <c r="G79" s="160">
        <v>33</v>
      </c>
      <c r="H79" s="160">
        <v>34</v>
      </c>
      <c r="I79" s="160">
        <v>35</v>
      </c>
      <c r="J79" s="160">
        <v>36</v>
      </c>
      <c r="K79" s="160">
        <v>37</v>
      </c>
      <c r="L79" s="160">
        <v>38</v>
      </c>
      <c r="M79" s="160">
        <v>39</v>
      </c>
      <c r="N79" s="160">
        <v>40</v>
      </c>
      <c r="O79" s="160">
        <v>41</v>
      </c>
      <c r="P79" s="160">
        <v>42</v>
      </c>
      <c r="Q79" s="160">
        <v>43</v>
      </c>
      <c r="R79" s="160">
        <v>44</v>
      </c>
      <c r="S79" s="160"/>
      <c r="T79" s="160"/>
      <c r="U79" s="160"/>
      <c r="V79" s="160"/>
      <c r="W79" s="160"/>
      <c r="X79" s="160"/>
      <c r="Y79" s="160"/>
      <c r="Z79" s="160"/>
      <c r="AA79" s="160"/>
      <c r="AB79" s="160"/>
      <c r="AC79" s="160"/>
      <c r="AD79" s="160"/>
      <c r="AE79" s="26"/>
      <c r="AF79" s="188" t="str">
        <f>IF(Actuals!BF78="","",Actuals!BF78)</f>
        <v>EoP</v>
      </c>
      <c r="AG79" s="26" t="str">
        <f t="shared" si="71"/>
        <v>Customer Success Reference Clients</v>
      </c>
      <c r="AH79" s="195">
        <f t="shared" si="90"/>
        <v>0</v>
      </c>
      <c r="AI79" s="195">
        <f t="shared" si="91"/>
        <v>0</v>
      </c>
      <c r="AJ79" s="195">
        <f t="shared" si="92"/>
        <v>0</v>
      </c>
      <c r="AK79" s="195">
        <f t="shared" si="93"/>
        <v>0</v>
      </c>
      <c r="AL79" s="195">
        <f ca="1">IF(AF79="EoP",OFFSET(S79,0,MONTH('2024 Control'!$C$4)-1),SUM(S79:OFFSET(S79,0,MONTH('2024 Control'!$C$4)-1))/IF(AF79="Sum",1,MONTH('2024 Control'!$C$4)))</f>
        <v>0</v>
      </c>
      <c r="AM79" s="304" t="str">
        <f ca="1">IF(AF79="Sum",(SUM(OFFSET(S79,0,MONTH('2024 Control'!$C$4)-12):OFFSET(S79,0,MONTH('2024 Control'!$C$4)-1))),IF(AF79="Average",(SUM(OFFSET(S79,0,MONTH('2024 Control'!$C$4)-12):OFFSET(S79,0,MONTH('2024 Control'!$C$4)-1)))/12,"-"))</f>
        <v>-</v>
      </c>
    </row>
    <row r="80" spans="2:39">
      <c r="B80" s="26" t="s">
        <v>24</v>
      </c>
      <c r="C80" s="26" t="s">
        <v>177</v>
      </c>
      <c r="D80" s="26" t="str">
        <f t="shared" si="70"/>
        <v>Customer Success Churned Clients</v>
      </c>
      <c r="E80" s="26" t="s">
        <v>180</v>
      </c>
      <c r="F80" s="186" t="str">
        <f>Actuals!F79</f>
        <v>#</v>
      </c>
      <c r="G80" s="160">
        <v>1</v>
      </c>
      <c r="H80" s="160">
        <v>0</v>
      </c>
      <c r="I80" s="160">
        <v>1</v>
      </c>
      <c r="J80" s="160">
        <v>0</v>
      </c>
      <c r="K80" s="160">
        <v>1</v>
      </c>
      <c r="L80" s="160">
        <v>0</v>
      </c>
      <c r="M80" s="160">
        <v>0</v>
      </c>
      <c r="N80" s="160">
        <v>0</v>
      </c>
      <c r="O80" s="160">
        <v>0</v>
      </c>
      <c r="P80" s="160">
        <v>0</v>
      </c>
      <c r="Q80" s="160">
        <v>0</v>
      </c>
      <c r="R80" s="160">
        <v>2</v>
      </c>
      <c r="S80" s="160"/>
      <c r="T80" s="160"/>
      <c r="U80" s="160"/>
      <c r="V80" s="160"/>
      <c r="W80" s="160"/>
      <c r="X80" s="160"/>
      <c r="Y80" s="160"/>
      <c r="Z80" s="160"/>
      <c r="AA80" s="160"/>
      <c r="AB80" s="160"/>
      <c r="AC80" s="160"/>
      <c r="AD80" s="160"/>
      <c r="AE80" s="26"/>
      <c r="AF80" s="188" t="str">
        <f>IF(Actuals!BF79="","",Actuals!BF79)</f>
        <v>Sum</v>
      </c>
      <c r="AG80" s="26" t="str">
        <f t="shared" si="71"/>
        <v>Customer Success Churned Clients</v>
      </c>
      <c r="AH80" s="195">
        <f t="shared" si="90"/>
        <v>0</v>
      </c>
      <c r="AI80" s="195">
        <f t="shared" si="91"/>
        <v>0</v>
      </c>
      <c r="AJ80" s="195">
        <f t="shared" si="92"/>
        <v>0</v>
      </c>
      <c r="AK80" s="195">
        <f t="shared" si="93"/>
        <v>0</v>
      </c>
      <c r="AL80" s="195">
        <f ca="1">IF(AF80="EoP",OFFSET(S80,0,MONTH('2024 Control'!$C$4)-1),SUM(S80:OFFSET(S80,0,MONTH('2024 Control'!$C$4)-1))/IF(AF80="Sum",1,MONTH('2024 Control'!$C$4)))</f>
        <v>0</v>
      </c>
      <c r="AM80" s="304">
        <f ca="1">IF(AF80="Sum",(SUM(OFFSET(S80,0,MONTH('2024 Control'!$C$4)-12):OFFSET(S80,0,MONTH('2024 Control'!$C$4)-1))),IF(AF80="Average",(SUM(OFFSET(S80,0,MONTH('2024 Control'!$C$4)-12):OFFSET(S80,0,MONTH('2024 Control'!$C$4)-1)))/12,"-"))</f>
        <v>0</v>
      </c>
    </row>
    <row r="81" spans="2:39">
      <c r="B81" s="26" t="s">
        <v>24</v>
      </c>
      <c r="C81" s="26" t="s">
        <v>177</v>
      </c>
      <c r="D81" s="26" t="str">
        <f t="shared" si="70"/>
        <v>Customer Success # Growth Clients (up/cross sold + price)</v>
      </c>
      <c r="E81" s="26" t="s">
        <v>181</v>
      </c>
      <c r="F81" s="186" t="str">
        <f>Actuals!F80</f>
        <v>#</v>
      </c>
      <c r="G81" s="160"/>
      <c r="H81" s="160"/>
      <c r="I81" s="160"/>
      <c r="J81" s="160"/>
      <c r="K81" s="160"/>
      <c r="L81" s="160"/>
      <c r="M81" s="160"/>
      <c r="N81" s="160"/>
      <c r="O81" s="160"/>
      <c r="P81" s="160"/>
      <c r="Q81" s="160"/>
      <c r="R81" s="160"/>
      <c r="S81" s="160"/>
      <c r="T81" s="160"/>
      <c r="U81" s="160"/>
      <c r="V81" s="160"/>
      <c r="W81" s="160"/>
      <c r="X81" s="160"/>
      <c r="Y81" s="160"/>
      <c r="Z81" s="160"/>
      <c r="AA81" s="160"/>
      <c r="AB81" s="160"/>
      <c r="AC81" s="160"/>
      <c r="AD81" s="160"/>
      <c r="AE81" s="26"/>
      <c r="AF81" s="188" t="str">
        <f>IF(Actuals!BF80="","",Actuals!BF80)</f>
        <v>Sum</v>
      </c>
      <c r="AG81" s="26" t="str">
        <f t="shared" si="71"/>
        <v>Customer Success # Growth Clients (up/cross sold + price)</v>
      </c>
      <c r="AH81" s="195">
        <f t="shared" si="90"/>
        <v>0</v>
      </c>
      <c r="AI81" s="195">
        <f t="shared" si="91"/>
        <v>0</v>
      </c>
      <c r="AJ81" s="195">
        <f t="shared" si="92"/>
        <v>0</v>
      </c>
      <c r="AK81" s="195">
        <f t="shared" si="93"/>
        <v>0</v>
      </c>
      <c r="AL81" s="195">
        <f ca="1">IF(AF81="EoP",OFFSET(S81,0,MONTH('2024 Control'!$C$4)-1),SUM(S81:OFFSET(S81,0,MONTH('2024 Control'!$C$4)-1))/IF(AF81="Sum",1,MONTH('2024 Control'!$C$4)))</f>
        <v>0</v>
      </c>
      <c r="AM81" s="304">
        <f ca="1">IF(AF81="Sum",(SUM(OFFSET(S81,0,MONTH('2024 Control'!$C$4)-12):OFFSET(S81,0,MONTH('2024 Control'!$C$4)-1))),IF(AF81="Average",(SUM(OFFSET(S81,0,MONTH('2024 Control'!$C$4)-12):OFFSET(S81,0,MONTH('2024 Control'!$C$4)-1)))/12,"-"))</f>
        <v>0</v>
      </c>
    </row>
    <row r="82" spans="2:39">
      <c r="B82" s="26" t="s">
        <v>24</v>
      </c>
      <c r="C82" s="26" t="s">
        <v>177</v>
      </c>
      <c r="D82" s="26" t="str">
        <f t="shared" si="70"/>
        <v>Customer Success # Renewed Clients</v>
      </c>
      <c r="E82" s="26" t="s">
        <v>182</v>
      </c>
      <c r="F82" s="186" t="str">
        <f>Actuals!F81</f>
        <v>#</v>
      </c>
      <c r="G82" s="160">
        <v>14</v>
      </c>
      <c r="H82" s="160">
        <v>6</v>
      </c>
      <c r="I82" s="160">
        <v>6</v>
      </c>
      <c r="J82" s="160">
        <v>1</v>
      </c>
      <c r="K82" s="160">
        <v>5</v>
      </c>
      <c r="L82" s="160">
        <v>8</v>
      </c>
      <c r="M82" s="160">
        <v>4</v>
      </c>
      <c r="N82" s="160">
        <v>4</v>
      </c>
      <c r="O82" s="160">
        <v>4</v>
      </c>
      <c r="P82" s="160">
        <v>7</v>
      </c>
      <c r="Q82" s="160">
        <v>4</v>
      </c>
      <c r="R82" s="160">
        <v>7</v>
      </c>
      <c r="S82" s="160"/>
      <c r="T82" s="160"/>
      <c r="U82" s="160"/>
      <c r="V82" s="160"/>
      <c r="W82" s="160"/>
      <c r="X82" s="160"/>
      <c r="Y82" s="160"/>
      <c r="Z82" s="160"/>
      <c r="AA82" s="160"/>
      <c r="AB82" s="160"/>
      <c r="AC82" s="160"/>
      <c r="AD82" s="160"/>
      <c r="AE82" s="26"/>
      <c r="AF82" s="188" t="str">
        <f>IF(Actuals!BF81="","",Actuals!BF81)</f>
        <v>Sum</v>
      </c>
      <c r="AG82" s="26" t="str">
        <f t="shared" si="71"/>
        <v>Customer Success # Renewed Clients</v>
      </c>
      <c r="AH82" s="195">
        <f t="shared" si="90"/>
        <v>0</v>
      </c>
      <c r="AI82" s="195">
        <f t="shared" si="91"/>
        <v>0</v>
      </c>
      <c r="AJ82" s="195">
        <f t="shared" si="92"/>
        <v>0</v>
      </c>
      <c r="AK82" s="195">
        <f t="shared" si="93"/>
        <v>0</v>
      </c>
      <c r="AL82" s="195">
        <f ca="1">IF(AF82="EoP",OFFSET(S82,0,MONTH('2024 Control'!$C$4)-1),SUM(S82:OFFSET(S82,0,MONTH('2024 Control'!$C$4)-1))/IF(AF82="Sum",1,MONTH('2024 Control'!$C$4)))</f>
        <v>0</v>
      </c>
      <c r="AM82" s="304">
        <f ca="1">IF(AF82="Sum",(SUM(OFFSET(S82,0,MONTH('2024 Control'!$C$4)-12):OFFSET(S82,0,MONTH('2024 Control'!$C$4)-1))),IF(AF82="Average",(SUM(OFFSET(S82,0,MONTH('2024 Control'!$C$4)-12):OFFSET(S82,0,MONTH('2024 Control'!$C$4)-1)))/12,"-"))</f>
        <v>0</v>
      </c>
    </row>
    <row r="83" spans="2:39">
      <c r="B83" s="26" t="s">
        <v>24</v>
      </c>
      <c r="C83" s="26" t="s">
        <v>260</v>
      </c>
      <c r="D83" s="26" t="str">
        <f t="shared" ref="D83:D86" si="94">B83&amp;" "&amp;E83</f>
        <v>Customer Success Very Satisfied Clients (NPS 9-10)</v>
      </c>
      <c r="E83" s="26" t="s">
        <v>189</v>
      </c>
      <c r="F83" s="186" t="str">
        <f>Actuals!F82</f>
        <v>#</v>
      </c>
      <c r="G83" s="160">
        <v>33</v>
      </c>
      <c r="H83" s="160">
        <v>34</v>
      </c>
      <c r="I83" s="160">
        <v>35</v>
      </c>
      <c r="J83" s="160">
        <v>36</v>
      </c>
      <c r="K83" s="160">
        <v>37</v>
      </c>
      <c r="L83" s="160">
        <v>38</v>
      </c>
      <c r="M83" s="160">
        <v>39</v>
      </c>
      <c r="N83" s="160">
        <v>40</v>
      </c>
      <c r="O83" s="160">
        <v>41</v>
      </c>
      <c r="P83" s="160">
        <v>42</v>
      </c>
      <c r="Q83" s="160">
        <v>43</v>
      </c>
      <c r="R83" s="160">
        <v>42</v>
      </c>
      <c r="S83" s="160"/>
      <c r="T83" s="160"/>
      <c r="U83" s="160"/>
      <c r="V83" s="160"/>
      <c r="W83" s="160"/>
      <c r="X83" s="160"/>
      <c r="Y83" s="160"/>
      <c r="Z83" s="160"/>
      <c r="AA83" s="160"/>
      <c r="AB83" s="160"/>
      <c r="AC83" s="160"/>
      <c r="AD83" s="160"/>
      <c r="AE83" s="26"/>
      <c r="AF83" s="188" t="s">
        <v>47</v>
      </c>
      <c r="AG83" s="26" t="str">
        <f t="shared" ref="AG83:AG86" si="95">D83</f>
        <v>Customer Success Very Satisfied Clients (NPS 9-10)</v>
      </c>
      <c r="AH83" s="195">
        <f t="shared" si="90"/>
        <v>0</v>
      </c>
      <c r="AI83" s="195">
        <f t="shared" si="91"/>
        <v>0</v>
      </c>
      <c r="AJ83" s="195">
        <f t="shared" si="92"/>
        <v>0</v>
      </c>
      <c r="AK83" s="195">
        <f t="shared" si="93"/>
        <v>0</v>
      </c>
      <c r="AL83" s="195">
        <f ca="1">IF(AF83="EoP",OFFSET(S83,0,MONTH('2024 Control'!$C$4)-1),SUM(S83:OFFSET(S83,0,MONTH('2024 Control'!$C$4)-1))/IF(AF83="Sum",1,MONTH('2024 Control'!$C$4)))</f>
        <v>0</v>
      </c>
      <c r="AM83" s="304" t="str">
        <f ca="1">IF(AF83="Sum",(SUM(OFFSET(S83,0,MONTH('2024 Control'!$C$4)-12):OFFSET(S83,0,MONTH('2024 Control'!$C$4)-1))),IF(AF83="Average",(SUM(OFFSET(S83,0,MONTH('2024 Control'!$C$4)-12):OFFSET(S83,0,MONTH('2024 Control'!$C$4)-1)))/12,"-"))</f>
        <v>-</v>
      </c>
    </row>
    <row r="84" spans="2:39">
      <c r="B84" s="26" t="s">
        <v>24</v>
      </c>
      <c r="C84" s="26" t="s">
        <v>260</v>
      </c>
      <c r="D84" s="26" t="str">
        <f t="shared" si="94"/>
        <v>Customer Success Satisfied Clients (NPS 7-8)</v>
      </c>
      <c r="E84" s="26" t="s">
        <v>190</v>
      </c>
      <c r="F84" s="186" t="str">
        <f>Actuals!F83</f>
        <v>#</v>
      </c>
      <c r="G84" s="160">
        <v>23</v>
      </c>
      <c r="H84" s="160">
        <v>23</v>
      </c>
      <c r="I84" s="160">
        <v>24</v>
      </c>
      <c r="J84" s="160">
        <v>25</v>
      </c>
      <c r="K84" s="160">
        <v>26</v>
      </c>
      <c r="L84" s="160">
        <v>26</v>
      </c>
      <c r="M84" s="160">
        <v>27</v>
      </c>
      <c r="N84" s="160">
        <v>28</v>
      </c>
      <c r="O84" s="160">
        <v>28</v>
      </c>
      <c r="P84" s="160">
        <v>29</v>
      </c>
      <c r="Q84" s="160">
        <v>29</v>
      </c>
      <c r="R84" s="160">
        <v>29</v>
      </c>
      <c r="S84" s="160"/>
      <c r="T84" s="160"/>
      <c r="U84" s="160"/>
      <c r="V84" s="160"/>
      <c r="W84" s="160"/>
      <c r="X84" s="160"/>
      <c r="Y84" s="160"/>
      <c r="Z84" s="160"/>
      <c r="AA84" s="160"/>
      <c r="AB84" s="160"/>
      <c r="AC84" s="160"/>
      <c r="AD84" s="160"/>
      <c r="AE84" s="26"/>
      <c r="AF84" s="188" t="s">
        <v>47</v>
      </c>
      <c r="AG84" s="26" t="str">
        <f t="shared" si="95"/>
        <v>Customer Success Satisfied Clients (NPS 7-8)</v>
      </c>
      <c r="AH84" s="195">
        <f t="shared" si="90"/>
        <v>0</v>
      </c>
      <c r="AI84" s="195">
        <f t="shared" si="91"/>
        <v>0</v>
      </c>
      <c r="AJ84" s="195">
        <f t="shared" si="92"/>
        <v>0</v>
      </c>
      <c r="AK84" s="195">
        <f t="shared" si="93"/>
        <v>0</v>
      </c>
      <c r="AL84" s="195">
        <f ca="1">IF(AF84="EoP",OFFSET(S84,0,MONTH('2024 Control'!$C$4)-1),SUM(S84:OFFSET(S84,0,MONTH('2024 Control'!$C$4)-1))/IF(AF84="Sum",1,MONTH('2024 Control'!$C$4)))</f>
        <v>0</v>
      </c>
      <c r="AM84" s="304" t="str">
        <f ca="1">IF(AF84="Sum",(SUM(OFFSET(S84,0,MONTH('2024 Control'!$C$4)-12):OFFSET(S84,0,MONTH('2024 Control'!$C$4)-1))),IF(AF84="Average",(SUM(OFFSET(S84,0,MONTH('2024 Control'!$C$4)-12):OFFSET(S84,0,MONTH('2024 Control'!$C$4)-1)))/12,"-"))</f>
        <v>-</v>
      </c>
    </row>
    <row r="85" spans="2:39">
      <c r="B85" s="26" t="s">
        <v>24</v>
      </c>
      <c r="C85" s="26" t="s">
        <v>260</v>
      </c>
      <c r="D85" s="26" t="str">
        <f t="shared" si="94"/>
        <v>Customer Success Dissatisfied Clients (NPS 5-6)</v>
      </c>
      <c r="E85" s="26" t="s">
        <v>191</v>
      </c>
      <c r="F85" s="186" t="str">
        <f>Actuals!F84</f>
        <v>#</v>
      </c>
      <c r="G85" s="160">
        <v>8</v>
      </c>
      <c r="H85" s="160">
        <v>8</v>
      </c>
      <c r="I85" s="160">
        <v>9</v>
      </c>
      <c r="J85" s="160">
        <v>9</v>
      </c>
      <c r="K85" s="160">
        <v>9</v>
      </c>
      <c r="L85" s="160">
        <v>9</v>
      </c>
      <c r="M85" s="160">
        <v>9</v>
      </c>
      <c r="N85" s="160">
        <v>10</v>
      </c>
      <c r="O85" s="160">
        <v>10</v>
      </c>
      <c r="P85" s="160">
        <v>10</v>
      </c>
      <c r="Q85" s="160">
        <v>10</v>
      </c>
      <c r="R85" s="160">
        <v>10</v>
      </c>
      <c r="S85" s="160"/>
      <c r="T85" s="160"/>
      <c r="U85" s="160"/>
      <c r="V85" s="160"/>
      <c r="W85" s="160"/>
      <c r="X85" s="160"/>
      <c r="Y85" s="160"/>
      <c r="Z85" s="160"/>
      <c r="AA85" s="160"/>
      <c r="AB85" s="160"/>
      <c r="AC85" s="160"/>
      <c r="AD85" s="160"/>
      <c r="AE85" s="26"/>
      <c r="AF85" s="188" t="s">
        <v>47</v>
      </c>
      <c r="AG85" s="26" t="str">
        <f t="shared" si="95"/>
        <v>Customer Success Dissatisfied Clients (NPS 5-6)</v>
      </c>
      <c r="AH85" s="195">
        <f t="shared" si="90"/>
        <v>0</v>
      </c>
      <c r="AI85" s="195">
        <f t="shared" si="91"/>
        <v>0</v>
      </c>
      <c r="AJ85" s="195">
        <f t="shared" si="92"/>
        <v>0</v>
      </c>
      <c r="AK85" s="195">
        <f t="shared" si="93"/>
        <v>0</v>
      </c>
      <c r="AL85" s="195">
        <f ca="1">IF(AF85="EoP",OFFSET(S85,0,MONTH('2024 Control'!$C$4)-1),SUM(S85:OFFSET(S85,0,MONTH('2024 Control'!$C$4)-1))/IF(AF85="Sum",1,MONTH('2024 Control'!$C$4)))</f>
        <v>0</v>
      </c>
      <c r="AM85" s="304" t="str">
        <f ca="1">IF(AF85="Sum",(SUM(OFFSET(S85,0,MONTH('2024 Control'!$C$4)-12):OFFSET(S85,0,MONTH('2024 Control'!$C$4)-1))),IF(AF85="Average",(SUM(OFFSET(S85,0,MONTH('2024 Control'!$C$4)-12):OFFSET(S85,0,MONTH('2024 Control'!$C$4)-1)))/12,"-"))</f>
        <v>-</v>
      </c>
    </row>
    <row r="86" spans="2:39">
      <c r="B86" s="26" t="s">
        <v>24</v>
      </c>
      <c r="C86" s="26" t="s">
        <v>260</v>
      </c>
      <c r="D86" s="26" t="str">
        <f t="shared" si="94"/>
        <v>Customer Success At-Risk Clients (NPS &lt;4)</v>
      </c>
      <c r="E86" s="26" t="s">
        <v>192</v>
      </c>
      <c r="F86" s="186" t="str">
        <f>Actuals!F85</f>
        <v>#</v>
      </c>
      <c r="G86" s="160">
        <v>3</v>
      </c>
      <c r="H86" s="160">
        <v>3</v>
      </c>
      <c r="I86" s="160">
        <v>3</v>
      </c>
      <c r="J86" s="160">
        <v>3</v>
      </c>
      <c r="K86" s="160">
        <v>3</v>
      </c>
      <c r="L86" s="160">
        <v>3</v>
      </c>
      <c r="M86" s="160">
        <v>3</v>
      </c>
      <c r="N86" s="160">
        <v>3</v>
      </c>
      <c r="O86" s="160">
        <v>3</v>
      </c>
      <c r="P86" s="160">
        <v>3</v>
      </c>
      <c r="Q86" s="160">
        <v>3</v>
      </c>
      <c r="R86" s="160">
        <v>3</v>
      </c>
      <c r="S86" s="160"/>
      <c r="T86" s="160"/>
      <c r="U86" s="160"/>
      <c r="V86" s="160"/>
      <c r="W86" s="160"/>
      <c r="X86" s="160"/>
      <c r="Y86" s="160"/>
      <c r="Z86" s="160"/>
      <c r="AA86" s="160"/>
      <c r="AB86" s="160"/>
      <c r="AC86" s="160"/>
      <c r="AD86" s="160"/>
      <c r="AE86" s="26"/>
      <c r="AF86" s="188" t="s">
        <v>47</v>
      </c>
      <c r="AG86" s="26" t="str">
        <f t="shared" si="95"/>
        <v>Customer Success At-Risk Clients (NPS &lt;4)</v>
      </c>
      <c r="AH86" s="195">
        <f t="shared" si="90"/>
        <v>0</v>
      </c>
      <c r="AI86" s="195">
        <f t="shared" si="91"/>
        <v>0</v>
      </c>
      <c r="AJ86" s="195">
        <f t="shared" si="92"/>
        <v>0</v>
      </c>
      <c r="AK86" s="195">
        <f t="shared" si="93"/>
        <v>0</v>
      </c>
      <c r="AL86" s="195">
        <f ca="1">IF(AF86="EoP",OFFSET(S86,0,MONTH('2024 Control'!$C$4)-1),SUM(S86:OFFSET(S86,0,MONTH('2024 Control'!$C$4)-1))/IF(AF86="Sum",1,MONTH('2024 Control'!$C$4)))</f>
        <v>0</v>
      </c>
      <c r="AM86" s="304" t="str">
        <f ca="1">IF(AF86="Sum",(SUM(OFFSET(S86,0,MONTH('2024 Control'!$C$4)-12):OFFSET(S86,0,MONTH('2024 Control'!$C$4)-1))),IF(AF86="Average",(SUM(OFFSET(S86,0,MONTH('2024 Control'!$C$4)-12):OFFSET(S86,0,MONTH('2024 Control'!$C$4)-1)))/12,"-"))</f>
        <v>-</v>
      </c>
    </row>
    <row r="87" spans="2:39">
      <c r="B87" s="26" t="s">
        <v>24</v>
      </c>
      <c r="C87" s="26" t="s">
        <v>260</v>
      </c>
      <c r="D87" s="26" t="str">
        <f t="shared" si="70"/>
        <v xml:space="preserve">Customer Success ARR up for Renewal </v>
      </c>
      <c r="E87" s="26" t="s">
        <v>184</v>
      </c>
      <c r="F87" s="186" t="str">
        <f>Actuals!F86</f>
        <v>#</v>
      </c>
      <c r="G87" s="306">
        <v>973600</v>
      </c>
      <c r="H87" s="306">
        <v>1471860</v>
      </c>
      <c r="I87" s="306">
        <v>558879</v>
      </c>
      <c r="J87" s="306">
        <v>125000</v>
      </c>
      <c r="K87" s="306">
        <v>440450</v>
      </c>
      <c r="L87" s="306">
        <v>764880</v>
      </c>
      <c r="M87" s="306">
        <v>234053</v>
      </c>
      <c r="N87" s="306">
        <v>104923</v>
      </c>
      <c r="O87" s="306">
        <v>527397</v>
      </c>
      <c r="P87" s="306">
        <v>396188</v>
      </c>
      <c r="Q87" s="306">
        <v>472000</v>
      </c>
      <c r="R87" s="306">
        <v>510385</v>
      </c>
      <c r="S87" s="346">
        <f>'2024 Control'!D10</f>
        <v>997130</v>
      </c>
      <c r="T87" s="346">
        <f>'2024 Control'!E10</f>
        <v>1556622</v>
      </c>
      <c r="U87" s="346">
        <f>'2024 Control'!F10</f>
        <v>923556</v>
      </c>
      <c r="V87" s="346">
        <f>'2024 Control'!G10</f>
        <v>156250</v>
      </c>
      <c r="W87" s="346">
        <f>'2024 Control'!H10</f>
        <v>377495</v>
      </c>
      <c r="X87" s="346">
        <f>'2024 Control'!I10</f>
        <v>921653</v>
      </c>
      <c r="Y87" s="346">
        <f>'2024 Control'!J10</f>
        <v>470850</v>
      </c>
      <c r="Z87" s="346">
        <f>'2024 Control'!K10</f>
        <v>213330</v>
      </c>
      <c r="AA87" s="346">
        <f>'2024 Control'!L10</f>
        <v>460800</v>
      </c>
      <c r="AB87" s="346">
        <f>'2024 Control'!M10</f>
        <v>702522</v>
      </c>
      <c r="AC87" s="346">
        <f>'2024 Control'!N10</f>
        <v>158200</v>
      </c>
      <c r="AD87" s="346">
        <f>'2024 Control'!O10</f>
        <v>839000</v>
      </c>
      <c r="AE87" s="26"/>
      <c r="AF87" s="188" t="s">
        <v>250</v>
      </c>
      <c r="AG87" s="26" t="str">
        <f t="shared" si="71"/>
        <v xml:space="preserve">Customer Success ARR up for Renewal </v>
      </c>
      <c r="AH87" s="195">
        <f t="shared" si="90"/>
        <v>3477308</v>
      </c>
      <c r="AI87" s="195">
        <f t="shared" si="91"/>
        <v>1455398</v>
      </c>
      <c r="AJ87" s="195">
        <f t="shared" si="92"/>
        <v>1605833</v>
      </c>
      <c r="AK87" s="195">
        <f t="shared" si="93"/>
        <v>1699722</v>
      </c>
      <c r="AL87" s="195">
        <f ca="1">IF(AF87="EoP",OFFSET(S87,0,MONTH('2024 Control'!$C$4)-1),SUM(S87:OFFSET(S87,0,MONTH('2024 Control'!$C$4)-1))/IF(AF87="Sum",1,MONTH('2024 Control'!$C$4)))</f>
        <v>7777408</v>
      </c>
      <c r="AM87" s="304">
        <f ca="1">IF(AF87="Sum",(SUM(OFFSET(S87,0,MONTH('2024 Control'!$C$4)-12):OFFSET(S87,0,MONTH('2024 Control'!$C$4)-1))),IF(AF87="Average",(SUM(OFFSET(S87,0,MONTH('2024 Control'!$C$4)-12):OFFSET(S87,0,MONTH('2024 Control'!$C$4)-1)))/12,"-"))</f>
        <v>7777408</v>
      </c>
    </row>
    <row r="88" spans="2:39">
      <c r="B88" s="26" t="s">
        <v>24</v>
      </c>
      <c r="C88" s="26" t="s">
        <v>260</v>
      </c>
      <c r="D88" s="26" t="str">
        <f t="shared" si="70"/>
        <v>Customer Success % of Total</v>
      </c>
      <c r="E88" s="26" t="s">
        <v>185</v>
      </c>
      <c r="F88" s="186" t="str">
        <f>Actuals!F87</f>
        <v>#</v>
      </c>
      <c r="G88" s="238">
        <f>G87/SUM($G$87:$R$87)</f>
        <v>0.14797218378278973</v>
      </c>
      <c r="H88" s="238">
        <f t="shared" ref="H88:R88" si="96">H87/SUM($G$87:$R$87)</f>
        <v>0.22370001892207977</v>
      </c>
      <c r="I88" s="238">
        <f t="shared" si="96"/>
        <v>8.4940988188518626E-2</v>
      </c>
      <c r="J88" s="238">
        <f t="shared" si="96"/>
        <v>1.8998072075645762E-2</v>
      </c>
      <c r="K88" s="238">
        <f t="shared" si="96"/>
        <v>6.6941606765745412E-2</v>
      </c>
      <c r="L88" s="238">
        <f t="shared" si="96"/>
        <v>0.11624996295375946</v>
      </c>
      <c r="M88" s="238">
        <f t="shared" si="96"/>
        <v>3.557244610816894E-2</v>
      </c>
      <c r="N88" s="238">
        <f t="shared" si="96"/>
        <v>1.5946677731143843E-2</v>
      </c>
      <c r="O88" s="238">
        <f t="shared" si="96"/>
        <v>8.0156209747834786E-2</v>
      </c>
      <c r="P88" s="238">
        <f t="shared" si="96"/>
        <v>6.0214465436047547E-2</v>
      </c>
      <c r="Q88" s="238">
        <f t="shared" si="96"/>
        <v>7.1736720157638406E-2</v>
      </c>
      <c r="R88" s="238">
        <f t="shared" si="96"/>
        <v>7.7570648130627709E-2</v>
      </c>
      <c r="S88" s="238">
        <f>S87/'2024 Control'!$C$5</f>
        <v>0.12162551495042546</v>
      </c>
      <c r="T88" s="238">
        <f>T87/'2024 Control'!$C$5</f>
        <v>0.18986987888556275</v>
      </c>
      <c r="U88" s="238">
        <f>U87/'2024 Control'!$C$5</f>
        <v>0.11265128326853584</v>
      </c>
      <c r="V88" s="238">
        <f>V87/'2024 Control'!$C$5</f>
        <v>1.9058685137348166E-2</v>
      </c>
      <c r="W88" s="238">
        <f>W87/'2024 Control'!$C$5</f>
        <v>4.6045173413908777E-2</v>
      </c>
      <c r="X88" s="238">
        <f>X87/'2024 Control'!$C$5</f>
        <v>0.11241916373051104</v>
      </c>
      <c r="Y88" s="238">
        <f>Y87/'2024 Control'!$C$5</f>
        <v>5.743220414029046E-2</v>
      </c>
      <c r="Z88" s="238">
        <f>Z87/'2024 Control'!$C$5</f>
        <v>2.6021051522243103E-2</v>
      </c>
      <c r="AA88" s="238">
        <f>AA87/'2024 Control'!$C$5</f>
        <v>5.6206349512256226E-2</v>
      </c>
      <c r="AB88" s="238">
        <f>AB87/'2024 Control'!$C$5</f>
        <v>8.5690531840384707E-2</v>
      </c>
      <c r="AC88" s="238">
        <f>AC87/'2024 Control'!$C$5</f>
        <v>1.9296537527862274E-2</v>
      </c>
      <c r="AD88" s="238">
        <f>AD87/'2024 Control'!$C$5</f>
        <v>0.10233751571350472</v>
      </c>
      <c r="AE88" s="26"/>
      <c r="AF88" s="188" t="s">
        <v>250</v>
      </c>
      <c r="AG88" s="26" t="str">
        <f t="shared" si="71"/>
        <v>Customer Success % of Total</v>
      </c>
      <c r="AH88" s="195">
        <f t="shared" si="90"/>
        <v>0.42414667710452408</v>
      </c>
      <c r="AI88" s="195">
        <f t="shared" si="91"/>
        <v>0.17752302228176797</v>
      </c>
      <c r="AJ88" s="195">
        <f t="shared" si="92"/>
        <v>0.19587241939304462</v>
      </c>
      <c r="AK88" s="195">
        <f t="shared" si="93"/>
        <v>0.20732458508175169</v>
      </c>
      <c r="AL88" s="195">
        <f ca="1">IF(AF88="EoP",OFFSET(S88,0,MONTH('2024 Control'!$C$4)-1),SUM(S88:OFFSET(S88,0,MONTH('2024 Control'!$C$4)-1))/IF(AF88="Sum",1,MONTH('2024 Control'!$C$4)))</f>
        <v>0.94865388964283359</v>
      </c>
      <c r="AM88" s="304">
        <f ca="1">IF(AF88="Sum",(SUM(OFFSET(S88,0,MONTH('2024 Control'!$C$4)-12):OFFSET(S88,0,MONTH('2024 Control'!$C$4)-1))),IF(AF88="Average",(SUM(OFFSET(S88,0,MONTH('2024 Control'!$C$4)-12):OFFSET(S88,0,MONTH('2024 Control'!$C$4)-1)))/12,"-"))</f>
        <v>0.94865388964283359</v>
      </c>
    </row>
    <row r="89" spans="2:39">
      <c r="B89" s="26" t="s">
        <v>24</v>
      </c>
      <c r="C89" s="26" t="s">
        <v>260</v>
      </c>
      <c r="D89" s="26" t="str">
        <f t="shared" si="70"/>
        <v>Customer Success Obtainment</v>
      </c>
      <c r="E89" s="26" t="s">
        <v>186</v>
      </c>
      <c r="F89" s="186" t="str">
        <f>Actuals!F88</f>
        <v>#</v>
      </c>
      <c r="G89" s="305">
        <f>G87*1.1</f>
        <v>1070960</v>
      </c>
      <c r="H89" s="305">
        <f t="shared" ref="H89:R89" si="97">H87*1.1</f>
        <v>1619046.0000000002</v>
      </c>
      <c r="I89" s="305">
        <f t="shared" si="97"/>
        <v>614766.9</v>
      </c>
      <c r="J89" s="305">
        <f t="shared" si="97"/>
        <v>137500</v>
      </c>
      <c r="K89" s="305">
        <f t="shared" si="97"/>
        <v>484495.00000000006</v>
      </c>
      <c r="L89" s="305">
        <f t="shared" si="97"/>
        <v>841368.00000000012</v>
      </c>
      <c r="M89" s="305">
        <f t="shared" si="97"/>
        <v>257458.30000000002</v>
      </c>
      <c r="N89" s="305">
        <f t="shared" si="97"/>
        <v>115415.3</v>
      </c>
      <c r="O89" s="305">
        <f t="shared" si="97"/>
        <v>580136.70000000007</v>
      </c>
      <c r="P89" s="305">
        <f t="shared" si="97"/>
        <v>435806.80000000005</v>
      </c>
      <c r="Q89" s="305">
        <f t="shared" si="97"/>
        <v>519200.00000000006</v>
      </c>
      <c r="R89" s="305">
        <f t="shared" si="97"/>
        <v>561423.5</v>
      </c>
      <c r="S89" s="305"/>
      <c r="T89" s="305"/>
      <c r="U89" s="305"/>
      <c r="V89" s="305"/>
      <c r="W89" s="305"/>
      <c r="X89" s="305"/>
      <c r="Y89" s="305"/>
      <c r="Z89" s="305"/>
      <c r="AA89" s="305"/>
      <c r="AB89" s="305"/>
      <c r="AC89" s="305"/>
      <c r="AD89" s="305"/>
      <c r="AE89" s="26"/>
      <c r="AF89" s="188" t="s">
        <v>250</v>
      </c>
      <c r="AG89" s="26" t="str">
        <f t="shared" si="71"/>
        <v>Customer Success Obtainment</v>
      </c>
      <c r="AH89" s="195">
        <f t="shared" si="90"/>
        <v>0</v>
      </c>
      <c r="AI89" s="195">
        <f t="shared" si="91"/>
        <v>0</v>
      </c>
      <c r="AJ89" s="195">
        <f t="shared" si="92"/>
        <v>0</v>
      </c>
      <c r="AK89" s="195">
        <f t="shared" si="93"/>
        <v>0</v>
      </c>
      <c r="AL89" s="195">
        <f ca="1">IF(AF89="EoP",OFFSET(S89,0,MONTH('2024 Control'!$C$4)-1),SUM(S89:OFFSET(S89,0,MONTH('2024 Control'!$C$4)-1))/IF(AF89="Sum",1,MONTH('2024 Control'!$C$4)))</f>
        <v>0</v>
      </c>
      <c r="AM89" s="304">
        <f ca="1">IF(AF89="Sum",(SUM(OFFSET(S89,0,MONTH('2024 Control'!$C$4)-12):OFFSET(S89,0,MONTH('2024 Control'!$C$4)-1))),IF(AF89="Average",(SUM(OFFSET(S89,0,MONTH('2024 Control'!$C$4)-12):OFFSET(S89,0,MONTH('2024 Control'!$C$4)-1)))/12,"-"))</f>
        <v>0</v>
      </c>
    </row>
    <row r="90" spans="2:39">
      <c r="B90" s="26" t="s">
        <v>24</v>
      </c>
      <c r="C90" s="26" t="s">
        <v>260</v>
      </c>
      <c r="D90" s="26" t="str">
        <f t="shared" ref="D90:D121" si="98">B90&amp;" "&amp;E90</f>
        <v>Customer Success NRR on Renewal</v>
      </c>
      <c r="E90" s="26" t="s">
        <v>187</v>
      </c>
      <c r="F90" s="186" t="str">
        <f>Actuals!F89</f>
        <v>#</v>
      </c>
      <c r="G90" s="189">
        <f>G89/G87</f>
        <v>1.1000000000000001</v>
      </c>
      <c r="H90" s="189">
        <f t="shared" ref="H90:R90" si="99">H89/H87</f>
        <v>1.1000000000000001</v>
      </c>
      <c r="I90" s="189">
        <f t="shared" si="99"/>
        <v>1.1000000000000001</v>
      </c>
      <c r="J90" s="189">
        <f t="shared" si="99"/>
        <v>1.1000000000000001</v>
      </c>
      <c r="K90" s="189">
        <f t="shared" si="99"/>
        <v>1.1000000000000001</v>
      </c>
      <c r="L90" s="189">
        <f t="shared" si="99"/>
        <v>1.1000000000000001</v>
      </c>
      <c r="M90" s="189">
        <f t="shared" si="99"/>
        <v>1.1000000000000001</v>
      </c>
      <c r="N90" s="189">
        <f t="shared" si="99"/>
        <v>1.1000000000000001</v>
      </c>
      <c r="O90" s="189">
        <f t="shared" si="99"/>
        <v>1.1000000000000001</v>
      </c>
      <c r="P90" s="189">
        <f t="shared" si="99"/>
        <v>1.1000000000000001</v>
      </c>
      <c r="Q90" s="189">
        <f t="shared" si="99"/>
        <v>1.1000000000000001</v>
      </c>
      <c r="R90" s="189">
        <f t="shared" si="99"/>
        <v>1.1000000000000001</v>
      </c>
      <c r="S90" s="189"/>
      <c r="T90" s="189"/>
      <c r="U90" s="189"/>
      <c r="V90" s="189"/>
      <c r="W90" s="189"/>
      <c r="X90" s="189"/>
      <c r="Y90" s="189"/>
      <c r="Z90" s="189"/>
      <c r="AA90" s="189"/>
      <c r="AB90" s="189"/>
      <c r="AC90" s="189"/>
      <c r="AD90" s="189"/>
      <c r="AE90" s="26"/>
      <c r="AF90" s="188"/>
      <c r="AG90" s="26" t="str">
        <f t="shared" ref="AG90:AG121" si="100">D90</f>
        <v>Customer Success NRR on Renewal</v>
      </c>
      <c r="AH90" s="195">
        <f>IF(AH89&lt;0,"-",AH89/AH87)</f>
        <v>0</v>
      </c>
      <c r="AI90" s="195">
        <f t="shared" ref="AI90:AL90" si="101">IF(AI89&lt;0,"-",AI89/AI87)</f>
        <v>0</v>
      </c>
      <c r="AJ90" s="195">
        <f t="shared" si="101"/>
        <v>0</v>
      </c>
      <c r="AK90" s="195">
        <f t="shared" si="101"/>
        <v>0</v>
      </c>
      <c r="AL90" s="195">
        <f t="shared" ca="1" si="101"/>
        <v>0</v>
      </c>
      <c r="AM90" s="304" t="str">
        <f ca="1">IF(AF90="Sum",(SUM(OFFSET(S90,0,MONTH('2024 Control'!$C$4)-12):OFFSET(S90,0,MONTH('2024 Control'!$C$4)-1))),IF(AF90="Average",(SUM(OFFSET(S90,0,MONTH('2024 Control'!$C$4)-12):OFFSET(S90,0,MONTH('2024 Control'!$C$4)-1)))/12,"-"))</f>
        <v>-</v>
      </c>
    </row>
    <row r="91" spans="2:39">
      <c r="B91" s="26" t="s">
        <v>24</v>
      </c>
      <c r="C91" s="26" t="s">
        <v>260</v>
      </c>
      <c r="D91" s="26" t="str">
        <f t="shared" si="98"/>
        <v>Customer Success NPS Estimate</v>
      </c>
      <c r="E91" s="26" t="s">
        <v>193</v>
      </c>
      <c r="F91" s="186" t="str">
        <f>Actuals!F90</f>
        <v>#</v>
      </c>
      <c r="G91" s="302">
        <f>((G83/G78)-((SUM(G85:G86))/G78))*100</f>
        <v>34.375</v>
      </c>
      <c r="H91" s="302">
        <f t="shared" ref="H91:R91" si="102">((H83/H78)-((SUM(H85:H86))/H78))*100</f>
        <v>35.9375</v>
      </c>
      <c r="I91" s="302">
        <f t="shared" si="102"/>
        <v>33.823529411764696</v>
      </c>
      <c r="J91" s="302">
        <f t="shared" si="102"/>
        <v>35.294117647058819</v>
      </c>
      <c r="K91" s="302">
        <f t="shared" si="102"/>
        <v>37.313432835820905</v>
      </c>
      <c r="L91" s="302">
        <f t="shared" si="102"/>
        <v>36.111111111111114</v>
      </c>
      <c r="M91" s="302">
        <f t="shared" si="102"/>
        <v>37.5</v>
      </c>
      <c r="N91" s="302">
        <f t="shared" si="102"/>
        <v>37.5</v>
      </c>
      <c r="O91" s="302">
        <f t="shared" si="102"/>
        <v>36.842105263157897</v>
      </c>
      <c r="P91" s="302">
        <f t="shared" si="102"/>
        <v>38.15789473684211</v>
      </c>
      <c r="Q91" s="302">
        <f t="shared" si="102"/>
        <v>39.473684210526315</v>
      </c>
      <c r="R91" s="302">
        <f t="shared" si="102"/>
        <v>35.802469135802468</v>
      </c>
      <c r="S91" s="302"/>
      <c r="T91" s="302"/>
      <c r="U91" s="302"/>
      <c r="V91" s="302"/>
      <c r="W91" s="302"/>
      <c r="X91" s="302"/>
      <c r="Y91" s="302"/>
      <c r="Z91" s="302"/>
      <c r="AA91" s="302"/>
      <c r="AB91" s="302"/>
      <c r="AC91" s="302"/>
      <c r="AD91" s="302"/>
      <c r="AE91" s="26"/>
      <c r="AF91" s="188" t="str">
        <f>IF(Actuals!BF90="","",Actuals!BF90)</f>
        <v>EoP</v>
      </c>
      <c r="AG91" s="26" t="str">
        <f t="shared" si="100"/>
        <v>Customer Success NPS Estimate</v>
      </c>
      <c r="AH91" s="195">
        <f>IF($AF91="Sum",SUM(S91:U91),IF($AF91="Average",AVERAGE(S91:U91),IF($AF91="EoP",IV91,"ERROR")))</f>
        <v>0</v>
      </c>
      <c r="AI91" s="195">
        <f>IF($AF91="Sum",SUM(V91:X91),IF($AF91="Average",AVERAGE(V91:X91),IF($AF91="EoP",U91,"ERROR")))</f>
        <v>0</v>
      </c>
      <c r="AJ91" s="195">
        <f>IF($AF91="Sum",SUM(X91:Z91),IF($AF91="Average",AVERAGE(X91:Z91),IF($AF91="EoP",Z91,"ERROR")))</f>
        <v>0</v>
      </c>
      <c r="AK91" s="195">
        <f>IF($AF91="Sum",SUM(AB91:AD91),IF($AF91="Average",AVERAGE(AB91:AD91),IF($AF91="EoP",AD91,"ERROR")))</f>
        <v>0</v>
      </c>
      <c r="AL91" s="195">
        <f ca="1">IF(AF91="EoP",OFFSET(S91,0,MONTH('2024 Control'!$C$4)-1),SUM(S91:OFFSET(S91,0,MONTH('2024 Control'!$C$4)-1))/IF(AF91="Sum",1,MONTH('2024 Control'!$C$4)))</f>
        <v>0</v>
      </c>
      <c r="AM91" s="304" t="str">
        <f ca="1">IF(AF91="Sum",(SUM(OFFSET(S91,0,MONTH('2024 Control'!$C$4)-12):OFFSET(S91,0,MONTH('2024 Control'!$C$4)-1))),IF(AF91="Average",(SUM(OFFSET(S91,0,MONTH('2024 Control'!$C$4)-12):OFFSET(S91,0,MONTH('2024 Control'!$C$4)-1)))/12,"-"))</f>
        <v>-</v>
      </c>
    </row>
    <row r="92" spans="2:39">
      <c r="B92" s="26" t="s">
        <v>24</v>
      </c>
      <c r="C92" s="26" t="s">
        <v>194</v>
      </c>
      <c r="D92" s="26" t="str">
        <f t="shared" si="98"/>
        <v>Customer Success Headcount</v>
      </c>
      <c r="E92" s="26" t="s">
        <v>97</v>
      </c>
      <c r="F92" s="186" t="str">
        <f>Actuals!F91</f>
        <v>#</v>
      </c>
      <c r="G92" s="160">
        <v>2</v>
      </c>
      <c r="H92" s="160">
        <v>2</v>
      </c>
      <c r="I92" s="160">
        <v>2</v>
      </c>
      <c r="J92" s="160">
        <v>3</v>
      </c>
      <c r="K92" s="160">
        <v>3</v>
      </c>
      <c r="L92" s="160">
        <v>3</v>
      </c>
      <c r="M92" s="160">
        <v>4</v>
      </c>
      <c r="N92" s="160">
        <v>4</v>
      </c>
      <c r="O92" s="160">
        <v>4</v>
      </c>
      <c r="P92" s="160">
        <v>4</v>
      </c>
      <c r="Q92" s="160">
        <v>4</v>
      </c>
      <c r="R92" s="160">
        <v>4</v>
      </c>
      <c r="S92" s="160">
        <v>8</v>
      </c>
      <c r="T92" s="160">
        <v>8</v>
      </c>
      <c r="U92" s="160">
        <v>8</v>
      </c>
      <c r="V92" s="160">
        <v>8</v>
      </c>
      <c r="W92" s="160">
        <v>8</v>
      </c>
      <c r="X92" s="160">
        <v>8</v>
      </c>
      <c r="Y92" s="160">
        <v>8</v>
      </c>
      <c r="Z92" s="160">
        <v>8</v>
      </c>
      <c r="AA92" s="160">
        <v>8</v>
      </c>
      <c r="AB92" s="160">
        <v>8</v>
      </c>
      <c r="AC92" s="160">
        <v>8</v>
      </c>
      <c r="AD92" s="160">
        <v>8</v>
      </c>
      <c r="AE92" s="160"/>
      <c r="AF92" s="188" t="str">
        <f>IF(Actuals!BF91="","",Actuals!BF91)</f>
        <v>EoP</v>
      </c>
      <c r="AG92" s="26" t="str">
        <f t="shared" si="100"/>
        <v>Customer Success Headcount</v>
      </c>
      <c r="AH92" s="195">
        <f>IF($AF92="Sum",SUM(S92:U92),IF($AF92="Average",AVERAGE(S92:U92),IF($AF92="EoP",IV92,"ERROR")))</f>
        <v>0</v>
      </c>
      <c r="AI92" s="195">
        <f>IF($AF92="Sum",SUM(V92:X92),IF($AF92="Average",AVERAGE(V92:X92),IF($AF92="EoP",U92,"ERROR")))</f>
        <v>8</v>
      </c>
      <c r="AJ92" s="195">
        <f>IF($AF92="Sum",SUM(X92:Z92),IF($AF92="Average",AVERAGE(X92:Z92),IF($AF92="EoP",Z92,"ERROR")))</f>
        <v>8</v>
      </c>
      <c r="AK92" s="195">
        <f>IF($AF92="Sum",SUM(AB92:AD92),IF($AF92="Average",AVERAGE(AB92:AD92),IF($AF92="EoP",AD92,"ERROR")))</f>
        <v>8</v>
      </c>
      <c r="AL92" s="195">
        <f ca="1">IF(AF92="EoP",OFFSET(S92,0,MONTH('2024 Control'!$C$4)-1),SUM(S92:OFFSET(S92,0,MONTH('2024 Control'!$C$4)-1))/IF(AF92="Sum",1,MONTH('2024 Control'!$C$4)))</f>
        <v>8</v>
      </c>
      <c r="AM92" s="304" t="str">
        <f ca="1">IF(AF92="Sum",(SUM(OFFSET(S92,0,MONTH('2024 Control'!$C$4)-12):OFFSET(S92,0,MONTH('2024 Control'!$C$4)-1))),IF(AF92="Average",(SUM(OFFSET(S92,0,MONTH('2024 Control'!$C$4)-12):OFFSET(S92,0,MONTH('2024 Control'!$C$4)-1)))/12,"-"))</f>
        <v>-</v>
      </c>
    </row>
    <row r="93" spans="2:39">
      <c r="B93" s="26" t="s">
        <v>24</v>
      </c>
      <c r="C93" s="26" t="s">
        <v>194</v>
      </c>
      <c r="D93" s="26" t="str">
        <f t="shared" si="98"/>
        <v>Customer Success C.S. upsell / cross-sell ARR</v>
      </c>
      <c r="E93" s="26" t="s">
        <v>195</v>
      </c>
      <c r="F93" s="186" t="str">
        <f>Actuals!F92</f>
        <v>$</v>
      </c>
      <c r="G93" s="226">
        <v>0</v>
      </c>
      <c r="H93" s="226">
        <v>0</v>
      </c>
      <c r="I93" s="226">
        <v>288000</v>
      </c>
      <c r="J93" s="226">
        <v>0</v>
      </c>
      <c r="K93" s="226">
        <v>0</v>
      </c>
      <c r="L93" s="226">
        <v>264000</v>
      </c>
      <c r="M93" s="226"/>
      <c r="N93" s="226"/>
      <c r="O93" s="226">
        <v>216000</v>
      </c>
      <c r="P93" s="226"/>
      <c r="Q93" s="226"/>
      <c r="R93" s="226">
        <v>432000</v>
      </c>
      <c r="S93" s="347">
        <f>S72</f>
        <v>0</v>
      </c>
      <c r="T93" s="347">
        <f t="shared" ref="T93:AD93" si="103">T72</f>
        <v>0</v>
      </c>
      <c r="U93" s="347">
        <f t="shared" si="103"/>
        <v>239000</v>
      </c>
      <c r="V93" s="347">
        <f t="shared" si="103"/>
        <v>0</v>
      </c>
      <c r="W93" s="347">
        <f t="shared" si="103"/>
        <v>0</v>
      </c>
      <c r="X93" s="347">
        <f t="shared" si="103"/>
        <v>344000</v>
      </c>
      <c r="Y93" s="347">
        <f t="shared" si="103"/>
        <v>0</v>
      </c>
      <c r="Z93" s="347">
        <f t="shared" si="103"/>
        <v>0</v>
      </c>
      <c r="AA93" s="347">
        <f t="shared" si="103"/>
        <v>344000</v>
      </c>
      <c r="AB93" s="347">
        <f t="shared" si="103"/>
        <v>0</v>
      </c>
      <c r="AC93" s="347">
        <f t="shared" si="103"/>
        <v>0</v>
      </c>
      <c r="AD93" s="347">
        <f t="shared" si="103"/>
        <v>449000</v>
      </c>
      <c r="AE93" s="26"/>
      <c r="AF93" s="188" t="str">
        <f>IF(Actuals!BF92="","",Actuals!BF92)</f>
        <v>Sum</v>
      </c>
      <c r="AG93" s="26" t="str">
        <f t="shared" si="100"/>
        <v>Customer Success C.S. upsell / cross-sell ARR</v>
      </c>
      <c r="AH93" s="197">
        <f>IF($AF93="Sum",SUM(S93:U93),IF($AF93="Average",AVERAGE(S93:U93),IF($AF93="EoP",IV93,"ERROR")))</f>
        <v>239000</v>
      </c>
      <c r="AI93" s="197">
        <f>IF($AF93="Sum",SUM(V93:X93),IF($AF93="Average",AVERAGE(V93:X93),IF($AF93="EoP",U93,"ERROR")))</f>
        <v>344000</v>
      </c>
      <c r="AJ93" s="197">
        <f>IF($AF93="Sum",SUM(X93:Z93),IF($AF93="Average",AVERAGE(X93:Z93),IF($AF93="EoP",Z93,"ERROR")))</f>
        <v>344000</v>
      </c>
      <c r="AK93" s="197">
        <f>IF($AF93="Sum",SUM(AB93:AD93),IF($AF93="Average",AVERAGE(AB93:AD93),IF($AF93="EoP",AD93,"ERROR")))</f>
        <v>449000</v>
      </c>
      <c r="AL93" s="197">
        <f ca="1">IF(AF93="EoP",OFFSET(S93,0,MONTH('2024 Control'!$C$4)-1),SUM(S93:OFFSET(S93,0,MONTH('2024 Control'!$C$4)-1))/IF(AF93="Sum",1,MONTH('2024 Control'!$C$4)))</f>
        <v>1376000</v>
      </c>
      <c r="AM93" s="304">
        <f ca="1">IF(AF93="Sum",(SUM(OFFSET(S93,0,MONTH('2024 Control'!$C$4)-12):OFFSET(S93,0,MONTH('2024 Control'!$C$4)-1))),IF(AF93="Average",(SUM(OFFSET(S93,0,MONTH('2024 Control'!$C$4)-12):OFFSET(S93,0,MONTH('2024 Control'!$C$4)-1)))/12,"-"))</f>
        <v>1376000</v>
      </c>
    </row>
    <row r="94" spans="2:39">
      <c r="B94" s="26" t="s">
        <v>24</v>
      </c>
      <c r="C94" s="26" t="s">
        <v>194</v>
      </c>
      <c r="D94" s="26" t="str">
        <f t="shared" si="98"/>
        <v>Customer Success C.S. expense</v>
      </c>
      <c r="E94" s="26" t="s">
        <v>196</v>
      </c>
      <c r="F94" s="186" t="str">
        <f>Actuals!F93</f>
        <v>$</v>
      </c>
      <c r="G94" s="226">
        <f>-G111</f>
        <v>52000</v>
      </c>
      <c r="H94" s="226">
        <f t="shared" ref="H94:R94" si="104">-H111</f>
        <v>52000</v>
      </c>
      <c r="I94" s="226">
        <f t="shared" si="104"/>
        <v>52000</v>
      </c>
      <c r="J94" s="226">
        <f t="shared" si="104"/>
        <v>59500</v>
      </c>
      <c r="K94" s="226">
        <f t="shared" si="104"/>
        <v>59500</v>
      </c>
      <c r="L94" s="226">
        <f t="shared" si="104"/>
        <v>59500</v>
      </c>
      <c r="M94" s="226">
        <f t="shared" si="104"/>
        <v>76000</v>
      </c>
      <c r="N94" s="226">
        <f t="shared" si="104"/>
        <v>76000</v>
      </c>
      <c r="O94" s="226">
        <f t="shared" si="104"/>
        <v>76000</v>
      </c>
      <c r="P94" s="226">
        <f t="shared" si="104"/>
        <v>76000</v>
      </c>
      <c r="Q94" s="226">
        <f t="shared" si="104"/>
        <v>76000</v>
      </c>
      <c r="R94" s="226">
        <f t="shared" si="104"/>
        <v>76000</v>
      </c>
      <c r="S94" s="225">
        <v>135812</v>
      </c>
      <c r="T94" s="225">
        <v>135100</v>
      </c>
      <c r="U94" s="225">
        <v>135100</v>
      </c>
      <c r="V94" s="225">
        <v>137500</v>
      </c>
      <c r="W94" s="225">
        <v>135100</v>
      </c>
      <c r="X94" s="225">
        <v>135100</v>
      </c>
      <c r="Y94" s="225">
        <v>140305</v>
      </c>
      <c r="Z94" s="225">
        <v>140305</v>
      </c>
      <c r="AA94" s="225">
        <v>141505</v>
      </c>
      <c r="AB94" s="225">
        <v>140305</v>
      </c>
      <c r="AC94" s="225">
        <v>140305</v>
      </c>
      <c r="AD94" s="225">
        <v>140305</v>
      </c>
      <c r="AE94" s="26"/>
      <c r="AF94" s="188" t="str">
        <f>IF(Actuals!BF93="","",Actuals!BF93)</f>
        <v>Sum</v>
      </c>
      <c r="AG94" s="26" t="str">
        <f t="shared" si="100"/>
        <v>Customer Success C.S. expense</v>
      </c>
      <c r="AH94" s="197">
        <f>IF($AF94="Sum",SUM(S94:U94),IF($AF94="Average",AVERAGE(S94:U94),IF($AF94="EoP",IV94,"ERROR")))</f>
        <v>406012</v>
      </c>
      <c r="AI94" s="197">
        <f>IF($AF94="Sum",SUM(V94:X94),IF($AF94="Average",AVERAGE(V94:X94),IF($AF94="EoP",U94,"ERROR")))</f>
        <v>407700</v>
      </c>
      <c r="AJ94" s="197">
        <f>IF($AF94="Sum",SUM(X94:Z94),IF($AF94="Average",AVERAGE(X94:Z94),IF($AF94="EoP",Z94,"ERROR")))</f>
        <v>415710</v>
      </c>
      <c r="AK94" s="197">
        <f>IF($AF94="Sum",SUM(AB94:AD94),IF($AF94="Average",AVERAGE(AB94:AD94),IF($AF94="EoP",AD94,"ERROR")))</f>
        <v>420915</v>
      </c>
      <c r="AL94" s="197">
        <f ca="1">IF(AF94="EoP",OFFSET(S94,0,MONTH('2024 Control'!$C$4)-1),SUM(S94:OFFSET(S94,0,MONTH('2024 Control'!$C$4)-1))/IF(AF94="Sum",1,MONTH('2024 Control'!$C$4)))</f>
        <v>1656742</v>
      </c>
      <c r="AM94" s="304">
        <f ca="1">IF(AF94="Sum",(SUM(OFFSET(S94,0,MONTH('2024 Control'!$C$4)-12):OFFSET(S94,0,MONTH('2024 Control'!$C$4)-1))),IF(AF94="Average",(SUM(OFFSET(S94,0,MONTH('2024 Control'!$C$4)-12):OFFSET(S94,0,MONTH('2024 Control'!$C$4)-1)))/12,"-"))</f>
        <v>1656742</v>
      </c>
    </row>
    <row r="95" spans="2:39">
      <c r="B95" s="26" t="s">
        <v>24</v>
      </c>
      <c r="C95" s="26" t="s">
        <v>194</v>
      </c>
      <c r="D95" s="26" t="str">
        <f t="shared" si="98"/>
        <v>Customer Success C.S. exp. per $1 ARR</v>
      </c>
      <c r="E95" s="26" t="s">
        <v>197</v>
      </c>
      <c r="F95" s="186" t="str">
        <f>Actuals!F94</f>
        <v>$</v>
      </c>
      <c r="G95" s="275" t="str">
        <f>IFERROR(G94/G93,"n.a.")</f>
        <v>n.a.</v>
      </c>
      <c r="H95" s="275" t="str">
        <f t="shared" ref="H95:R95" si="105">IFERROR(H94/H93,"n.a.")</f>
        <v>n.a.</v>
      </c>
      <c r="I95" s="275">
        <f t="shared" si="105"/>
        <v>0.18055555555555555</v>
      </c>
      <c r="J95" s="275" t="str">
        <f t="shared" si="105"/>
        <v>n.a.</v>
      </c>
      <c r="K95" s="275" t="str">
        <f t="shared" si="105"/>
        <v>n.a.</v>
      </c>
      <c r="L95" s="275">
        <f t="shared" si="105"/>
        <v>0.22537878787878787</v>
      </c>
      <c r="M95" s="275" t="str">
        <f t="shared" si="105"/>
        <v>n.a.</v>
      </c>
      <c r="N95" s="275" t="str">
        <f t="shared" si="105"/>
        <v>n.a.</v>
      </c>
      <c r="O95" s="275">
        <f t="shared" si="105"/>
        <v>0.35185185185185186</v>
      </c>
      <c r="P95" s="275" t="str">
        <f t="shared" si="105"/>
        <v>n.a.</v>
      </c>
      <c r="Q95" s="275" t="str">
        <f t="shared" si="105"/>
        <v>n.a.</v>
      </c>
      <c r="R95" s="275">
        <f t="shared" si="105"/>
        <v>0.17592592592592593</v>
      </c>
      <c r="S95" s="348" t="e">
        <f>S94/S93</f>
        <v>#DIV/0!</v>
      </c>
      <c r="T95" s="348" t="e">
        <f t="shared" ref="T95:AD95" si="106">T94/T93</f>
        <v>#DIV/0!</v>
      </c>
      <c r="U95" s="348">
        <f t="shared" si="106"/>
        <v>0.56527196652719669</v>
      </c>
      <c r="V95" s="348" t="e">
        <f t="shared" si="106"/>
        <v>#DIV/0!</v>
      </c>
      <c r="W95" s="348" t="e">
        <f t="shared" si="106"/>
        <v>#DIV/0!</v>
      </c>
      <c r="X95" s="348">
        <f t="shared" si="106"/>
        <v>0.39273255813953489</v>
      </c>
      <c r="Y95" s="348" t="e">
        <f t="shared" si="106"/>
        <v>#DIV/0!</v>
      </c>
      <c r="Z95" s="348" t="e">
        <f t="shared" si="106"/>
        <v>#DIV/0!</v>
      </c>
      <c r="AA95" s="348">
        <f t="shared" si="106"/>
        <v>0.41135174418604653</v>
      </c>
      <c r="AB95" s="348" t="e">
        <f t="shared" si="106"/>
        <v>#DIV/0!</v>
      </c>
      <c r="AC95" s="348" t="e">
        <f t="shared" si="106"/>
        <v>#DIV/0!</v>
      </c>
      <c r="AD95" s="348">
        <f t="shared" si="106"/>
        <v>0.31248329621380844</v>
      </c>
      <c r="AE95" s="26"/>
      <c r="AF95" s="188" t="str">
        <f>IF(Actuals!BF94="","",Actuals!BF94)</f>
        <v/>
      </c>
      <c r="AG95" s="26" t="str">
        <f t="shared" si="100"/>
        <v>Customer Success C.S. exp. per $1 ARR</v>
      </c>
      <c r="AH95" s="218">
        <f>IFERROR(AH94/AH93,"-")</f>
        <v>1.6987949790794978</v>
      </c>
      <c r="AI95" s="218">
        <f t="shared" ref="AI95:AL95" si="107">IFERROR(AI94/AI93,"-")</f>
        <v>1.1851744186046511</v>
      </c>
      <c r="AJ95" s="218">
        <f t="shared" si="107"/>
        <v>1.2084593023255814</v>
      </c>
      <c r="AK95" s="218">
        <f t="shared" si="107"/>
        <v>0.93744988864142542</v>
      </c>
      <c r="AL95" s="218">
        <f t="shared" ca="1" si="107"/>
        <v>1.2040276162790697</v>
      </c>
      <c r="AM95" s="304" t="str">
        <f ca="1">IF(AF95="Sum",(SUM(OFFSET(S95,0,MONTH('2024 Control'!$C$4)-12):OFFSET(S95,0,MONTH('2024 Control'!$C$4)-1))),IF(AF95="Average",(SUM(OFFSET(S95,0,MONTH('2024 Control'!$C$4)-12):OFFSET(S95,0,MONTH('2024 Control'!$C$4)-1)))/12,"-"))</f>
        <v>-</v>
      </c>
    </row>
    <row r="96" spans="2:39">
      <c r="B96" s="26" t="s">
        <v>198</v>
      </c>
      <c r="C96" s="26" t="s">
        <v>198</v>
      </c>
      <c r="D96" s="26" t="str">
        <f t="shared" si="98"/>
        <v>Onboarding In-Progress (BoP)</v>
      </c>
      <c r="E96" s="26" t="s">
        <v>199</v>
      </c>
      <c r="F96" s="186" t="str">
        <f>Actuals!F95</f>
        <v>#</v>
      </c>
      <c r="G96" s="228"/>
      <c r="H96" s="228"/>
      <c r="I96" s="228"/>
      <c r="J96" s="228"/>
      <c r="K96" s="228"/>
      <c r="L96" s="228"/>
      <c r="M96" s="228"/>
      <c r="N96" s="228"/>
      <c r="O96" s="228"/>
      <c r="P96" s="228"/>
      <c r="Q96" s="228"/>
      <c r="R96" s="228"/>
      <c r="S96" s="228"/>
      <c r="T96" s="228"/>
      <c r="U96" s="228"/>
      <c r="V96" s="228"/>
      <c r="W96" s="228"/>
      <c r="X96" s="228"/>
      <c r="Y96" s="228"/>
      <c r="Z96" s="228"/>
      <c r="AA96" s="228"/>
      <c r="AB96" s="228"/>
      <c r="AC96" s="228"/>
      <c r="AD96" s="228"/>
      <c r="AE96" s="26"/>
      <c r="AF96" s="188" t="str">
        <f>IF(Actuals!BF95="","",Actuals!BF95)</f>
        <v>EoP</v>
      </c>
      <c r="AG96" s="26" t="str">
        <f t="shared" si="100"/>
        <v>Onboarding In-Progress (BoP)</v>
      </c>
      <c r="AH96" s="195">
        <f t="shared" ref="AH96:AH123" si="108">IF($AF96="Sum",SUM(S96:U96),IF($AF96="Average",AVERAGE(S96:U96),IF($AF96="EoP",IV96,"ERROR")))</f>
        <v>0</v>
      </c>
      <c r="AI96" s="195">
        <f t="shared" ref="AI96:AI123" si="109">IF($AF96="Sum",SUM(V96:X96),IF($AF96="Average",AVERAGE(V96:X96),IF($AF96="EoP",U96,"ERROR")))</f>
        <v>0</v>
      </c>
      <c r="AJ96" s="195">
        <f t="shared" ref="AJ96:AJ123" si="110">IF($AF96="Sum",SUM(X96:Z96),IF($AF96="Average",AVERAGE(X96:Z96),IF($AF96="EoP",Z96,"ERROR")))</f>
        <v>0</v>
      </c>
      <c r="AK96" s="195">
        <f t="shared" ref="AK96:AK123" si="111">IF($AF96="Sum",SUM(AB96:AD96),IF($AF96="Average",AVERAGE(AB96:AD96),IF($AF96="EoP",AD96,"ERROR")))</f>
        <v>0</v>
      </c>
      <c r="AL96" s="195">
        <f ca="1">IF(AF96="EoP",OFFSET(S96,0,MONTH('2024 Control'!$C$4)-1),SUM(S96:OFFSET(S96,0,MONTH('2024 Control'!$C$4)-1))/IF(AF96="Sum",1,MONTH('2024 Control'!$C$4)))</f>
        <v>0</v>
      </c>
      <c r="AM96" s="304" t="str">
        <f ca="1">IF(AF96="Sum",(SUM(OFFSET(S96,0,MONTH('2024 Control'!$C$4)-12):OFFSET(S96,0,MONTH('2024 Control'!$C$4)-1))),IF(AF96="Average",(SUM(OFFSET(S96,0,MONTH('2024 Control'!$C$4)-12):OFFSET(S96,0,MONTH('2024 Control'!$C$4)-1)))/12,"-"))</f>
        <v>-</v>
      </c>
    </row>
    <row r="97" spans="2:39">
      <c r="B97" s="26" t="s">
        <v>198</v>
      </c>
      <c r="C97" s="26" t="s">
        <v>198</v>
      </c>
      <c r="D97" s="26" t="str">
        <f t="shared" si="98"/>
        <v>Onboarding + New in Period</v>
      </c>
      <c r="E97" s="26" t="s">
        <v>201</v>
      </c>
      <c r="F97" s="186" t="str">
        <f>Actuals!F96</f>
        <v>#</v>
      </c>
      <c r="G97" s="228"/>
      <c r="H97" s="228"/>
      <c r="I97" s="228"/>
      <c r="J97" s="228"/>
      <c r="K97" s="228"/>
      <c r="L97" s="228"/>
      <c r="M97" s="228"/>
      <c r="N97" s="228"/>
      <c r="O97" s="228"/>
      <c r="P97" s="228"/>
      <c r="Q97" s="228"/>
      <c r="R97" s="228"/>
      <c r="S97" s="228"/>
      <c r="T97" s="228"/>
      <c r="U97" s="228"/>
      <c r="V97" s="228"/>
      <c r="W97" s="228"/>
      <c r="X97" s="228"/>
      <c r="Y97" s="228"/>
      <c r="Z97" s="228"/>
      <c r="AA97" s="228"/>
      <c r="AB97" s="228"/>
      <c r="AC97" s="228"/>
      <c r="AD97" s="228"/>
      <c r="AE97" s="26"/>
      <c r="AF97" s="188" t="str">
        <f>IF(Actuals!BF96="","",Actuals!BF96)</f>
        <v>Sum</v>
      </c>
      <c r="AG97" s="26" t="str">
        <f t="shared" si="100"/>
        <v>Onboarding + New in Period</v>
      </c>
      <c r="AH97" s="195">
        <f t="shared" si="108"/>
        <v>0</v>
      </c>
      <c r="AI97" s="195">
        <f t="shared" si="109"/>
        <v>0</v>
      </c>
      <c r="AJ97" s="195">
        <f t="shared" si="110"/>
        <v>0</v>
      </c>
      <c r="AK97" s="195">
        <f t="shared" si="111"/>
        <v>0</v>
      </c>
      <c r="AL97" s="195">
        <f ca="1">IF(AF97="EoP",OFFSET(S97,0,MONTH('2024 Control'!$C$4)-1),SUM(S97:OFFSET(S97,0,MONTH('2024 Control'!$C$4)-1))/IF(AF97="Sum",1,MONTH('2024 Control'!$C$4)))</f>
        <v>0</v>
      </c>
      <c r="AM97" s="304">
        <f ca="1">IF(AF97="Sum",(SUM(OFFSET(S97,0,MONTH('2024 Control'!$C$4)-12):OFFSET(S97,0,MONTH('2024 Control'!$C$4)-1))),IF(AF97="Average",(SUM(OFFSET(S97,0,MONTH('2024 Control'!$C$4)-12):OFFSET(S97,0,MONTH('2024 Control'!$C$4)-1)))/12,"-"))</f>
        <v>0</v>
      </c>
    </row>
    <row r="98" spans="2:39">
      <c r="B98" s="26" t="s">
        <v>198</v>
      </c>
      <c r="C98" s="26" t="s">
        <v>198</v>
      </c>
      <c r="D98" s="26" t="str">
        <f t="shared" si="98"/>
        <v>Onboarding - Closed in Period</v>
      </c>
      <c r="E98" s="26" t="s">
        <v>202</v>
      </c>
      <c r="F98" s="186" t="str">
        <f>Actuals!F97</f>
        <v>#</v>
      </c>
      <c r="G98" s="228"/>
      <c r="H98" s="228"/>
      <c r="I98" s="228"/>
      <c r="J98" s="228"/>
      <c r="K98" s="228"/>
      <c r="L98" s="228"/>
      <c r="M98" s="228"/>
      <c r="N98" s="228"/>
      <c r="O98" s="228"/>
      <c r="P98" s="228"/>
      <c r="Q98" s="228"/>
      <c r="R98" s="228"/>
      <c r="S98" s="228"/>
      <c r="T98" s="228"/>
      <c r="U98" s="228"/>
      <c r="V98" s="228"/>
      <c r="W98" s="228"/>
      <c r="X98" s="228"/>
      <c r="Y98" s="228"/>
      <c r="Z98" s="228"/>
      <c r="AA98" s="228"/>
      <c r="AB98" s="228"/>
      <c r="AC98" s="228"/>
      <c r="AD98" s="228"/>
      <c r="AE98" s="26"/>
      <c r="AF98" s="188" t="str">
        <f>IF(Actuals!BF97="","",Actuals!BF97)</f>
        <v>Sum</v>
      </c>
      <c r="AG98" s="26" t="str">
        <f t="shared" si="100"/>
        <v>Onboarding - Closed in Period</v>
      </c>
      <c r="AH98" s="195">
        <f t="shared" si="108"/>
        <v>0</v>
      </c>
      <c r="AI98" s="195">
        <f t="shared" si="109"/>
        <v>0</v>
      </c>
      <c r="AJ98" s="195">
        <f t="shared" si="110"/>
        <v>0</v>
      </c>
      <c r="AK98" s="195">
        <f t="shared" si="111"/>
        <v>0</v>
      </c>
      <c r="AL98" s="195">
        <f ca="1">IF(AF98="EoP",OFFSET(S98,0,MONTH('2024 Control'!$C$4)-1),SUM(S98:OFFSET(S98,0,MONTH('2024 Control'!$C$4)-1))/IF(AF98="Sum",1,MONTH('2024 Control'!$C$4)))</f>
        <v>0</v>
      </c>
      <c r="AM98" s="304">
        <f ca="1">IF(AF98="Sum",(SUM(OFFSET(S98,0,MONTH('2024 Control'!$C$4)-12):OFFSET(S98,0,MONTH('2024 Control'!$C$4)-1))),IF(AF98="Average",(SUM(OFFSET(S98,0,MONTH('2024 Control'!$C$4)-12):OFFSET(S98,0,MONTH('2024 Control'!$C$4)-1)))/12,"-"))</f>
        <v>0</v>
      </c>
    </row>
    <row r="99" spans="2:39">
      <c r="B99" s="26" t="s">
        <v>198</v>
      </c>
      <c r="C99" s="26" t="s">
        <v>198</v>
      </c>
      <c r="D99" s="26" t="str">
        <f t="shared" si="98"/>
        <v>Onboarding In-Progress (EoP)</v>
      </c>
      <c r="E99" s="26" t="s">
        <v>203</v>
      </c>
      <c r="F99" s="186" t="str">
        <f>Actuals!F98</f>
        <v>#</v>
      </c>
      <c r="G99" s="228"/>
      <c r="H99" s="228"/>
      <c r="I99" s="228"/>
      <c r="J99" s="228"/>
      <c r="K99" s="228"/>
      <c r="L99" s="228"/>
      <c r="M99" s="228"/>
      <c r="N99" s="228"/>
      <c r="O99" s="228"/>
      <c r="P99" s="228"/>
      <c r="Q99" s="228"/>
      <c r="R99" s="228"/>
      <c r="S99" s="228"/>
      <c r="T99" s="228"/>
      <c r="U99" s="228"/>
      <c r="V99" s="228"/>
      <c r="W99" s="228"/>
      <c r="X99" s="228"/>
      <c r="Y99" s="228"/>
      <c r="Z99" s="228"/>
      <c r="AA99" s="228"/>
      <c r="AB99" s="228"/>
      <c r="AC99" s="228"/>
      <c r="AD99" s="228"/>
      <c r="AE99" s="26"/>
      <c r="AF99" s="188" t="str">
        <f>IF(Actuals!BF98="","",Actuals!BF98)</f>
        <v>EoP</v>
      </c>
      <c r="AG99" s="26" t="str">
        <f t="shared" si="100"/>
        <v>Onboarding In-Progress (EoP)</v>
      </c>
      <c r="AH99" s="195">
        <f t="shared" si="108"/>
        <v>0</v>
      </c>
      <c r="AI99" s="195">
        <f t="shared" si="109"/>
        <v>0</v>
      </c>
      <c r="AJ99" s="195">
        <f t="shared" si="110"/>
        <v>0</v>
      </c>
      <c r="AK99" s="195">
        <f t="shared" si="111"/>
        <v>0</v>
      </c>
      <c r="AL99" s="195">
        <f ca="1">IF(AF99="EoP",OFFSET(S99,0,MONTH('2024 Control'!$C$4)-1),SUM(S99:OFFSET(S99,0,MONTH('2024 Control'!$C$4)-1))/IF(AF99="Sum",1,MONTH('2024 Control'!$C$4)))</f>
        <v>0</v>
      </c>
      <c r="AM99" s="304" t="str">
        <f ca="1">IF(AF99="Sum",(SUM(OFFSET(S99,0,MONTH('2024 Control'!$C$4)-12):OFFSET(S99,0,MONTH('2024 Control'!$C$4)-1))),IF(AF99="Average",(SUM(OFFSET(S99,0,MONTH('2024 Control'!$C$4)-12):OFFSET(S99,0,MONTH('2024 Control'!$C$4)-1)))/12,"-"))</f>
        <v>-</v>
      </c>
    </row>
    <row r="100" spans="2:39">
      <c r="B100" s="26" t="s">
        <v>198</v>
      </c>
      <c r="C100" s="26" t="s">
        <v>198</v>
      </c>
      <c r="D100" s="26" t="str">
        <f t="shared" si="98"/>
        <v>Onboarding Avg. Age of Ongoing Onboardings</v>
      </c>
      <c r="E100" s="26" t="s">
        <v>204</v>
      </c>
      <c r="F100" s="186" t="str">
        <f>Actuals!F99</f>
        <v>#</v>
      </c>
      <c r="G100" s="228"/>
      <c r="H100" s="228"/>
      <c r="I100" s="228"/>
      <c r="J100" s="228"/>
      <c r="K100" s="228"/>
      <c r="L100" s="228"/>
      <c r="M100" s="228"/>
      <c r="N100" s="228"/>
      <c r="O100" s="228"/>
      <c r="P100" s="228"/>
      <c r="Q100" s="228"/>
      <c r="R100" s="228"/>
      <c r="S100" s="228"/>
      <c r="T100" s="228"/>
      <c r="U100" s="228"/>
      <c r="V100" s="228"/>
      <c r="W100" s="228"/>
      <c r="X100" s="228"/>
      <c r="Y100" s="228"/>
      <c r="Z100" s="228"/>
      <c r="AA100" s="228"/>
      <c r="AB100" s="228"/>
      <c r="AC100" s="228"/>
      <c r="AD100" s="228"/>
      <c r="AE100" s="26"/>
      <c r="AF100" s="188" t="str">
        <f>IF(Actuals!BF99="","",Actuals!BF99)</f>
        <v>Average</v>
      </c>
      <c r="AG100" s="26" t="str">
        <f t="shared" si="100"/>
        <v>Onboarding Avg. Age of Ongoing Onboardings</v>
      </c>
      <c r="AH100" s="195" t="e">
        <f t="shared" si="108"/>
        <v>#DIV/0!</v>
      </c>
      <c r="AI100" s="195" t="e">
        <f t="shared" si="109"/>
        <v>#DIV/0!</v>
      </c>
      <c r="AJ100" s="195" t="e">
        <f t="shared" si="110"/>
        <v>#DIV/0!</v>
      </c>
      <c r="AK100" s="195" t="e">
        <f t="shared" si="111"/>
        <v>#DIV/0!</v>
      </c>
      <c r="AL100" s="195">
        <f ca="1">IF(AF100="EoP",OFFSET(S100,0,MONTH('2024 Control'!$C$4)-1),SUM(S100:OFFSET(S100,0,MONTH('2024 Control'!$C$4)-1))/IF(AF100="Sum",1,MONTH('2024 Control'!$C$4)))</f>
        <v>0</v>
      </c>
      <c r="AM100" s="304">
        <f ca="1">IF(AF100="Sum",(SUM(OFFSET(S100,0,MONTH('2024 Control'!$C$4)-12):OFFSET(S100,0,MONTH('2024 Control'!$C$4)-1))),IF(AF100="Average",(SUM(OFFSET(S100,0,MONTH('2024 Control'!$C$4)-12):OFFSET(S100,0,MONTH('2024 Control'!$C$4)-1)))/12,"-"))</f>
        <v>0</v>
      </c>
    </row>
    <row r="101" spans="2:39">
      <c r="B101" s="26" t="s">
        <v>198</v>
      </c>
      <c r="C101" s="26" t="s">
        <v>198</v>
      </c>
      <c r="D101" s="26" t="str">
        <f t="shared" si="98"/>
        <v>Onboarding Onboarding Revenue</v>
      </c>
      <c r="E101" s="26" t="s">
        <v>205</v>
      </c>
      <c r="F101" s="186" t="str">
        <f>Actuals!F100</f>
        <v>$</v>
      </c>
      <c r="G101" s="228"/>
      <c r="H101" s="228"/>
      <c r="I101" s="228"/>
      <c r="J101" s="228"/>
      <c r="K101" s="228"/>
      <c r="L101" s="228"/>
      <c r="M101" s="228"/>
      <c r="N101" s="228"/>
      <c r="O101" s="228"/>
      <c r="P101" s="228"/>
      <c r="Q101" s="228"/>
      <c r="R101" s="228"/>
      <c r="S101" s="228"/>
      <c r="T101" s="228"/>
      <c r="U101" s="228"/>
      <c r="V101" s="228"/>
      <c r="W101" s="228"/>
      <c r="X101" s="228"/>
      <c r="Y101" s="228"/>
      <c r="Z101" s="228"/>
      <c r="AA101" s="228"/>
      <c r="AB101" s="228"/>
      <c r="AC101" s="228"/>
      <c r="AD101" s="228"/>
      <c r="AE101" s="26"/>
      <c r="AF101" s="188" t="str">
        <f>IF(Actuals!BF100="","",Actuals!BF100)</f>
        <v>Sum</v>
      </c>
      <c r="AG101" s="26" t="str">
        <f t="shared" si="100"/>
        <v>Onboarding Onboarding Revenue</v>
      </c>
      <c r="AH101" s="197">
        <f t="shared" si="108"/>
        <v>0</v>
      </c>
      <c r="AI101" s="197">
        <f t="shared" si="109"/>
        <v>0</v>
      </c>
      <c r="AJ101" s="197">
        <f t="shared" si="110"/>
        <v>0</v>
      </c>
      <c r="AK101" s="197">
        <f t="shared" si="111"/>
        <v>0</v>
      </c>
      <c r="AL101" s="197">
        <f ca="1">IF(AF101="EoP",OFFSET(S101,0,MONTH('2024 Control'!$C$4)-1),SUM(S101:OFFSET(S101,0,MONTH('2024 Control'!$C$4)-1))/IF(AF101="Sum",1,MONTH('2024 Control'!$C$4)))</f>
        <v>0</v>
      </c>
      <c r="AM101" s="304">
        <f ca="1">IF(AF101="Sum",(SUM(OFFSET(S101,0,MONTH('2024 Control'!$C$4)-12):OFFSET(S101,0,MONTH('2024 Control'!$C$4)-1))),IF(AF101="Average",(SUM(OFFSET(S101,0,MONTH('2024 Control'!$C$4)-12):OFFSET(S101,0,MONTH('2024 Control'!$C$4)-1)))/12,"-"))</f>
        <v>0</v>
      </c>
    </row>
    <row r="102" spans="2:39">
      <c r="B102" s="26" t="s">
        <v>198</v>
      </c>
      <c r="C102" s="26" t="s">
        <v>57</v>
      </c>
      <c r="D102" s="26" t="str">
        <f t="shared" si="98"/>
        <v>Onboarding Headcount</v>
      </c>
      <c r="E102" s="26" t="s">
        <v>97</v>
      </c>
      <c r="F102" s="186" t="str">
        <f>Actuals!F101</f>
        <v>#</v>
      </c>
      <c r="G102" s="228"/>
      <c r="H102" s="228"/>
      <c r="I102" s="228"/>
      <c r="J102" s="228"/>
      <c r="K102" s="228"/>
      <c r="L102" s="228"/>
      <c r="M102" s="228"/>
      <c r="N102" s="228"/>
      <c r="O102" s="228"/>
      <c r="P102" s="228"/>
      <c r="Q102" s="228"/>
      <c r="R102" s="228"/>
      <c r="S102" s="228"/>
      <c r="T102" s="228"/>
      <c r="U102" s="228"/>
      <c r="V102" s="228"/>
      <c r="W102" s="228"/>
      <c r="X102" s="228"/>
      <c r="Y102" s="228"/>
      <c r="Z102" s="228"/>
      <c r="AA102" s="228"/>
      <c r="AB102" s="228"/>
      <c r="AC102" s="228"/>
      <c r="AD102" s="228"/>
      <c r="AE102" s="26"/>
      <c r="AF102" s="188" t="str">
        <f>IF(Actuals!BF101="","",Actuals!BF101)</f>
        <v>EoP</v>
      </c>
      <c r="AG102" s="26" t="str">
        <f t="shared" si="100"/>
        <v>Onboarding Headcount</v>
      </c>
      <c r="AH102" s="195">
        <f t="shared" si="108"/>
        <v>0</v>
      </c>
      <c r="AI102" s="195">
        <f t="shared" si="109"/>
        <v>0</v>
      </c>
      <c r="AJ102" s="195">
        <f t="shared" si="110"/>
        <v>0</v>
      </c>
      <c r="AK102" s="195">
        <f t="shared" si="111"/>
        <v>0</v>
      </c>
      <c r="AL102" s="195">
        <f ca="1">IF(AF102="EoP",OFFSET(S102,0,MONTH('2024 Control'!$C$4)-1),SUM(S102:OFFSET(S102,0,MONTH('2024 Control'!$C$4)-1))/IF(AF102="Sum",1,MONTH('2024 Control'!$C$4)))</f>
        <v>0</v>
      </c>
      <c r="AM102" s="304" t="str">
        <f ca="1">IF(AF102="Sum",(SUM(OFFSET(S102,0,MONTH('2024 Control'!$C$4)-12):OFFSET(S102,0,MONTH('2024 Control'!$C$4)-1))),IF(AF102="Average",(SUM(OFFSET(S102,0,MONTH('2024 Control'!$C$4)-12):OFFSET(S102,0,MONTH('2024 Control'!$C$4)-1)))/12,"-"))</f>
        <v>-</v>
      </c>
    </row>
    <row r="103" spans="2:39">
      <c r="B103" s="26" t="s">
        <v>198</v>
      </c>
      <c r="C103" s="26" t="s">
        <v>57</v>
      </c>
      <c r="D103" s="26" t="str">
        <f t="shared" si="98"/>
        <v>Onboarding Onboarding. Rev - Onboarding Costs</v>
      </c>
      <c r="E103" s="26" t="s">
        <v>206</v>
      </c>
      <c r="F103" s="186" t="str">
        <f>Actuals!F102</f>
        <v>$</v>
      </c>
      <c r="G103" s="228"/>
      <c r="H103" s="228"/>
      <c r="I103" s="228"/>
      <c r="J103" s="228"/>
      <c r="K103" s="228"/>
      <c r="L103" s="228"/>
      <c r="M103" s="228"/>
      <c r="N103" s="228"/>
      <c r="O103" s="228"/>
      <c r="P103" s="228"/>
      <c r="Q103" s="228"/>
      <c r="R103" s="228"/>
      <c r="S103" s="228"/>
      <c r="T103" s="228"/>
      <c r="U103" s="228"/>
      <c r="V103" s="228"/>
      <c r="W103" s="228"/>
      <c r="X103" s="228"/>
      <c r="Y103" s="228"/>
      <c r="Z103" s="228"/>
      <c r="AA103" s="228"/>
      <c r="AB103" s="228"/>
      <c r="AC103" s="228"/>
      <c r="AD103" s="228"/>
      <c r="AE103" s="26"/>
      <c r="AF103" s="188" t="str">
        <f>IF(Actuals!BF102="","",Actuals!BF102)</f>
        <v>Sum</v>
      </c>
      <c r="AG103" s="26" t="str">
        <f t="shared" si="100"/>
        <v>Onboarding Onboarding. Rev - Onboarding Costs</v>
      </c>
      <c r="AH103" s="197">
        <f t="shared" si="108"/>
        <v>0</v>
      </c>
      <c r="AI103" s="197">
        <f t="shared" si="109"/>
        <v>0</v>
      </c>
      <c r="AJ103" s="197">
        <f t="shared" si="110"/>
        <v>0</v>
      </c>
      <c r="AK103" s="197">
        <f t="shared" si="111"/>
        <v>0</v>
      </c>
      <c r="AL103" s="197">
        <f ca="1">IF(AF103="EoP",OFFSET(S103,0,MONTH('2024 Control'!$C$4)-1),SUM(S103:OFFSET(S103,0,MONTH('2024 Control'!$C$4)-1))/IF(AF103="Sum",1,MONTH('2024 Control'!$C$4)))</f>
        <v>0</v>
      </c>
      <c r="AM103" s="304">
        <f ca="1">IF(AF103="Sum",(SUM(OFFSET(S103,0,MONTH('2024 Control'!$C$4)-12):OFFSET(S103,0,MONTH('2024 Control'!$C$4)-1))),IF(AF103="Average",(SUM(OFFSET(S103,0,MONTH('2024 Control'!$C$4)-12):OFFSET(S103,0,MONTH('2024 Control'!$C$4)-1)))/12,"-"))</f>
        <v>0</v>
      </c>
    </row>
    <row r="104" spans="2:39">
      <c r="B104" s="26" t="s">
        <v>4</v>
      </c>
      <c r="C104" s="26" t="s">
        <v>207</v>
      </c>
      <c r="D104" s="26" t="str">
        <f t="shared" si="98"/>
        <v>Finance ARR</v>
      </c>
      <c r="E104" s="26" t="s">
        <v>208</v>
      </c>
      <c r="F104" s="186" t="str">
        <f>Actuals!F103</f>
        <v>$</v>
      </c>
      <c r="G104" s="226">
        <f>536274*12</f>
        <v>6435288</v>
      </c>
      <c r="H104" s="226">
        <f>532548*12</f>
        <v>6390576</v>
      </c>
      <c r="I104" s="226">
        <f>528848*12+60000*12</f>
        <v>7066176</v>
      </c>
      <c r="J104" s="226">
        <f>525173*12+60000*12</f>
        <v>7022076</v>
      </c>
      <c r="K104" s="226">
        <f>521524*12+60000*12</f>
        <v>6978288</v>
      </c>
      <c r="L104" s="226">
        <f>517900*12+115000*12</f>
        <v>7594800</v>
      </c>
      <c r="M104" s="226">
        <f>514302*12+115000*12</f>
        <v>7551624</v>
      </c>
      <c r="N104" s="226">
        <f>510728*12+115000*12</f>
        <v>7508736</v>
      </c>
      <c r="O104" s="226">
        <f>507180*12+160000*12</f>
        <v>8006160</v>
      </c>
      <c r="P104" s="226">
        <f>503656*12+160000*12</f>
        <v>7963872</v>
      </c>
      <c r="Q104" s="226">
        <f>500156*12+160000*12</f>
        <v>7921872</v>
      </c>
      <c r="R104" s="226">
        <f>496681*12+250000*12</f>
        <v>8960172</v>
      </c>
      <c r="S104" s="225">
        <f>644215*12</f>
        <v>7730580</v>
      </c>
      <c r="T104" s="225">
        <f>638430*12</f>
        <v>7661160</v>
      </c>
      <c r="U104" s="225">
        <f>679280*12</f>
        <v>8151360</v>
      </c>
      <c r="V104" s="225">
        <f>673598*12</f>
        <v>8083176</v>
      </c>
      <c r="W104" s="225">
        <f>667967*12</f>
        <v>8015604</v>
      </c>
      <c r="X104" s="225">
        <f>728553*12</f>
        <v>8742636</v>
      </c>
      <c r="Y104" s="225">
        <f>723023*12</f>
        <v>8676276</v>
      </c>
      <c r="Z104" s="225">
        <f>717542*12</f>
        <v>8610504</v>
      </c>
      <c r="AA104" s="225">
        <f>778277*12</f>
        <v>9339324</v>
      </c>
      <c r="AB104" s="225">
        <f>772895*12</f>
        <v>9274740</v>
      </c>
      <c r="AC104" s="225">
        <f>767560*12</f>
        <v>9210720</v>
      </c>
      <c r="AD104" s="225">
        <f>848024*12</f>
        <v>10176288</v>
      </c>
      <c r="AE104" s="26"/>
      <c r="AF104" s="188" t="str">
        <f>IF(Actuals!BF103="","",Actuals!BF103)</f>
        <v>EoP</v>
      </c>
      <c r="AG104" s="26" t="str">
        <f t="shared" si="100"/>
        <v>Finance ARR</v>
      </c>
      <c r="AH104" s="196">
        <f t="shared" si="108"/>
        <v>0</v>
      </c>
      <c r="AI104" s="196">
        <f t="shared" si="109"/>
        <v>8151360</v>
      </c>
      <c r="AJ104" s="196">
        <f t="shared" si="110"/>
        <v>8610504</v>
      </c>
      <c r="AK104" s="196">
        <f t="shared" si="111"/>
        <v>10176288</v>
      </c>
      <c r="AL104" s="196">
        <f ca="1">IF(AF104="EoP",OFFSET(S104,0,MONTH('2024 Control'!$C$4)-1),SUM(S104:OFFSET(S104,0,MONTH('2024 Control'!$C$4)-1))/IF(AF104="Sum",1,MONTH('2024 Control'!$C$4)))</f>
        <v>10176288</v>
      </c>
      <c r="AM104" s="304" t="str">
        <f ca="1">IF(AF104="Sum",(SUM(OFFSET(S104,0,MONTH('2024 Control'!$C$4)-12):OFFSET(S104,0,MONTH('2024 Control'!$C$4)-1))),IF(AF104="Average",(SUM(OFFSET(S104,0,MONTH('2024 Control'!$C$4)-12):OFFSET(S104,0,MONTH('2024 Control'!$C$4)-1)))/12,"-"))</f>
        <v>-</v>
      </c>
    </row>
    <row r="105" spans="2:39">
      <c r="B105" s="26" t="s">
        <v>4</v>
      </c>
      <c r="C105" s="26" t="s">
        <v>207</v>
      </c>
      <c r="D105" s="26" t="str">
        <f t="shared" si="98"/>
        <v>Finance Revenue</v>
      </c>
      <c r="E105" s="26" t="s">
        <v>209</v>
      </c>
      <c r="F105" s="186" t="str">
        <f>Actuals!F104</f>
        <v>$</v>
      </c>
      <c r="G105" s="226">
        <v>553465</v>
      </c>
      <c r="H105" s="226">
        <v>549739</v>
      </c>
      <c r="I105" s="226">
        <v>598538</v>
      </c>
      <c r="J105" s="226">
        <v>602364</v>
      </c>
      <c r="K105" s="226">
        <v>597190</v>
      </c>
      <c r="L105" s="226">
        <v>654900</v>
      </c>
      <c r="M105" s="226">
        <v>643802</v>
      </c>
      <c r="N105" s="226">
        <v>640228</v>
      </c>
      <c r="O105" s="226">
        <v>699180</v>
      </c>
      <c r="P105" s="226">
        <v>678156</v>
      </c>
      <c r="Q105" s="226">
        <v>674656</v>
      </c>
      <c r="R105" s="226">
        <v>723681</v>
      </c>
      <c r="S105" s="225">
        <v>675548</v>
      </c>
      <c r="T105" s="225">
        <v>669763</v>
      </c>
      <c r="U105" s="225">
        <v>664030</v>
      </c>
      <c r="V105" s="225">
        <v>704931</v>
      </c>
      <c r="W105" s="225">
        <v>699300</v>
      </c>
      <c r="X105" s="225">
        <v>693720</v>
      </c>
      <c r="Y105" s="225">
        <v>754356</v>
      </c>
      <c r="Z105" s="225">
        <v>748875</v>
      </c>
      <c r="AA105" s="225">
        <v>743444</v>
      </c>
      <c r="AB105" s="225">
        <v>804228</v>
      </c>
      <c r="AC105" s="225">
        <v>798894</v>
      </c>
      <c r="AD105" s="225">
        <v>793607</v>
      </c>
      <c r="AE105" s="26"/>
      <c r="AF105" s="188" t="str">
        <f>IF(Actuals!BF104="","",Actuals!BF104)</f>
        <v>Sum</v>
      </c>
      <c r="AG105" s="26" t="str">
        <f t="shared" si="100"/>
        <v>Finance Revenue</v>
      </c>
      <c r="AH105" s="196">
        <f t="shared" si="108"/>
        <v>2009341</v>
      </c>
      <c r="AI105" s="196">
        <f t="shared" si="109"/>
        <v>2097951</v>
      </c>
      <c r="AJ105" s="196">
        <f t="shared" si="110"/>
        <v>2196951</v>
      </c>
      <c r="AK105" s="196">
        <f t="shared" si="111"/>
        <v>2396729</v>
      </c>
      <c r="AL105" s="196">
        <f ca="1">IF(AF105="EoP",OFFSET(S105,0,MONTH('2024 Control'!$C$4)-1),SUM(S105:OFFSET(S105,0,MONTH('2024 Control'!$C$4)-1))/IF(AF105="Sum",1,MONTH('2024 Control'!$C$4)))</f>
        <v>8750696</v>
      </c>
      <c r="AM105" s="304">
        <f ca="1">IF(AF105="Sum",(SUM(OFFSET(S105,0,MONTH('2024 Control'!$C$4)-12):OFFSET(S105,0,MONTH('2024 Control'!$C$4)-1))),IF(AF105="Average",(SUM(OFFSET(S105,0,MONTH('2024 Control'!$C$4)-12):OFFSET(S105,0,MONTH('2024 Control'!$C$4)-1)))/12,"-"))</f>
        <v>8750696</v>
      </c>
    </row>
    <row r="106" spans="2:39">
      <c r="B106" s="26" t="s">
        <v>4</v>
      </c>
      <c r="C106" s="26" t="s">
        <v>207</v>
      </c>
      <c r="D106" s="26" t="str">
        <f t="shared" si="98"/>
        <v>Finance (-) Service/Delivery (CoS/CoGS)</v>
      </c>
      <c r="E106" s="26" t="s">
        <v>210</v>
      </c>
      <c r="F106" s="186" t="str">
        <f>Actuals!F105</f>
        <v>$</v>
      </c>
      <c r="G106" s="226">
        <f>-241830-33250</f>
        <v>-275080</v>
      </c>
      <c r="H106" s="226">
        <f>-251030-8250</f>
        <v>-259280</v>
      </c>
      <c r="I106" s="226">
        <f>-274280-36250</f>
        <v>-310530</v>
      </c>
      <c r="J106" s="226">
        <f>-294530-33250</f>
        <v>-327780</v>
      </c>
      <c r="K106" s="226">
        <f>-294780-8250</f>
        <v>-303030</v>
      </c>
      <c r="L106" s="226">
        <f>-303030-36250</f>
        <v>-339280</v>
      </c>
      <c r="M106" s="226">
        <f>-325210-8250</f>
        <v>-333460</v>
      </c>
      <c r="N106" s="226">
        <f>-326710-8250</f>
        <v>-334960</v>
      </c>
      <c r="O106" s="226">
        <f>-326710-11250</f>
        <v>-337960</v>
      </c>
      <c r="P106" s="226">
        <f>-326710-8250</f>
        <v>-334960</v>
      </c>
      <c r="Q106" s="226">
        <f>-326710-8250</f>
        <v>-334960</v>
      </c>
      <c r="R106" s="226">
        <f>-326710-10550</f>
        <v>-337260</v>
      </c>
      <c r="S106" s="225">
        <v>-261700</v>
      </c>
      <c r="T106" s="225">
        <v>-258945</v>
      </c>
      <c r="U106" s="225">
        <v>-281520</v>
      </c>
      <c r="V106" s="225">
        <v>-292320</v>
      </c>
      <c r="W106" s="225">
        <v>-282320</v>
      </c>
      <c r="X106" s="225">
        <v>-281120</v>
      </c>
      <c r="Y106" s="225">
        <v>-298536</v>
      </c>
      <c r="Z106" s="225">
        <v>-303476</v>
      </c>
      <c r="AA106" s="225">
        <v>-299736</v>
      </c>
      <c r="AB106" s="225">
        <v>-299036</v>
      </c>
      <c r="AC106" s="225">
        <v>-299036</v>
      </c>
      <c r="AD106" s="225">
        <v>-300236</v>
      </c>
      <c r="AE106" s="26"/>
      <c r="AF106" s="188" t="str">
        <f>IF(Actuals!BF105="","",Actuals!BF105)</f>
        <v>Sum</v>
      </c>
      <c r="AG106" s="26" t="str">
        <f t="shared" si="100"/>
        <v>Finance (-) Service/Delivery (CoS/CoGS)</v>
      </c>
      <c r="AH106" s="196">
        <f t="shared" si="108"/>
        <v>-802165</v>
      </c>
      <c r="AI106" s="196">
        <f t="shared" si="109"/>
        <v>-855760</v>
      </c>
      <c r="AJ106" s="196">
        <f t="shared" si="110"/>
        <v>-883132</v>
      </c>
      <c r="AK106" s="196">
        <f t="shared" si="111"/>
        <v>-898308</v>
      </c>
      <c r="AL106" s="196">
        <f ca="1">IF(AF106="EoP",OFFSET(S106,0,MONTH('2024 Control'!$C$4)-1),SUM(S106:OFFSET(S106,0,MONTH('2024 Control'!$C$4)-1))/IF(AF106="Sum",1,MONTH('2024 Control'!$C$4)))</f>
        <v>-3457981</v>
      </c>
      <c r="AM106" s="304">
        <f ca="1">IF(AF106="Sum",(SUM(OFFSET(S106,0,MONTH('2024 Control'!$C$4)-12):OFFSET(S106,0,MONTH('2024 Control'!$C$4)-1))),IF(AF106="Average",(SUM(OFFSET(S106,0,MONTH('2024 Control'!$C$4)-12):OFFSET(S106,0,MONTH('2024 Control'!$C$4)-1)))/12,"-"))</f>
        <v>-3457981</v>
      </c>
    </row>
    <row r="107" spans="2:39">
      <c r="B107" s="26" t="s">
        <v>4</v>
      </c>
      <c r="C107" s="26" t="s">
        <v>207</v>
      </c>
      <c r="D107" s="26" t="str">
        <f t="shared" si="98"/>
        <v>Finance (-) Product</v>
      </c>
      <c r="E107" s="26" t="s">
        <v>211</v>
      </c>
      <c r="F107" s="186" t="str">
        <f>Actuals!F106</f>
        <v>$</v>
      </c>
      <c r="G107" s="228"/>
      <c r="H107" s="228"/>
      <c r="I107" s="228"/>
      <c r="J107" s="228"/>
      <c r="K107" s="228"/>
      <c r="L107" s="228"/>
      <c r="M107" s="228"/>
      <c r="N107" s="228"/>
      <c r="O107" s="228"/>
      <c r="P107" s="228"/>
      <c r="Q107" s="228"/>
      <c r="R107" s="228"/>
      <c r="S107" s="225">
        <f>-79149-356-300-2500</f>
        <v>-82305</v>
      </c>
      <c r="T107" s="225">
        <f>-79149-300</f>
        <v>-79449</v>
      </c>
      <c r="U107" s="225">
        <f t="shared" ref="U107" si="112">-79149-300</f>
        <v>-79449</v>
      </c>
      <c r="V107" s="225">
        <f>-79149-300-2000</f>
        <v>-81449</v>
      </c>
      <c r="W107" s="225">
        <f>-79149-300-1000</f>
        <v>-80449</v>
      </c>
      <c r="X107" s="225">
        <f>-79149-300-1000</f>
        <v>-80449</v>
      </c>
      <c r="Y107" s="225">
        <f>-81203-560-300-2000</f>
        <v>-84063</v>
      </c>
      <c r="Z107" s="225">
        <f>-81203-560-300-1000</f>
        <v>-83063</v>
      </c>
      <c r="AA107" s="225">
        <f>-81203-560-300-3000</f>
        <v>-85063</v>
      </c>
      <c r="AB107" s="225">
        <f>-81203-560-300-1000</f>
        <v>-83063</v>
      </c>
      <c r="AC107" s="225">
        <f t="shared" ref="AC107:AD107" si="113">-81203-560-300-1000</f>
        <v>-83063</v>
      </c>
      <c r="AD107" s="225">
        <f t="shared" si="113"/>
        <v>-83063</v>
      </c>
      <c r="AE107" s="26"/>
      <c r="AF107" s="188" t="str">
        <f>IF(Actuals!BF106="","",Actuals!BF106)</f>
        <v>Sum</v>
      </c>
      <c r="AG107" s="26" t="str">
        <f t="shared" si="100"/>
        <v>Finance (-) Product</v>
      </c>
      <c r="AH107" s="196">
        <f t="shared" si="108"/>
        <v>-241203</v>
      </c>
      <c r="AI107" s="196">
        <f t="shared" si="109"/>
        <v>-242347</v>
      </c>
      <c r="AJ107" s="196">
        <f t="shared" si="110"/>
        <v>-247575</v>
      </c>
      <c r="AK107" s="196">
        <f t="shared" si="111"/>
        <v>-249189</v>
      </c>
      <c r="AL107" s="196">
        <f ca="1">IF(AF107="EoP",OFFSET(S107,0,MONTH('2024 Control'!$C$4)-1),SUM(S107:OFFSET(S107,0,MONTH('2024 Control'!$C$4)-1))/IF(AF107="Sum",1,MONTH('2024 Control'!$C$4)))</f>
        <v>-984928</v>
      </c>
      <c r="AM107" s="304">
        <f ca="1">IF(AF107="Sum",(SUM(OFFSET(S107,0,MONTH('2024 Control'!$C$4)-12):OFFSET(S107,0,MONTH('2024 Control'!$C$4)-1))),IF(AF107="Average",(SUM(OFFSET(S107,0,MONTH('2024 Control'!$C$4)-12):OFFSET(S107,0,MONTH('2024 Control'!$C$4)-1)))/12,"-"))</f>
        <v>-984928</v>
      </c>
    </row>
    <row r="108" spans="2:39">
      <c r="B108" s="26" t="s">
        <v>4</v>
      </c>
      <c r="C108" s="26" t="s">
        <v>207</v>
      </c>
      <c r="D108" s="26" t="str">
        <f t="shared" si="98"/>
        <v>Finance (-) Technology</v>
      </c>
      <c r="E108" s="26" t="s">
        <v>212</v>
      </c>
      <c r="F108" s="186" t="str">
        <f>Actuals!F107</f>
        <v>$</v>
      </c>
      <c r="G108" s="226">
        <f>-128143-4759</f>
        <v>-132902</v>
      </c>
      <c r="H108" s="226">
        <f>-142427-10759</f>
        <v>-153186</v>
      </c>
      <c r="I108" s="226">
        <f>-182261-6259</f>
        <v>-188520</v>
      </c>
      <c r="J108" s="226">
        <f>-182261-3259</f>
        <v>-185520</v>
      </c>
      <c r="K108" s="226">
        <f>-182261-30759</f>
        <v>-213020</v>
      </c>
      <c r="L108" s="226">
        <f>-192261-6259</f>
        <v>-198520</v>
      </c>
      <c r="M108" s="226">
        <f>-197894-28359</f>
        <v>-226253</v>
      </c>
      <c r="N108" s="226">
        <f>-197894-5859</f>
        <v>-203753</v>
      </c>
      <c r="O108" s="226">
        <f>-207894-6359</f>
        <v>-214253</v>
      </c>
      <c r="P108" s="226">
        <f>-207894-3509</f>
        <v>-211403</v>
      </c>
      <c r="Q108" s="226">
        <f>-207894-5859</f>
        <v>-213753</v>
      </c>
      <c r="R108" s="226">
        <f>-207894-6359</f>
        <v>-214253</v>
      </c>
      <c r="S108" s="225">
        <f>-147499-712-600-2500-29000-1948-2500</f>
        <v>-184759</v>
      </c>
      <c r="T108" s="225">
        <f>-147499-600-2000-1948</f>
        <v>-152047</v>
      </c>
      <c r="U108" s="225">
        <f>-147499-600-2000-10000-20000-1948</f>
        <v>-182047</v>
      </c>
      <c r="V108" s="225">
        <f>-147499-600-2000-1948-2500</f>
        <v>-154547</v>
      </c>
      <c r="W108" s="225">
        <f>-147499-600-1000-1948</f>
        <v>-151047</v>
      </c>
      <c r="X108" s="225">
        <f>-147499-600-1000-1948</f>
        <v>-151047</v>
      </c>
      <c r="Y108" s="225">
        <f>-151046-1120-600-3000-10000-1948</f>
        <v>-167714</v>
      </c>
      <c r="Z108" s="225">
        <f>-151496-1120-600-1000-1948</f>
        <v>-156164</v>
      </c>
      <c r="AA108" s="225">
        <f>-151496-1120-600-1000-1948-2500</f>
        <v>-158664</v>
      </c>
      <c r="AB108" s="225">
        <f>-151496-1120-600-1000-1948-10000</f>
        <v>-166164</v>
      </c>
      <c r="AC108" s="225">
        <f>-151496-1120-600-1000-1948</f>
        <v>-156164</v>
      </c>
      <c r="AD108" s="225">
        <f>-151496-1120-600-1000-1948</f>
        <v>-156164</v>
      </c>
      <c r="AE108" s="26"/>
      <c r="AF108" s="188" t="str">
        <f>IF(Actuals!BF107="","",Actuals!BF107)</f>
        <v>Sum</v>
      </c>
      <c r="AG108" s="26" t="str">
        <f t="shared" si="100"/>
        <v>Finance (-) Technology</v>
      </c>
      <c r="AH108" s="196">
        <f t="shared" si="108"/>
        <v>-518853</v>
      </c>
      <c r="AI108" s="196">
        <f t="shared" si="109"/>
        <v>-456641</v>
      </c>
      <c r="AJ108" s="196">
        <f t="shared" si="110"/>
        <v>-474925</v>
      </c>
      <c r="AK108" s="196">
        <f t="shared" si="111"/>
        <v>-478492</v>
      </c>
      <c r="AL108" s="196">
        <f ca="1">IF(AF108="EoP",OFFSET(S108,0,MONTH('2024 Control'!$C$4)-1),SUM(S108:OFFSET(S108,0,MONTH('2024 Control'!$C$4)-1))/IF(AF108="Sum",1,MONTH('2024 Control'!$C$4)))</f>
        <v>-1936528</v>
      </c>
      <c r="AM108" s="304">
        <f ca="1">IF(AF108="Sum",(SUM(OFFSET(S108,0,MONTH('2024 Control'!$C$4)-12):OFFSET(S108,0,MONTH('2024 Control'!$C$4)-1))),IF(AF108="Average",(SUM(OFFSET(S108,0,MONTH('2024 Control'!$C$4)-12):OFFSET(S108,0,MONTH('2024 Control'!$C$4)-1)))/12,"-"))</f>
        <v>-1936528</v>
      </c>
    </row>
    <row r="109" spans="2:39">
      <c r="B109" s="26" t="s">
        <v>4</v>
      </c>
      <c r="C109" s="26" t="s">
        <v>207</v>
      </c>
      <c r="D109" s="26" t="str">
        <f t="shared" si="98"/>
        <v>Finance (-) Sales</v>
      </c>
      <c r="E109" s="26" t="s">
        <v>213</v>
      </c>
      <c r="F109" s="186" t="str">
        <f>Actuals!F108</f>
        <v>$</v>
      </c>
      <c r="G109" s="226">
        <f>-132104-9542</f>
        <v>-141646</v>
      </c>
      <c r="H109" s="226">
        <f>-149304-34542</f>
        <v>-183846</v>
      </c>
      <c r="I109" s="226">
        <f>-149304-10742</f>
        <v>-160046</v>
      </c>
      <c r="J109" s="226">
        <f>-158804-9542</f>
        <v>-168346</v>
      </c>
      <c r="K109" s="226">
        <f>-158804-8042</f>
        <v>-166846</v>
      </c>
      <c r="L109" s="226">
        <f>-158804-8042</f>
        <v>-166846</v>
      </c>
      <c r="M109" s="226">
        <f>-171488-10442</f>
        <v>-181930</v>
      </c>
      <c r="N109" s="226">
        <f>-171488-8042</f>
        <v>-179530</v>
      </c>
      <c r="O109" s="226">
        <f>-171488-32042</f>
        <v>-203530</v>
      </c>
      <c r="P109" s="226">
        <f>-171488-26042</f>
        <v>-197530</v>
      </c>
      <c r="Q109" s="226">
        <f>-171488-8042</f>
        <v>-179530</v>
      </c>
      <c r="R109" s="226">
        <f>-171488-9242</f>
        <v>-180730</v>
      </c>
      <c r="S109" s="351">
        <f>-S67</f>
        <v>-175862</v>
      </c>
      <c r="T109" s="351">
        <f t="shared" ref="T109:AD109" si="114">-T67</f>
        <v>-133450</v>
      </c>
      <c r="U109" s="351">
        <f t="shared" si="114"/>
        <v>-133450</v>
      </c>
      <c r="V109" s="351">
        <f t="shared" si="114"/>
        <v>-133450</v>
      </c>
      <c r="W109" s="351">
        <f t="shared" si="114"/>
        <v>-133450</v>
      </c>
      <c r="X109" s="351">
        <f t="shared" si="114"/>
        <v>-134650</v>
      </c>
      <c r="Y109" s="351">
        <f t="shared" si="114"/>
        <v>-139263</v>
      </c>
      <c r="Z109" s="351">
        <f t="shared" si="114"/>
        <v>-136263</v>
      </c>
      <c r="AA109" s="351">
        <f t="shared" si="114"/>
        <v>-136263</v>
      </c>
      <c r="AB109" s="351">
        <f t="shared" si="114"/>
        <v>-137463</v>
      </c>
      <c r="AC109" s="351">
        <f t="shared" si="114"/>
        <v>-136263</v>
      </c>
      <c r="AD109" s="351">
        <f t="shared" si="114"/>
        <v>-136263</v>
      </c>
      <c r="AE109" s="26"/>
      <c r="AF109" s="188" t="str">
        <f>IF(Actuals!BF108="","",Actuals!BF108)</f>
        <v>Sum</v>
      </c>
      <c r="AG109" s="26" t="str">
        <f t="shared" si="100"/>
        <v>Finance (-) Sales</v>
      </c>
      <c r="AH109" s="196">
        <f t="shared" si="108"/>
        <v>-442762</v>
      </c>
      <c r="AI109" s="196">
        <f t="shared" si="109"/>
        <v>-401550</v>
      </c>
      <c r="AJ109" s="196">
        <f t="shared" si="110"/>
        <v>-410176</v>
      </c>
      <c r="AK109" s="196">
        <f t="shared" si="111"/>
        <v>-409989</v>
      </c>
      <c r="AL109" s="196">
        <f ca="1">IF(AF109="EoP",OFFSET(S109,0,MONTH('2024 Control'!$C$4)-1),SUM(S109:OFFSET(S109,0,MONTH('2024 Control'!$C$4)-1))/IF(AF109="Sum",1,MONTH('2024 Control'!$C$4)))</f>
        <v>-1666090</v>
      </c>
      <c r="AM109" s="304">
        <f ca="1">IF(AF109="Sum",(SUM(OFFSET(S109,0,MONTH('2024 Control'!$C$4)-12):OFFSET(S109,0,MONTH('2024 Control'!$C$4)-1))),IF(AF109="Average",(SUM(OFFSET(S109,0,MONTH('2024 Control'!$C$4)-12):OFFSET(S109,0,MONTH('2024 Control'!$C$4)-1)))/12,"-"))</f>
        <v>-1666090</v>
      </c>
    </row>
    <row r="110" spans="2:39">
      <c r="B110" s="26" t="s">
        <v>4</v>
      </c>
      <c r="C110" s="26" t="s">
        <v>207</v>
      </c>
      <c r="D110" s="26" t="str">
        <f t="shared" si="98"/>
        <v>Finance (-) Marketing</v>
      </c>
      <c r="E110" s="26" t="s">
        <v>214</v>
      </c>
      <c r="F110" s="186" t="str">
        <f>Actuals!F109</f>
        <v>$</v>
      </c>
      <c r="G110" s="226">
        <f>-66167-4500</f>
        <v>-70667</v>
      </c>
      <c r="H110" s="226">
        <f>-66167-3000</f>
        <v>-69167</v>
      </c>
      <c r="I110" s="226">
        <f>-66167-4500</f>
        <v>-70667</v>
      </c>
      <c r="J110" s="226">
        <f>-66167-3000</f>
        <v>-69167</v>
      </c>
      <c r="K110" s="226">
        <f>-66167-6900</f>
        <v>-73067</v>
      </c>
      <c r="L110" s="226">
        <f>-66167-3000</f>
        <v>-69167</v>
      </c>
      <c r="M110" s="226">
        <f>-72467-4500</f>
        <v>-76967</v>
      </c>
      <c r="N110" s="226">
        <f>-72467-3000</f>
        <v>-75467</v>
      </c>
      <c r="O110" s="226">
        <f>-72467-4500</f>
        <v>-76967</v>
      </c>
      <c r="P110" s="226">
        <f>-72467-3000</f>
        <v>-75467</v>
      </c>
      <c r="Q110" s="226">
        <f>-72467-4500</f>
        <v>-76967</v>
      </c>
      <c r="R110" s="226">
        <f>-72467-3000</f>
        <v>-75467</v>
      </c>
      <c r="S110" s="351">
        <f>-S38</f>
        <v>-75798</v>
      </c>
      <c r="T110" s="351">
        <f t="shared" ref="T110:AD110" si="115">-T38</f>
        <v>-78531</v>
      </c>
      <c r="U110" s="351">
        <f t="shared" si="115"/>
        <v>-78531</v>
      </c>
      <c r="V110" s="351">
        <f t="shared" si="115"/>
        <v>-85091</v>
      </c>
      <c r="W110" s="351">
        <f t="shared" si="115"/>
        <v>-83891</v>
      </c>
      <c r="X110" s="351">
        <f t="shared" si="115"/>
        <v>-83891</v>
      </c>
      <c r="Y110" s="351">
        <f t="shared" si="115"/>
        <v>-82561</v>
      </c>
      <c r="Z110" s="351">
        <f t="shared" si="115"/>
        <v>-85561</v>
      </c>
      <c r="AA110" s="351">
        <f t="shared" si="115"/>
        <v>-85561</v>
      </c>
      <c r="AB110" s="351">
        <f t="shared" si="115"/>
        <v>-85561</v>
      </c>
      <c r="AC110" s="351">
        <f t="shared" si="115"/>
        <v>-85561</v>
      </c>
      <c r="AD110" s="351">
        <f t="shared" si="115"/>
        <v>-85561</v>
      </c>
      <c r="AE110" s="26"/>
      <c r="AF110" s="188" t="str">
        <f>IF(Actuals!BF109="","",Actuals!BF109)</f>
        <v>Sum</v>
      </c>
      <c r="AG110" s="26" t="str">
        <f t="shared" si="100"/>
        <v>Finance (-) Marketing</v>
      </c>
      <c r="AH110" s="196">
        <f t="shared" si="108"/>
        <v>-232860</v>
      </c>
      <c r="AI110" s="196">
        <f t="shared" si="109"/>
        <v>-252873</v>
      </c>
      <c r="AJ110" s="196">
        <f t="shared" si="110"/>
        <v>-252013</v>
      </c>
      <c r="AK110" s="196">
        <f t="shared" si="111"/>
        <v>-256683</v>
      </c>
      <c r="AL110" s="196">
        <f ca="1">IF(AF110="EoP",OFFSET(S110,0,MONTH('2024 Control'!$C$4)-1),SUM(S110:OFFSET(S110,0,MONTH('2024 Control'!$C$4)-1))/IF(AF110="Sum",1,MONTH('2024 Control'!$C$4)))</f>
        <v>-996099</v>
      </c>
      <c r="AM110" s="304">
        <f ca="1">IF(AF110="Sum",(SUM(OFFSET(S110,0,MONTH('2024 Control'!$C$4)-12):OFFSET(S110,0,MONTH('2024 Control'!$C$4)-1))),IF(AF110="Average",(SUM(OFFSET(S110,0,MONTH('2024 Control'!$C$4)-12):OFFSET(S110,0,MONTH('2024 Control'!$C$4)-1)))/12,"-"))</f>
        <v>-996099</v>
      </c>
    </row>
    <row r="111" spans="2:39">
      <c r="B111" s="26" t="s">
        <v>4</v>
      </c>
      <c r="C111" s="26" t="s">
        <v>207</v>
      </c>
      <c r="D111" s="26" t="str">
        <f t="shared" si="98"/>
        <v>Finance (-) Customer Success</v>
      </c>
      <c r="E111" s="26" t="s">
        <v>215</v>
      </c>
      <c r="F111" s="186" t="str">
        <f>Actuals!F110</f>
        <v>$</v>
      </c>
      <c r="G111" s="227">
        <v>-52000</v>
      </c>
      <c r="H111" s="227">
        <v>-52000</v>
      </c>
      <c r="I111" s="227">
        <v>-52000</v>
      </c>
      <c r="J111" s="227">
        <v>-59500</v>
      </c>
      <c r="K111" s="227">
        <v>-59500</v>
      </c>
      <c r="L111" s="227">
        <v>-59500</v>
      </c>
      <c r="M111" s="227">
        <v>-76000</v>
      </c>
      <c r="N111" s="227">
        <v>-76000</v>
      </c>
      <c r="O111" s="227">
        <v>-76000</v>
      </c>
      <c r="P111" s="227">
        <v>-76000</v>
      </c>
      <c r="Q111" s="227">
        <v>-76000</v>
      </c>
      <c r="R111" s="227">
        <v>-76000</v>
      </c>
      <c r="S111" s="351">
        <f>-S94</f>
        <v>-135812</v>
      </c>
      <c r="T111" s="351">
        <f t="shared" ref="T111:AD111" si="116">-T94</f>
        <v>-135100</v>
      </c>
      <c r="U111" s="351">
        <f t="shared" si="116"/>
        <v>-135100</v>
      </c>
      <c r="V111" s="351">
        <f t="shared" si="116"/>
        <v>-137500</v>
      </c>
      <c r="W111" s="351">
        <f t="shared" si="116"/>
        <v>-135100</v>
      </c>
      <c r="X111" s="351">
        <f t="shared" si="116"/>
        <v>-135100</v>
      </c>
      <c r="Y111" s="351">
        <f t="shared" si="116"/>
        <v>-140305</v>
      </c>
      <c r="Z111" s="351">
        <f t="shared" si="116"/>
        <v>-140305</v>
      </c>
      <c r="AA111" s="351">
        <f t="shared" si="116"/>
        <v>-141505</v>
      </c>
      <c r="AB111" s="351">
        <f t="shared" si="116"/>
        <v>-140305</v>
      </c>
      <c r="AC111" s="351">
        <f t="shared" si="116"/>
        <v>-140305</v>
      </c>
      <c r="AD111" s="351">
        <f t="shared" si="116"/>
        <v>-140305</v>
      </c>
      <c r="AE111" s="26"/>
      <c r="AF111" s="188" t="str">
        <f>IF(Actuals!BF110="","",Actuals!BF110)</f>
        <v>Sum</v>
      </c>
      <c r="AG111" s="26" t="str">
        <f t="shared" si="100"/>
        <v>Finance (-) Customer Success</v>
      </c>
      <c r="AH111" s="196">
        <f t="shared" si="108"/>
        <v>-406012</v>
      </c>
      <c r="AI111" s="196">
        <f t="shared" si="109"/>
        <v>-407700</v>
      </c>
      <c r="AJ111" s="196">
        <f t="shared" si="110"/>
        <v>-415710</v>
      </c>
      <c r="AK111" s="196">
        <f t="shared" si="111"/>
        <v>-420915</v>
      </c>
      <c r="AL111" s="196">
        <f ca="1">IF(AF111="EoP",OFFSET(S111,0,MONTH('2024 Control'!$C$4)-1),SUM(S111:OFFSET(S111,0,MONTH('2024 Control'!$C$4)-1))/IF(AF111="Sum",1,MONTH('2024 Control'!$C$4)))</f>
        <v>-1656742</v>
      </c>
      <c r="AM111" s="304">
        <f ca="1">IF(AF111="Sum",(SUM(OFFSET(S111,0,MONTH('2024 Control'!$C$4)-12):OFFSET(S111,0,MONTH('2024 Control'!$C$4)-1))),IF(AF111="Average",(SUM(OFFSET(S111,0,MONTH('2024 Control'!$C$4)-12):OFFSET(S111,0,MONTH('2024 Control'!$C$4)-1)))/12,"-"))</f>
        <v>-1656742</v>
      </c>
    </row>
    <row r="112" spans="2:39">
      <c r="B112" s="26" t="s">
        <v>4</v>
      </c>
      <c r="C112" s="26" t="s">
        <v>207</v>
      </c>
      <c r="D112" s="26" t="str">
        <f t="shared" si="98"/>
        <v>Finance (-) G&amp;A</v>
      </c>
      <c r="E112" s="26" t="s">
        <v>216</v>
      </c>
      <c r="F112" s="186" t="str">
        <f>Actuals!F111</f>
        <v>$</v>
      </c>
      <c r="G112" s="226">
        <f>-91500-90637</f>
        <v>-182137</v>
      </c>
      <c r="H112" s="226">
        <f>-104500-89414</f>
        <v>-193914</v>
      </c>
      <c r="I112" s="226">
        <f>-123000-81686</f>
        <v>-204686</v>
      </c>
      <c r="J112" s="226">
        <f>-123000-90470</f>
        <v>-213470</v>
      </c>
      <c r="K112" s="226">
        <f>-123000-74820</f>
        <v>-197820</v>
      </c>
      <c r="L112" s="226">
        <f>-123000-87678</f>
        <v>-210678</v>
      </c>
      <c r="M112" s="226">
        <f>-127200-82056</f>
        <v>-209256</v>
      </c>
      <c r="N112" s="226">
        <f>-127200-106956</f>
        <v>-234156</v>
      </c>
      <c r="O112" s="226">
        <f>-127200-79650</f>
        <v>-206850</v>
      </c>
      <c r="P112" s="226">
        <f>-141200-91845</f>
        <v>-233045</v>
      </c>
      <c r="Q112" s="226">
        <f>-141200-107345</f>
        <v>-248545</v>
      </c>
      <c r="R112" s="226">
        <f>-141200-103345</f>
        <v>-244545</v>
      </c>
      <c r="S112" s="225">
        <v>-171582</v>
      </c>
      <c r="T112" s="225">
        <v>-171226</v>
      </c>
      <c r="U112" s="225">
        <v>-201301</v>
      </c>
      <c r="V112" s="225">
        <v>-201301</v>
      </c>
      <c r="W112" s="225">
        <v>-201301</v>
      </c>
      <c r="X112" s="225">
        <v>-201888</v>
      </c>
      <c r="Y112" s="225">
        <v>-206555</v>
      </c>
      <c r="Z112" s="225">
        <v>-206555</v>
      </c>
      <c r="AA112" s="225">
        <v>-206555</v>
      </c>
      <c r="AB112" s="225">
        <v>-206555</v>
      </c>
      <c r="AC112" s="225">
        <v>-208740</v>
      </c>
      <c r="AD112" s="225">
        <v>-208740</v>
      </c>
      <c r="AE112" s="26"/>
      <c r="AF112" s="188" t="str">
        <f>IF(Actuals!BF111="","",Actuals!BF111)</f>
        <v>Sum</v>
      </c>
      <c r="AG112" s="26" t="str">
        <f t="shared" si="100"/>
        <v>Finance (-) G&amp;A</v>
      </c>
      <c r="AH112" s="196">
        <f t="shared" si="108"/>
        <v>-544109</v>
      </c>
      <c r="AI112" s="196">
        <f t="shared" si="109"/>
        <v>-604490</v>
      </c>
      <c r="AJ112" s="196">
        <f t="shared" si="110"/>
        <v>-614998</v>
      </c>
      <c r="AK112" s="196">
        <f t="shared" si="111"/>
        <v>-624035</v>
      </c>
      <c r="AL112" s="196">
        <f ca="1">IF(AF112="EoP",OFFSET(S112,0,MONTH('2024 Control'!$C$4)-1),SUM(S112:OFFSET(S112,0,MONTH('2024 Control'!$C$4)-1))/IF(AF112="Sum",1,MONTH('2024 Control'!$C$4)))</f>
        <v>-2392299</v>
      </c>
      <c r="AM112" s="304">
        <f ca="1">IF(AF112="Sum",(SUM(OFFSET(S112,0,MONTH('2024 Control'!$C$4)-12):OFFSET(S112,0,MONTH('2024 Control'!$C$4)-1))),IF(AF112="Average",(SUM(OFFSET(S112,0,MONTH('2024 Control'!$C$4)-12):OFFSET(S112,0,MONTH('2024 Control'!$C$4)-1)))/12,"-"))</f>
        <v>-2392299</v>
      </c>
    </row>
    <row r="113" spans="2:39">
      <c r="B113" s="26" t="s">
        <v>4</v>
      </c>
      <c r="C113" s="26" t="s">
        <v>207</v>
      </c>
      <c r="D113" s="26" t="str">
        <f t="shared" si="98"/>
        <v>Finance Adj. EBITDA</v>
      </c>
      <c r="E113" s="26" t="s">
        <v>217</v>
      </c>
      <c r="F113" s="186" t="str">
        <f>Actuals!F112</f>
        <v>$</v>
      </c>
      <c r="G113" s="227">
        <f>SUM(G105:G112)</f>
        <v>-300967</v>
      </c>
      <c r="H113" s="227">
        <f t="shared" ref="H113:R113" si="117">SUM(H105:H112)</f>
        <v>-361654</v>
      </c>
      <c r="I113" s="227">
        <f t="shared" si="117"/>
        <v>-387911</v>
      </c>
      <c r="J113" s="227">
        <f t="shared" si="117"/>
        <v>-421419</v>
      </c>
      <c r="K113" s="227">
        <f t="shared" si="117"/>
        <v>-416093</v>
      </c>
      <c r="L113" s="227">
        <f t="shared" si="117"/>
        <v>-389091</v>
      </c>
      <c r="M113" s="227">
        <f t="shared" si="117"/>
        <v>-460064</v>
      </c>
      <c r="N113" s="227">
        <f t="shared" si="117"/>
        <v>-463638</v>
      </c>
      <c r="O113" s="227">
        <f t="shared" si="117"/>
        <v>-416380</v>
      </c>
      <c r="P113" s="227">
        <f t="shared" si="117"/>
        <v>-450249</v>
      </c>
      <c r="Q113" s="227">
        <f t="shared" si="117"/>
        <v>-455099</v>
      </c>
      <c r="R113" s="227">
        <f t="shared" si="117"/>
        <v>-404574</v>
      </c>
      <c r="S113" s="351">
        <f>SUM(S105:S112)</f>
        <v>-412270</v>
      </c>
      <c r="T113" s="351">
        <f t="shared" ref="T113:AD113" si="118">SUM(T105:T112)</f>
        <v>-338985</v>
      </c>
      <c r="U113" s="351">
        <f t="shared" si="118"/>
        <v>-427368</v>
      </c>
      <c r="V113" s="351">
        <f t="shared" si="118"/>
        <v>-380727</v>
      </c>
      <c r="W113" s="351">
        <f t="shared" si="118"/>
        <v>-368258</v>
      </c>
      <c r="X113" s="351">
        <f t="shared" si="118"/>
        <v>-374425</v>
      </c>
      <c r="Y113" s="351">
        <f t="shared" si="118"/>
        <v>-364641</v>
      </c>
      <c r="Z113" s="351">
        <f t="shared" si="118"/>
        <v>-362512</v>
      </c>
      <c r="AA113" s="351">
        <f t="shared" si="118"/>
        <v>-369903</v>
      </c>
      <c r="AB113" s="351">
        <f t="shared" si="118"/>
        <v>-313919</v>
      </c>
      <c r="AC113" s="351">
        <f t="shared" si="118"/>
        <v>-310238</v>
      </c>
      <c r="AD113" s="351">
        <f t="shared" si="118"/>
        <v>-316725</v>
      </c>
      <c r="AE113" s="26"/>
      <c r="AF113" s="188" t="str">
        <f>IF(Actuals!BF112="","",Actuals!BF112)</f>
        <v>Sum</v>
      </c>
      <c r="AG113" s="26" t="str">
        <f t="shared" si="100"/>
        <v>Finance Adj. EBITDA</v>
      </c>
      <c r="AH113" s="196">
        <f t="shared" si="108"/>
        <v>-1178623</v>
      </c>
      <c r="AI113" s="196">
        <f t="shared" si="109"/>
        <v>-1123410</v>
      </c>
      <c r="AJ113" s="196">
        <f t="shared" si="110"/>
        <v>-1101578</v>
      </c>
      <c r="AK113" s="196">
        <f t="shared" si="111"/>
        <v>-940882</v>
      </c>
      <c r="AL113" s="196">
        <f ca="1">IF(AF113="EoP",OFFSET(S113,0,MONTH('2024 Control'!$C$4)-1),SUM(S113:OFFSET(S113,0,MONTH('2024 Control'!$C$4)-1))/IF(AF113="Sum",1,MONTH('2024 Control'!$C$4)))</f>
        <v>-4339971</v>
      </c>
      <c r="AM113" s="304">
        <f ca="1">IF(AF113="Sum",(SUM(OFFSET(S113,0,MONTH('2024 Control'!$C$4)-12):OFFSET(S113,0,MONTH('2024 Control'!$C$4)-1))),IF(AF113="Average",(SUM(OFFSET(S113,0,MONTH('2024 Control'!$C$4)-12):OFFSET(S113,0,MONTH('2024 Control'!$C$4)-1)))/12,"-"))</f>
        <v>-4339971</v>
      </c>
    </row>
    <row r="114" spans="2:39">
      <c r="B114" s="26" t="s">
        <v>4</v>
      </c>
      <c r="C114" s="26" t="s">
        <v>207</v>
      </c>
      <c r="D114" s="26" t="str">
        <f t="shared" si="98"/>
        <v>Finance Other (Severance, Legal, etc.)</v>
      </c>
      <c r="E114" s="26" t="s">
        <v>218</v>
      </c>
      <c r="F114" s="186" t="str">
        <f>Actuals!F113</f>
        <v>$</v>
      </c>
      <c r="G114" s="228"/>
      <c r="H114" s="228"/>
      <c r="I114" s="228"/>
      <c r="J114" s="228"/>
      <c r="K114" s="228"/>
      <c r="L114" s="228"/>
      <c r="M114" s="228"/>
      <c r="N114" s="228"/>
      <c r="O114" s="228"/>
      <c r="P114" s="228"/>
      <c r="Q114" s="228"/>
      <c r="R114" s="228"/>
      <c r="S114" s="225">
        <v>0</v>
      </c>
      <c r="T114" s="225">
        <v>0</v>
      </c>
      <c r="U114" s="225">
        <v>0</v>
      </c>
      <c r="V114" s="225">
        <v>0</v>
      </c>
      <c r="W114" s="225">
        <v>0</v>
      </c>
      <c r="X114" s="225">
        <v>0</v>
      </c>
      <c r="Y114" s="225">
        <v>0</v>
      </c>
      <c r="Z114" s="225">
        <v>0</v>
      </c>
      <c r="AA114" s="225">
        <v>0</v>
      </c>
      <c r="AB114" s="225">
        <v>0</v>
      </c>
      <c r="AC114" s="225">
        <v>0</v>
      </c>
      <c r="AD114" s="225">
        <v>0</v>
      </c>
      <c r="AE114" s="26"/>
      <c r="AF114" s="188" t="str">
        <f>IF(Actuals!BF113="","",Actuals!BF113)</f>
        <v>Sum</v>
      </c>
      <c r="AG114" s="26" t="str">
        <f t="shared" si="100"/>
        <v>Finance Other (Severance, Legal, etc.)</v>
      </c>
      <c r="AH114" s="196">
        <f t="shared" si="108"/>
        <v>0</v>
      </c>
      <c r="AI114" s="196">
        <f t="shared" si="109"/>
        <v>0</v>
      </c>
      <c r="AJ114" s="196">
        <f t="shared" si="110"/>
        <v>0</v>
      </c>
      <c r="AK114" s="196">
        <f t="shared" si="111"/>
        <v>0</v>
      </c>
      <c r="AL114" s="196">
        <f ca="1">IF(AF114="EoP",OFFSET(S114,0,MONTH('2024 Control'!$C$4)-1),SUM(S114:OFFSET(S114,0,MONTH('2024 Control'!$C$4)-1))/IF(AF114="Sum",1,MONTH('2024 Control'!$C$4)))</f>
        <v>0</v>
      </c>
      <c r="AM114" s="304">
        <f ca="1">IF(AF114="Sum",(SUM(OFFSET(S114,0,MONTH('2024 Control'!$C$4)-12):OFFSET(S114,0,MONTH('2024 Control'!$C$4)-1))),IF(AF114="Average",(SUM(OFFSET(S114,0,MONTH('2024 Control'!$C$4)-12):OFFSET(S114,0,MONTH('2024 Control'!$C$4)-1)))/12,"-"))</f>
        <v>0</v>
      </c>
    </row>
    <row r="115" spans="2:39">
      <c r="B115" s="26" t="s">
        <v>4</v>
      </c>
      <c r="C115" s="26" t="s">
        <v>219</v>
      </c>
      <c r="D115" s="26" t="str">
        <f t="shared" si="98"/>
        <v>Finance Debt &amp; Debt-like Items</v>
      </c>
      <c r="E115" s="26" t="s">
        <v>220</v>
      </c>
      <c r="F115" s="186" t="str">
        <f>Actuals!F114</f>
        <v>$</v>
      </c>
      <c r="G115" s="232">
        <v>0</v>
      </c>
      <c r="H115" s="232">
        <v>0</v>
      </c>
      <c r="I115" s="232">
        <v>0</v>
      </c>
      <c r="J115" s="232">
        <v>0</v>
      </c>
      <c r="K115" s="232">
        <v>0</v>
      </c>
      <c r="L115" s="232">
        <v>0</v>
      </c>
      <c r="M115" s="232">
        <v>0</v>
      </c>
      <c r="N115" s="232">
        <v>0</v>
      </c>
      <c r="O115" s="232">
        <v>0</v>
      </c>
      <c r="P115" s="232">
        <v>0</v>
      </c>
      <c r="Q115" s="232">
        <v>0</v>
      </c>
      <c r="R115" s="232">
        <v>0</v>
      </c>
      <c r="S115" s="225">
        <v>0</v>
      </c>
      <c r="T115" s="225">
        <v>0</v>
      </c>
      <c r="U115" s="225">
        <v>0</v>
      </c>
      <c r="V115" s="225">
        <v>0</v>
      </c>
      <c r="W115" s="225">
        <v>0</v>
      </c>
      <c r="X115" s="225">
        <v>0</v>
      </c>
      <c r="Y115" s="225">
        <v>0</v>
      </c>
      <c r="Z115" s="225">
        <v>0</v>
      </c>
      <c r="AA115" s="225">
        <v>0</v>
      </c>
      <c r="AB115" s="225">
        <v>0</v>
      </c>
      <c r="AC115" s="225">
        <v>0</v>
      </c>
      <c r="AD115" s="225">
        <v>0</v>
      </c>
      <c r="AE115" s="26"/>
      <c r="AF115" s="188" t="str">
        <f>IF(Actuals!BF114="","",Actuals!BF114)</f>
        <v>EoP</v>
      </c>
      <c r="AG115" s="26" t="str">
        <f t="shared" si="100"/>
        <v>Finance Debt &amp; Debt-like Items</v>
      </c>
      <c r="AH115" s="196">
        <f t="shared" si="108"/>
        <v>0</v>
      </c>
      <c r="AI115" s="196">
        <f t="shared" si="109"/>
        <v>0</v>
      </c>
      <c r="AJ115" s="196">
        <f t="shared" si="110"/>
        <v>0</v>
      </c>
      <c r="AK115" s="196">
        <f t="shared" si="111"/>
        <v>0</v>
      </c>
      <c r="AL115" s="196">
        <f ca="1">IF(AF115="EoP",OFFSET(S115,0,MONTH('2024 Control'!$C$4)-1),SUM(S115:OFFSET(S115,0,MONTH('2024 Control'!$C$4)-1))/IF(AF115="Sum",1,MONTH('2024 Control'!$C$4)))</f>
        <v>0</v>
      </c>
      <c r="AM115" s="304" t="str">
        <f ca="1">IF(AF115="Sum",(SUM(OFFSET(S115,0,MONTH('2024 Control'!$C$4)-12):OFFSET(S115,0,MONTH('2024 Control'!$C$4)-1))),IF(AF115="Average",(SUM(OFFSET(S115,0,MONTH('2024 Control'!$C$4)-12):OFFSET(S115,0,MONTH('2024 Control'!$C$4)-1)))/12,"-"))</f>
        <v>-</v>
      </c>
    </row>
    <row r="116" spans="2:39">
      <c r="B116" s="26" t="s">
        <v>4</v>
      </c>
      <c r="C116" s="26" t="s">
        <v>219</v>
      </c>
      <c r="D116" s="26" t="str">
        <f t="shared" si="98"/>
        <v>Finance (-) Cash</v>
      </c>
      <c r="E116" s="26" t="s">
        <v>221</v>
      </c>
      <c r="F116" s="186" t="str">
        <f>Actuals!F115</f>
        <v>$</v>
      </c>
      <c r="G116" s="226">
        <v>-12730000</v>
      </c>
      <c r="H116" s="226">
        <v>-12277000</v>
      </c>
      <c r="I116" s="226">
        <v>-12484000</v>
      </c>
      <c r="J116" s="226">
        <v>-12202000</v>
      </c>
      <c r="K116" s="226">
        <v>-12250000</v>
      </c>
      <c r="L116" s="226">
        <v>-11780000</v>
      </c>
      <c r="M116" s="226">
        <v>-11500000</v>
      </c>
      <c r="N116" s="226">
        <v>-11390000</v>
      </c>
      <c r="O116" s="226">
        <v>-10900000</v>
      </c>
      <c r="P116" s="226">
        <v>-10265000</v>
      </c>
      <c r="Q116" s="226">
        <v>-10115000</v>
      </c>
      <c r="R116" s="226">
        <v>-9360000</v>
      </c>
      <c r="S116" s="225">
        <v>-11649240</v>
      </c>
      <c r="T116" s="225">
        <v>-11218603</v>
      </c>
      <c r="U116" s="225">
        <v>-10830743</v>
      </c>
      <c r="V116" s="225">
        <v>-11207064</v>
      </c>
      <c r="W116" s="225">
        <v>-10693796</v>
      </c>
      <c r="X116" s="225">
        <v>-9822744</v>
      </c>
      <c r="Y116" s="225">
        <v>-10057612</v>
      </c>
      <c r="Z116" s="225">
        <v>-10035122</v>
      </c>
      <c r="AA116" s="225">
        <v>-9654547</v>
      </c>
      <c r="AB116" s="225">
        <v>-9863913</v>
      </c>
      <c r="AC116" s="225">
        <v>-9598288</v>
      </c>
      <c r="AD116" s="225">
        <v>-8911644</v>
      </c>
      <c r="AE116" s="26"/>
      <c r="AF116" s="188" t="str">
        <f>IF(Actuals!BF115="","",Actuals!BF115)</f>
        <v>EoP</v>
      </c>
      <c r="AG116" s="26" t="str">
        <f t="shared" si="100"/>
        <v>Finance (-) Cash</v>
      </c>
      <c r="AH116" s="196">
        <f t="shared" si="108"/>
        <v>0</v>
      </c>
      <c r="AI116" s="196">
        <f t="shared" si="109"/>
        <v>-10830743</v>
      </c>
      <c r="AJ116" s="196">
        <f t="shared" si="110"/>
        <v>-10035122</v>
      </c>
      <c r="AK116" s="196">
        <f t="shared" si="111"/>
        <v>-8911644</v>
      </c>
      <c r="AL116" s="196">
        <f ca="1">IF(AF116="EoP",OFFSET(S116,0,MONTH('2024 Control'!$C$4)-1),SUM(S116:OFFSET(S116,0,MONTH('2024 Control'!$C$4)-1))/IF(AF116="Sum",1,MONTH('2024 Control'!$C$4)))</f>
        <v>-8911644</v>
      </c>
      <c r="AM116" s="304" t="str">
        <f ca="1">IF(AF116="Sum",(SUM(OFFSET(S116,0,MONTH('2024 Control'!$C$4)-12):OFFSET(S116,0,MONTH('2024 Control'!$C$4)-1))),IF(AF116="Average",(SUM(OFFSET(S116,0,MONTH('2024 Control'!$C$4)-12):OFFSET(S116,0,MONTH('2024 Control'!$C$4)-1)))/12,"-"))</f>
        <v>-</v>
      </c>
    </row>
    <row r="117" spans="2:39">
      <c r="B117" s="26" t="s">
        <v>4</v>
      </c>
      <c r="C117" s="26" t="s">
        <v>219</v>
      </c>
      <c r="D117" s="26" t="str">
        <f t="shared" si="98"/>
        <v>Finance Net Debt</v>
      </c>
      <c r="E117" s="26" t="s">
        <v>222</v>
      </c>
      <c r="F117" s="186" t="str">
        <f>Actuals!F116</f>
        <v>$</v>
      </c>
      <c r="G117" s="160"/>
      <c r="H117" s="160"/>
      <c r="I117" s="160"/>
      <c r="J117" s="160"/>
      <c r="K117" s="160"/>
      <c r="L117" s="160"/>
      <c r="M117" s="160"/>
      <c r="N117" s="160"/>
      <c r="O117" s="160"/>
      <c r="P117" s="160"/>
      <c r="Q117" s="160"/>
      <c r="R117" s="160"/>
      <c r="S117" s="351">
        <f>S115+S116</f>
        <v>-11649240</v>
      </c>
      <c r="T117" s="351">
        <f t="shared" ref="T117:AD117" si="119">T115+T116</f>
        <v>-11218603</v>
      </c>
      <c r="U117" s="351">
        <f t="shared" si="119"/>
        <v>-10830743</v>
      </c>
      <c r="V117" s="351">
        <f t="shared" si="119"/>
        <v>-11207064</v>
      </c>
      <c r="W117" s="351">
        <f t="shared" si="119"/>
        <v>-10693796</v>
      </c>
      <c r="X117" s="351">
        <f t="shared" si="119"/>
        <v>-9822744</v>
      </c>
      <c r="Y117" s="351">
        <f t="shared" si="119"/>
        <v>-10057612</v>
      </c>
      <c r="Z117" s="351">
        <f t="shared" si="119"/>
        <v>-10035122</v>
      </c>
      <c r="AA117" s="351">
        <f t="shared" si="119"/>
        <v>-9654547</v>
      </c>
      <c r="AB117" s="351">
        <f t="shared" si="119"/>
        <v>-9863913</v>
      </c>
      <c r="AC117" s="351">
        <f t="shared" si="119"/>
        <v>-9598288</v>
      </c>
      <c r="AD117" s="351">
        <f t="shared" si="119"/>
        <v>-8911644</v>
      </c>
      <c r="AE117" s="26"/>
      <c r="AF117" s="188" t="str">
        <f>IF(Actuals!BF116="","",Actuals!BF116)</f>
        <v>EoP</v>
      </c>
      <c r="AG117" s="26" t="str">
        <f t="shared" si="100"/>
        <v>Finance Net Debt</v>
      </c>
      <c r="AH117" s="196">
        <f t="shared" si="108"/>
        <v>0</v>
      </c>
      <c r="AI117" s="196">
        <f t="shared" si="109"/>
        <v>-10830743</v>
      </c>
      <c r="AJ117" s="196">
        <f t="shared" si="110"/>
        <v>-10035122</v>
      </c>
      <c r="AK117" s="196">
        <f t="shared" si="111"/>
        <v>-8911644</v>
      </c>
      <c r="AL117" s="196">
        <f ca="1">IF(AF117="EoP",OFFSET(S117,0,MONTH('2024 Control'!$C$4)-1),SUM(S117:OFFSET(S117,0,MONTH('2024 Control'!$C$4)-1))/IF(AF117="Sum",1,MONTH('2024 Control'!$C$4)))</f>
        <v>-8911644</v>
      </c>
      <c r="AM117" s="304" t="str">
        <f ca="1">IF(AF117="Sum",(SUM(OFFSET(S117,0,MONTH('2024 Control'!$C$4)-12):OFFSET(S117,0,MONTH('2024 Control'!$C$4)-1))),IF(AF117="Average",(SUM(OFFSET(S117,0,MONTH('2024 Control'!$C$4)-12):OFFSET(S117,0,MONTH('2024 Control'!$C$4)-1)))/12,"-"))</f>
        <v>-</v>
      </c>
    </row>
    <row r="118" spans="2:39">
      <c r="B118" s="26" t="s">
        <v>4</v>
      </c>
      <c r="C118" s="26" t="s">
        <v>223</v>
      </c>
      <c r="D118" s="26" t="str">
        <f t="shared" si="98"/>
        <v>Finance Total Headcount</v>
      </c>
      <c r="E118" s="26" t="s">
        <v>262</v>
      </c>
      <c r="F118" s="186" t="str">
        <f>Actuals!F117</f>
        <v>#</v>
      </c>
      <c r="G118" s="160">
        <f>SUM(G119:G120)</f>
        <v>40</v>
      </c>
      <c r="H118" s="160">
        <f t="shared" ref="H118:R118" si="120">SUM(H119:H120)</f>
        <v>46</v>
      </c>
      <c r="I118" s="160">
        <f t="shared" si="120"/>
        <v>54</v>
      </c>
      <c r="J118" s="160">
        <f t="shared" si="120"/>
        <v>57</v>
      </c>
      <c r="K118" s="160">
        <f t="shared" si="120"/>
        <v>57</v>
      </c>
      <c r="L118" s="160">
        <f t="shared" si="120"/>
        <v>59</v>
      </c>
      <c r="M118" s="160">
        <f t="shared" si="120"/>
        <v>63</v>
      </c>
      <c r="N118" s="160">
        <f t="shared" si="120"/>
        <v>63</v>
      </c>
      <c r="O118" s="160">
        <f t="shared" si="120"/>
        <v>64</v>
      </c>
      <c r="P118" s="160">
        <f t="shared" si="120"/>
        <v>65</v>
      </c>
      <c r="Q118" s="160">
        <f t="shared" si="120"/>
        <v>65</v>
      </c>
      <c r="R118" s="160">
        <f t="shared" si="120"/>
        <v>65</v>
      </c>
      <c r="S118" s="247">
        <f>SUM(S119:S120)</f>
        <v>71</v>
      </c>
      <c r="T118" s="247">
        <f t="shared" ref="T118:AD118" si="121">SUM(T119:T120)</f>
        <v>71</v>
      </c>
      <c r="U118" s="247">
        <f t="shared" si="121"/>
        <v>73</v>
      </c>
      <c r="V118" s="247">
        <f t="shared" si="121"/>
        <v>74</v>
      </c>
      <c r="W118" s="247">
        <f t="shared" si="121"/>
        <v>74</v>
      </c>
      <c r="X118" s="247">
        <f t="shared" si="121"/>
        <v>74</v>
      </c>
      <c r="Y118" s="247">
        <f t="shared" si="121"/>
        <v>75</v>
      </c>
      <c r="Z118" s="247">
        <f t="shared" si="121"/>
        <v>75</v>
      </c>
      <c r="AA118" s="247">
        <f t="shared" si="121"/>
        <v>75</v>
      </c>
      <c r="AB118" s="247">
        <f t="shared" si="121"/>
        <v>75</v>
      </c>
      <c r="AC118" s="247">
        <f t="shared" si="121"/>
        <v>75</v>
      </c>
      <c r="AD118" s="247">
        <f t="shared" si="121"/>
        <v>75</v>
      </c>
      <c r="AE118" s="26"/>
      <c r="AF118" s="188" t="str">
        <f>IF(Actuals!BF117="","",Actuals!BF117)</f>
        <v>EoP</v>
      </c>
      <c r="AG118" s="26" t="str">
        <f t="shared" si="100"/>
        <v>Finance Total Headcount</v>
      </c>
      <c r="AH118" s="195">
        <f t="shared" si="108"/>
        <v>0</v>
      </c>
      <c r="AI118" s="195">
        <f t="shared" si="109"/>
        <v>73</v>
      </c>
      <c r="AJ118" s="195">
        <f t="shared" si="110"/>
        <v>75</v>
      </c>
      <c r="AK118" s="195">
        <f t="shared" si="111"/>
        <v>75</v>
      </c>
      <c r="AL118" s="195">
        <f ca="1">IF(AF118="EoP",OFFSET(S118,0,MONTH('2024 Control'!$C$4)-1),SUM(S118:OFFSET(S118,0,MONTH('2024 Control'!$C$4)-1))/IF(AF118="Sum",1,MONTH('2024 Control'!$C$4)))</f>
        <v>75</v>
      </c>
      <c r="AM118" s="304" t="str">
        <f ca="1">IF(AF118="Sum",(SUM(OFFSET(S118,0,MONTH('2024 Control'!$C$4)-12):OFFSET(S118,0,MONTH('2024 Control'!$C$4)-1))),IF(AF118="Average",(SUM(OFFSET(S118,0,MONTH('2024 Control'!$C$4)-12):OFFSET(S118,0,MONTH('2024 Control'!$C$4)-1)))/12,"-"))</f>
        <v>-</v>
      </c>
    </row>
    <row r="119" spans="2:39">
      <c r="B119" s="26" t="s">
        <v>4</v>
      </c>
      <c r="C119" s="26" t="s">
        <v>223</v>
      </c>
      <c r="D119" s="26" t="str">
        <f t="shared" si="98"/>
        <v>Finance Employees</v>
      </c>
      <c r="E119" s="26" t="s">
        <v>224</v>
      </c>
      <c r="F119" s="186" t="str">
        <f>Actuals!F118</f>
        <v>#</v>
      </c>
      <c r="G119" s="160">
        <v>37</v>
      </c>
      <c r="H119" s="160">
        <v>41</v>
      </c>
      <c r="I119" s="160">
        <v>46</v>
      </c>
      <c r="J119" s="160">
        <v>49</v>
      </c>
      <c r="K119" s="160">
        <v>49</v>
      </c>
      <c r="L119" s="160">
        <v>51</v>
      </c>
      <c r="M119" s="160">
        <v>55</v>
      </c>
      <c r="N119" s="160">
        <v>55</v>
      </c>
      <c r="O119" s="160">
        <v>56</v>
      </c>
      <c r="P119" s="160">
        <v>57</v>
      </c>
      <c r="Q119" s="160">
        <v>57</v>
      </c>
      <c r="R119" s="160">
        <v>57</v>
      </c>
      <c r="S119" s="160">
        <v>52</v>
      </c>
      <c r="T119" s="160">
        <v>52</v>
      </c>
      <c r="U119" s="160">
        <v>54</v>
      </c>
      <c r="V119" s="160">
        <v>55</v>
      </c>
      <c r="W119" s="160">
        <v>55</v>
      </c>
      <c r="X119" s="160">
        <v>55</v>
      </c>
      <c r="Y119" s="160">
        <v>56</v>
      </c>
      <c r="Z119" s="160">
        <v>56</v>
      </c>
      <c r="AA119" s="160">
        <v>56</v>
      </c>
      <c r="AB119" s="160">
        <v>56</v>
      </c>
      <c r="AC119" s="160">
        <v>56</v>
      </c>
      <c r="AD119" s="160">
        <v>56</v>
      </c>
      <c r="AE119" s="26"/>
      <c r="AF119" s="188" t="str">
        <f>IF(Actuals!BF118="","",Actuals!BF118)</f>
        <v>EoP</v>
      </c>
      <c r="AG119" s="26" t="str">
        <f t="shared" si="100"/>
        <v>Finance Employees</v>
      </c>
      <c r="AH119" s="195">
        <f t="shared" si="108"/>
        <v>0</v>
      </c>
      <c r="AI119" s="195">
        <f t="shared" si="109"/>
        <v>54</v>
      </c>
      <c r="AJ119" s="195">
        <f t="shared" si="110"/>
        <v>56</v>
      </c>
      <c r="AK119" s="195">
        <f t="shared" si="111"/>
        <v>56</v>
      </c>
      <c r="AL119" s="195">
        <f ca="1">IF(AF119="EoP",OFFSET(S119,0,MONTH('2024 Control'!$C$4)-1),SUM(S119:OFFSET(S119,0,MONTH('2024 Control'!$C$4)-1))/IF(AF119="Sum",1,MONTH('2024 Control'!$C$4)))</f>
        <v>56</v>
      </c>
      <c r="AM119" s="304" t="str">
        <f ca="1">IF(AF119="Sum",(SUM(OFFSET(S119,0,MONTH('2024 Control'!$C$4)-12):OFFSET(S119,0,MONTH('2024 Control'!$C$4)-1))),IF(AF119="Average",(SUM(OFFSET(S119,0,MONTH('2024 Control'!$C$4)-12):OFFSET(S119,0,MONTH('2024 Control'!$C$4)-1)))/12,"-"))</f>
        <v>-</v>
      </c>
    </row>
    <row r="120" spans="2:39">
      <c r="B120" s="26" t="s">
        <v>4</v>
      </c>
      <c r="C120" s="26" t="s">
        <v>223</v>
      </c>
      <c r="D120" s="26" t="str">
        <f t="shared" si="98"/>
        <v>Finance VeArc</v>
      </c>
      <c r="E120" s="26" t="s">
        <v>225</v>
      </c>
      <c r="F120" s="186" t="str">
        <f>Actuals!F119</f>
        <v>#</v>
      </c>
      <c r="G120" s="160">
        <v>3</v>
      </c>
      <c r="H120" s="160">
        <v>5</v>
      </c>
      <c r="I120" s="160">
        <v>8</v>
      </c>
      <c r="J120" s="160">
        <v>8</v>
      </c>
      <c r="K120" s="160">
        <v>8</v>
      </c>
      <c r="L120" s="160">
        <v>8</v>
      </c>
      <c r="M120" s="160">
        <v>8</v>
      </c>
      <c r="N120" s="160">
        <v>8</v>
      </c>
      <c r="O120" s="160">
        <v>8</v>
      </c>
      <c r="P120" s="160">
        <v>8</v>
      </c>
      <c r="Q120" s="160">
        <v>8</v>
      </c>
      <c r="R120" s="160">
        <v>8</v>
      </c>
      <c r="S120" s="160">
        <v>19</v>
      </c>
      <c r="T120" s="160">
        <v>19</v>
      </c>
      <c r="U120" s="160">
        <v>19</v>
      </c>
      <c r="V120" s="160">
        <v>19</v>
      </c>
      <c r="W120" s="160">
        <v>19</v>
      </c>
      <c r="X120" s="160">
        <v>19</v>
      </c>
      <c r="Y120" s="160">
        <v>19</v>
      </c>
      <c r="Z120" s="160">
        <v>19</v>
      </c>
      <c r="AA120" s="160">
        <v>19</v>
      </c>
      <c r="AB120" s="160">
        <v>19</v>
      </c>
      <c r="AC120" s="160">
        <v>19</v>
      </c>
      <c r="AD120" s="160">
        <v>19</v>
      </c>
      <c r="AE120" s="26"/>
      <c r="AF120" s="188" t="str">
        <f>IF(Actuals!BF119="","",Actuals!BF119)</f>
        <v>EoP</v>
      </c>
      <c r="AG120" s="26" t="str">
        <f t="shared" si="100"/>
        <v>Finance VeArc</v>
      </c>
      <c r="AH120" s="195">
        <f t="shared" si="108"/>
        <v>0</v>
      </c>
      <c r="AI120" s="195">
        <f t="shared" si="109"/>
        <v>19</v>
      </c>
      <c r="AJ120" s="195">
        <f t="shared" si="110"/>
        <v>19</v>
      </c>
      <c r="AK120" s="195">
        <f t="shared" si="111"/>
        <v>19</v>
      </c>
      <c r="AL120" s="195">
        <f ca="1">IF(AF120="EoP",OFFSET(S120,0,MONTH('2024 Control'!$C$4)-1),SUM(S120:OFFSET(S120,0,MONTH('2024 Control'!$C$4)-1))/IF(AF120="Sum",1,MONTH('2024 Control'!$C$4)))</f>
        <v>19</v>
      </c>
      <c r="AM120" s="304" t="str">
        <f ca="1">IF(AF120="Sum",(SUM(OFFSET(S120,0,MONTH('2024 Control'!$C$4)-12):OFFSET(S120,0,MONTH('2024 Control'!$C$4)-1))),IF(AF120="Average",(SUM(OFFSET(S120,0,MONTH('2024 Control'!$C$4)-12):OFFSET(S120,0,MONTH('2024 Control'!$C$4)-1)))/12,"-"))</f>
        <v>-</v>
      </c>
    </row>
    <row r="121" spans="2:39">
      <c r="B121" s="26" t="s">
        <v>4</v>
      </c>
      <c r="C121" s="26" t="s">
        <v>223</v>
      </c>
      <c r="D121" s="26" t="str">
        <f t="shared" si="98"/>
        <v>Finance 3rd Party Providers</v>
      </c>
      <c r="E121" s="26" t="s">
        <v>226</v>
      </c>
      <c r="F121" s="186" t="str">
        <f>Actuals!F120</f>
        <v>#</v>
      </c>
      <c r="G121" s="160"/>
      <c r="H121" s="160"/>
      <c r="I121" s="160"/>
      <c r="J121" s="160"/>
      <c r="K121" s="160"/>
      <c r="L121" s="160"/>
      <c r="M121" s="160"/>
      <c r="N121" s="160"/>
      <c r="O121" s="160"/>
      <c r="P121" s="160"/>
      <c r="Q121" s="160"/>
      <c r="R121" s="160"/>
      <c r="S121" s="160">
        <v>2</v>
      </c>
      <c r="T121" s="160">
        <v>2</v>
      </c>
      <c r="U121" s="160">
        <v>2</v>
      </c>
      <c r="V121" s="160">
        <v>2</v>
      </c>
      <c r="W121" s="160">
        <v>2</v>
      </c>
      <c r="X121" s="160">
        <v>2</v>
      </c>
      <c r="Y121" s="160">
        <v>2</v>
      </c>
      <c r="Z121" s="160">
        <v>2</v>
      </c>
      <c r="AA121" s="160">
        <v>2</v>
      </c>
      <c r="AB121" s="160">
        <v>2</v>
      </c>
      <c r="AC121" s="160">
        <v>2</v>
      </c>
      <c r="AD121" s="160">
        <v>2</v>
      </c>
      <c r="AE121" s="26"/>
      <c r="AF121" s="188" t="str">
        <f>IF(Actuals!BF120="","",Actuals!BF120)</f>
        <v>EoP</v>
      </c>
      <c r="AG121" s="26" t="str">
        <f t="shared" si="100"/>
        <v>Finance 3rd Party Providers</v>
      </c>
      <c r="AH121" s="195">
        <f t="shared" si="108"/>
        <v>0</v>
      </c>
      <c r="AI121" s="195">
        <f t="shared" si="109"/>
        <v>2</v>
      </c>
      <c r="AJ121" s="195">
        <f t="shared" si="110"/>
        <v>2</v>
      </c>
      <c r="AK121" s="195">
        <f t="shared" si="111"/>
        <v>2</v>
      </c>
      <c r="AL121" s="195">
        <f ca="1">IF(AF121="EoP",OFFSET(S121,0,MONTH('2024 Control'!$C$4)-1),SUM(S121:OFFSET(S121,0,MONTH('2024 Control'!$C$4)-1))/IF(AF121="Sum",1,MONTH('2024 Control'!$C$4)))</f>
        <v>2</v>
      </c>
      <c r="AM121" s="304" t="str">
        <f ca="1">IF(AF121="Sum",(SUM(OFFSET(S121,0,MONTH('2024 Control'!$C$4)-12):OFFSET(S121,0,MONTH('2024 Control'!$C$4)-1))),IF(AF121="Average",(SUM(OFFSET(S121,0,MONTH('2024 Control'!$C$4)-12):OFFSET(S121,0,MONTH('2024 Control'!$C$4)-1)))/12,"-"))</f>
        <v>-</v>
      </c>
    </row>
    <row r="122" spans="2:39">
      <c r="B122" s="26" t="s">
        <v>4</v>
      </c>
      <c r="C122" s="26" t="s">
        <v>227</v>
      </c>
      <c r="D122" s="26" t="str">
        <f t="shared" ref="D122:D132" si="122">B122&amp;" "&amp;E122</f>
        <v>Finance Avg. Personnel Cost per Squad</v>
      </c>
      <c r="E122" s="26" t="s">
        <v>62</v>
      </c>
      <c r="F122" s="186" t="str">
        <f>Actuals!F121</f>
        <v>$</v>
      </c>
      <c r="G122" s="233">
        <f t="shared" ref="G122:R122" si="123">G15</f>
        <v>64000</v>
      </c>
      <c r="H122" s="233">
        <f t="shared" si="123"/>
        <v>71200</v>
      </c>
      <c r="I122" s="233">
        <f t="shared" si="123"/>
        <v>91100</v>
      </c>
      <c r="J122" s="233">
        <f t="shared" si="123"/>
        <v>91100</v>
      </c>
      <c r="K122" s="233">
        <f t="shared" si="123"/>
        <v>91100</v>
      </c>
      <c r="L122" s="233">
        <f t="shared" si="123"/>
        <v>96150</v>
      </c>
      <c r="M122" s="233">
        <f t="shared" si="123"/>
        <v>66000</v>
      </c>
      <c r="N122" s="233">
        <f t="shared" si="123"/>
        <v>66000</v>
      </c>
      <c r="O122" s="233">
        <f t="shared" si="123"/>
        <v>69333.333333333328</v>
      </c>
      <c r="P122" s="233">
        <f t="shared" si="123"/>
        <v>69333.333333333328</v>
      </c>
      <c r="Q122" s="233">
        <f t="shared" si="123"/>
        <v>69333.333333333328</v>
      </c>
      <c r="R122" s="233">
        <f t="shared" si="123"/>
        <v>69333.333333333328</v>
      </c>
      <c r="S122" s="242">
        <f>S15</f>
        <v>75549.333333333328</v>
      </c>
      <c r="T122" s="242">
        <f t="shared" ref="T122:AD122" si="124">T15</f>
        <v>75549.333333333328</v>
      </c>
      <c r="U122" s="242">
        <f t="shared" si="124"/>
        <v>75549.333333333328</v>
      </c>
      <c r="V122" s="242">
        <f t="shared" si="124"/>
        <v>75549.333333333328</v>
      </c>
      <c r="W122" s="242">
        <f t="shared" si="124"/>
        <v>75549.333333333328</v>
      </c>
      <c r="X122" s="242">
        <f t="shared" si="124"/>
        <v>75549.333333333328</v>
      </c>
      <c r="Y122" s="242">
        <f t="shared" si="124"/>
        <v>77416</v>
      </c>
      <c r="Z122" s="242">
        <f t="shared" si="124"/>
        <v>77566</v>
      </c>
      <c r="AA122" s="242">
        <f t="shared" si="124"/>
        <v>77566</v>
      </c>
      <c r="AB122" s="242">
        <f t="shared" si="124"/>
        <v>77566</v>
      </c>
      <c r="AC122" s="242">
        <f t="shared" si="124"/>
        <v>77566</v>
      </c>
      <c r="AD122" s="242">
        <f t="shared" si="124"/>
        <v>77566</v>
      </c>
      <c r="AE122" s="26"/>
      <c r="AF122" s="188" t="str">
        <f>IF(Actuals!BF121="","",Actuals!BF121)</f>
        <v>Average</v>
      </c>
      <c r="AG122" s="26" t="str">
        <f t="shared" ref="AG122:AG132" si="125">D122</f>
        <v>Finance Avg. Personnel Cost per Squad</v>
      </c>
      <c r="AH122" s="193">
        <f t="shared" si="108"/>
        <v>75549.333333333328</v>
      </c>
      <c r="AI122" s="193">
        <f t="shared" si="109"/>
        <v>75549.333333333328</v>
      </c>
      <c r="AJ122" s="193">
        <f t="shared" si="110"/>
        <v>76843.777777777766</v>
      </c>
      <c r="AK122" s="193">
        <f t="shared" si="111"/>
        <v>77566</v>
      </c>
      <c r="AL122" s="193">
        <f ca="1">IF(AF122="EoP",OFFSET(S122,0,MONTH('2024 Control'!$C$4)-1),SUM(S122:OFFSET(S122,0,MONTH('2024 Control'!$C$4)-1))/IF(AF122="Sum",1,MONTH('2024 Control'!$C$4)))</f>
        <v>76545.166666666672</v>
      </c>
      <c r="AM122" s="304">
        <f ca="1">IF(AF122="Sum",(SUM(OFFSET(S122,0,MONTH('2024 Control'!$C$4)-12):OFFSET(S122,0,MONTH('2024 Control'!$C$4)-1))),IF(AF122="Average",(SUM(OFFSET(S122,0,MONTH('2024 Control'!$C$4)-12):OFFSET(S122,0,MONTH('2024 Control'!$C$4)-1)))/12,"-"))</f>
        <v>76545.166666666672</v>
      </c>
    </row>
    <row r="123" spans="2:39">
      <c r="B123" s="26" t="s">
        <v>4</v>
      </c>
      <c r="C123" s="26" t="s">
        <v>227</v>
      </c>
      <c r="D123" s="26" t="str">
        <f t="shared" si="122"/>
        <v>Finance P&amp;T Overhead</v>
      </c>
      <c r="E123" s="26" t="s">
        <v>64</v>
      </c>
      <c r="F123" s="186" t="str">
        <f>Actuals!F122</f>
        <v>$</v>
      </c>
      <c r="G123" s="233">
        <f t="shared" ref="G123:R123" si="126">G16</f>
        <v>4800</v>
      </c>
      <c r="H123" s="233">
        <f t="shared" si="126"/>
        <v>10800</v>
      </c>
      <c r="I123" s="233">
        <f t="shared" si="126"/>
        <v>6300</v>
      </c>
      <c r="J123" s="233">
        <f t="shared" si="126"/>
        <v>3300</v>
      </c>
      <c r="K123" s="233">
        <f t="shared" si="126"/>
        <v>30800</v>
      </c>
      <c r="L123" s="233">
        <f t="shared" si="126"/>
        <v>6300</v>
      </c>
      <c r="M123" s="233">
        <f t="shared" si="126"/>
        <v>28400</v>
      </c>
      <c r="N123" s="233">
        <f t="shared" si="126"/>
        <v>5800</v>
      </c>
      <c r="O123" s="233">
        <f t="shared" si="126"/>
        <v>6400</v>
      </c>
      <c r="P123" s="233">
        <f t="shared" si="126"/>
        <v>3500</v>
      </c>
      <c r="Q123" s="233">
        <f t="shared" si="126"/>
        <v>5900</v>
      </c>
      <c r="R123" s="233">
        <f t="shared" si="126"/>
        <v>6433</v>
      </c>
      <c r="S123" s="242">
        <f>S16</f>
        <v>40416</v>
      </c>
      <c r="T123" s="242">
        <f t="shared" ref="T123:AD123" si="127">T16</f>
        <v>4848</v>
      </c>
      <c r="U123" s="242">
        <f t="shared" si="127"/>
        <v>34848</v>
      </c>
      <c r="V123" s="242">
        <f t="shared" si="127"/>
        <v>9348</v>
      </c>
      <c r="W123" s="242">
        <f t="shared" si="127"/>
        <v>4848</v>
      </c>
      <c r="X123" s="242">
        <f t="shared" si="127"/>
        <v>4848</v>
      </c>
      <c r="Y123" s="242">
        <f t="shared" si="127"/>
        <v>19528</v>
      </c>
      <c r="Z123" s="242">
        <f t="shared" si="127"/>
        <v>6528</v>
      </c>
      <c r="AA123" s="242">
        <f t="shared" si="127"/>
        <v>11028</v>
      </c>
      <c r="AB123" s="242">
        <f t="shared" si="127"/>
        <v>16528</v>
      </c>
      <c r="AC123" s="242">
        <f t="shared" si="127"/>
        <v>6528</v>
      </c>
      <c r="AD123" s="242">
        <f t="shared" si="127"/>
        <v>6528</v>
      </c>
      <c r="AE123" s="26"/>
      <c r="AF123" s="188" t="str">
        <f>IF(Actuals!BF122="","",Actuals!BF122)</f>
        <v>Sum</v>
      </c>
      <c r="AG123" s="26" t="str">
        <f t="shared" si="125"/>
        <v>Finance P&amp;T Overhead</v>
      </c>
      <c r="AH123" s="193">
        <f t="shared" si="108"/>
        <v>80112</v>
      </c>
      <c r="AI123" s="193">
        <f t="shared" si="109"/>
        <v>19044</v>
      </c>
      <c r="AJ123" s="193">
        <f t="shared" si="110"/>
        <v>30904</v>
      </c>
      <c r="AK123" s="193">
        <f t="shared" si="111"/>
        <v>29584</v>
      </c>
      <c r="AL123" s="193">
        <f ca="1">IF(AF123="EoP",OFFSET(S123,0,MONTH('2024 Control'!$C$4)-1),SUM(S123:OFFSET(S123,0,MONTH('2024 Control'!$C$4)-1))/IF(AF123="Sum",1,MONTH('2024 Control'!$C$4)))</f>
        <v>165824</v>
      </c>
      <c r="AM123" s="304">
        <f ca="1">IF(AF123="Sum",(SUM(OFFSET(S123,0,MONTH('2024 Control'!$C$4)-12):OFFSET(S123,0,MONTH('2024 Control'!$C$4)-1))),IF(AF123="Average",(SUM(OFFSET(S123,0,MONTH('2024 Control'!$C$4)-12):OFFSET(S123,0,MONTH('2024 Control'!$C$4)-1)))/12,"-"))</f>
        <v>165824</v>
      </c>
    </row>
    <row r="124" spans="2:39">
      <c r="B124" s="26" t="s">
        <v>4</v>
      </c>
      <c r="C124" s="26" t="s">
        <v>227</v>
      </c>
      <c r="D124" s="26" t="str">
        <f t="shared" si="122"/>
        <v>Finance Mktg exp. per $1 ARR</v>
      </c>
      <c r="E124" s="26" t="s">
        <v>134</v>
      </c>
      <c r="F124" s="186" t="str">
        <f>Actuals!F123</f>
        <v>$</v>
      </c>
      <c r="G124" s="234">
        <f t="shared" ref="G124:R124" si="128">G39</f>
        <v>0.48727083333333332</v>
      </c>
      <c r="H124" s="234">
        <f t="shared" si="128"/>
        <v>0.48727083333333332</v>
      </c>
      <c r="I124" s="235">
        <f t="shared" si="128"/>
        <v>0.48727083333333332</v>
      </c>
      <c r="J124" s="235">
        <f t="shared" si="128"/>
        <v>0.64737962962962958</v>
      </c>
      <c r="K124" s="235">
        <f t="shared" si="128"/>
        <v>0.8165162037037037</v>
      </c>
      <c r="L124" s="235">
        <f t="shared" si="128"/>
        <v>0.50954347826086954</v>
      </c>
      <c r="M124" s="235">
        <f t="shared" si="128"/>
        <v>0.60249879227053138</v>
      </c>
      <c r="N124" s="235">
        <f t="shared" si="128"/>
        <v>0.69364251207729466</v>
      </c>
      <c r="O124" s="235">
        <f t="shared" si="128"/>
        <v>0.56536718750000003</v>
      </c>
      <c r="P124" s="235">
        <f t="shared" si="128"/>
        <v>0.63087673611111106</v>
      </c>
      <c r="Q124" s="235">
        <f t="shared" si="128"/>
        <v>0.69768836805555556</v>
      </c>
      <c r="R124" s="235">
        <f t="shared" si="128"/>
        <v>0.48844666666666664</v>
      </c>
      <c r="S124" s="252" t="e">
        <f>S39</f>
        <v>#DIV/0!</v>
      </c>
      <c r="T124" s="252" t="e">
        <f t="shared" ref="T124:AD124" si="129">T39</f>
        <v>#DIV/0!</v>
      </c>
      <c r="U124" s="252">
        <f t="shared" si="129"/>
        <v>0.24540937500000001</v>
      </c>
      <c r="V124" s="252" t="e">
        <f t="shared" si="129"/>
        <v>#DIV/0!</v>
      </c>
      <c r="W124" s="252" t="e">
        <f t="shared" si="129"/>
        <v>#DIV/0!</v>
      </c>
      <c r="X124" s="252">
        <f t="shared" si="129"/>
        <v>0.18642444444444445</v>
      </c>
      <c r="Y124" s="252" t="e">
        <f t="shared" si="129"/>
        <v>#DIV/0!</v>
      </c>
      <c r="Z124" s="252" t="e">
        <f t="shared" si="129"/>
        <v>#DIV/0!</v>
      </c>
      <c r="AA124" s="252">
        <f t="shared" si="129"/>
        <v>0.19013555555555556</v>
      </c>
      <c r="AB124" s="252" t="e">
        <f t="shared" si="129"/>
        <v>#DIV/0!</v>
      </c>
      <c r="AC124" s="252" t="e">
        <f t="shared" si="129"/>
        <v>#DIV/0!</v>
      </c>
      <c r="AD124" s="252">
        <f t="shared" si="129"/>
        <v>0.14751896551724139</v>
      </c>
      <c r="AE124" s="26"/>
      <c r="AF124" s="188" t="str">
        <f>IF(Actuals!BF123="","",Actuals!BF123)</f>
        <v/>
      </c>
      <c r="AG124" s="26" t="str">
        <f t="shared" si="125"/>
        <v>Finance Mktg exp. per $1 ARR</v>
      </c>
      <c r="AH124" s="200">
        <f>AH39</f>
        <v>0.72768750000000004</v>
      </c>
      <c r="AI124" s="200">
        <f>AI39</f>
        <v>0.56194</v>
      </c>
      <c r="AJ124" s="200">
        <f>AJ39</f>
        <v>0.56002888888888891</v>
      </c>
      <c r="AK124" s="200">
        <f>AK39</f>
        <v>0.44255689655172414</v>
      </c>
      <c r="AL124" s="161" t="e">
        <f ca="1">IF(AF124="EoP",OFFSET(S124,0,MONTH('2024 Control'!$C$4)-1),SUM(S124:OFFSET(S124,0,MONTH('2024 Control'!$C$4)-1))/IF(AF124="Sum",1,MONTH('2024 Control'!$C$4)))</f>
        <v>#DIV/0!</v>
      </c>
      <c r="AM124" s="304" t="str">
        <f ca="1">IF(AF124="Sum",(SUM(OFFSET(S124,0,MONTH('2024 Control'!$C$4)-12):OFFSET(S124,0,MONTH('2024 Control'!$C$4)-1))),IF(AF124="Average",(SUM(OFFSET(S124,0,MONTH('2024 Control'!$C$4)-12):OFFSET(S124,0,MONTH('2024 Control'!$C$4)-1)))/12,"-"))</f>
        <v>-</v>
      </c>
    </row>
    <row r="125" spans="2:39">
      <c r="B125" s="26" t="s">
        <v>4</v>
      </c>
      <c r="C125" s="26" t="s">
        <v>227</v>
      </c>
      <c r="D125" s="26" t="str">
        <f t="shared" si="122"/>
        <v>Finance Sales exp. per $1 ARR</v>
      </c>
      <c r="E125" s="26" t="s">
        <v>100</v>
      </c>
      <c r="F125" s="186" t="str">
        <f>Actuals!F124</f>
        <v>$</v>
      </c>
      <c r="G125" s="234" t="str">
        <f t="shared" ref="G125:R125" si="130">G68</f>
        <v>n.a.</v>
      </c>
      <c r="H125" s="234" t="str">
        <f t="shared" si="130"/>
        <v>n.a.</v>
      </c>
      <c r="I125" s="235">
        <f t="shared" si="130"/>
        <v>0.400115</v>
      </c>
      <c r="J125" s="235" t="str">
        <f t="shared" si="130"/>
        <v>n.a.</v>
      </c>
      <c r="K125" s="235" t="str">
        <f t="shared" si="130"/>
        <v>n.a.</v>
      </c>
      <c r="L125" s="235">
        <f t="shared" si="130"/>
        <v>0.44611229946524067</v>
      </c>
      <c r="M125" s="235" t="str">
        <f t="shared" si="130"/>
        <v>n.a.</v>
      </c>
      <c r="N125" s="235" t="str">
        <f t="shared" si="130"/>
        <v>n.a.</v>
      </c>
      <c r="O125" s="235">
        <f t="shared" si="130"/>
        <v>0.66513071895424836</v>
      </c>
      <c r="P125" s="235" t="str">
        <f t="shared" si="130"/>
        <v>n.a.</v>
      </c>
      <c r="Q125" s="235" t="str">
        <f t="shared" si="130"/>
        <v>n.a.</v>
      </c>
      <c r="R125" s="235">
        <f t="shared" si="130"/>
        <v>0.29149999999999998</v>
      </c>
      <c r="S125" s="352" t="e">
        <f>S68</f>
        <v>#DIV/0!</v>
      </c>
      <c r="T125" s="352" t="e">
        <f t="shared" ref="T125:AD125" si="131">T68</f>
        <v>#DIV/0!</v>
      </c>
      <c r="U125" s="352">
        <f t="shared" si="131"/>
        <v>0.41703125000000002</v>
      </c>
      <c r="V125" s="352" t="e">
        <f t="shared" si="131"/>
        <v>#DIV/0!</v>
      </c>
      <c r="W125" s="352" t="e">
        <f t="shared" si="131"/>
        <v>#DIV/0!</v>
      </c>
      <c r="X125" s="352">
        <f t="shared" si="131"/>
        <v>0.29922222222222222</v>
      </c>
      <c r="Y125" s="352" t="e">
        <f t="shared" si="131"/>
        <v>#DIV/0!</v>
      </c>
      <c r="Z125" s="352" t="e">
        <f t="shared" si="131"/>
        <v>#DIV/0!</v>
      </c>
      <c r="AA125" s="352">
        <f t="shared" si="131"/>
        <v>0.30280666666666667</v>
      </c>
      <c r="AB125" s="352" t="e">
        <f t="shared" si="131"/>
        <v>#DIV/0!</v>
      </c>
      <c r="AC125" s="352" t="e">
        <f t="shared" si="131"/>
        <v>#DIV/0!</v>
      </c>
      <c r="AD125" s="352">
        <f t="shared" si="131"/>
        <v>0.23493620689655173</v>
      </c>
      <c r="AE125" s="26"/>
      <c r="AF125" s="188" t="str">
        <f>IF(Actuals!BF124="","",Actuals!BF124)</f>
        <v/>
      </c>
      <c r="AG125" s="26" t="str">
        <f t="shared" si="125"/>
        <v>Finance Sales exp. per $1 ARR</v>
      </c>
      <c r="AH125" s="200">
        <f>AH68</f>
        <v>1.3836312500000001</v>
      </c>
      <c r="AI125" s="200">
        <f>AI68</f>
        <v>0.89233333333333331</v>
      </c>
      <c r="AJ125" s="200">
        <f>AJ68</f>
        <v>0.91150222222222221</v>
      </c>
      <c r="AK125" s="200">
        <f>AK68</f>
        <v>0.70687758620689656</v>
      </c>
      <c r="AL125" s="161" t="e">
        <f ca="1">IF(AF125="EoP",OFFSET(S125,0,MONTH('2024 Control'!$C$4)-1),SUM(S125:OFFSET(S125,0,MONTH('2024 Control'!$C$4)-1))/IF(AF125="Sum",1,MONTH('2024 Control'!$C$4)))</f>
        <v>#DIV/0!</v>
      </c>
      <c r="AM125" s="304" t="str">
        <f ca="1">IF(AF125="Sum",(SUM(OFFSET(S125,0,MONTH('2024 Control'!$C$4)-12):OFFSET(S125,0,MONTH('2024 Control'!$C$4)-1))),IF(AF125="Average",(SUM(OFFSET(S125,0,MONTH('2024 Control'!$C$4)-12):OFFSET(S125,0,MONTH('2024 Control'!$C$4)-1)))/12,"-"))</f>
        <v>-</v>
      </c>
    </row>
    <row r="126" spans="2:39">
      <c r="B126" s="26" t="s">
        <v>4</v>
      </c>
      <c r="C126" s="26" t="s">
        <v>227</v>
      </c>
      <c r="D126" s="26" t="str">
        <f t="shared" si="122"/>
        <v>Finance C.S. exp. per $1 ARR</v>
      </c>
      <c r="E126" s="26" t="s">
        <v>197</v>
      </c>
      <c r="F126" s="186" t="str">
        <f>Actuals!F125</f>
        <v>$</v>
      </c>
      <c r="G126" s="234" t="str">
        <f t="shared" ref="G126:R126" si="132">G95</f>
        <v>n.a.</v>
      </c>
      <c r="H126" s="234" t="str">
        <f t="shared" si="132"/>
        <v>n.a.</v>
      </c>
      <c r="I126" s="235">
        <f t="shared" si="132"/>
        <v>0.18055555555555555</v>
      </c>
      <c r="J126" s="235" t="str">
        <f t="shared" si="132"/>
        <v>n.a.</v>
      </c>
      <c r="K126" s="235" t="str">
        <f t="shared" si="132"/>
        <v>n.a.</v>
      </c>
      <c r="L126" s="235">
        <f t="shared" si="132"/>
        <v>0.22537878787878787</v>
      </c>
      <c r="M126" s="235" t="str">
        <f t="shared" si="132"/>
        <v>n.a.</v>
      </c>
      <c r="N126" s="235" t="str">
        <f t="shared" si="132"/>
        <v>n.a.</v>
      </c>
      <c r="O126" s="235">
        <f t="shared" si="132"/>
        <v>0.35185185185185186</v>
      </c>
      <c r="P126" s="235" t="str">
        <f t="shared" si="132"/>
        <v>n.a.</v>
      </c>
      <c r="Q126" s="235" t="str">
        <f t="shared" si="132"/>
        <v>n.a.</v>
      </c>
      <c r="R126" s="235">
        <f t="shared" si="132"/>
        <v>0.17592592592592593</v>
      </c>
      <c r="S126" s="252" t="e">
        <f>S95</f>
        <v>#DIV/0!</v>
      </c>
      <c r="T126" s="252" t="e">
        <f t="shared" ref="T126:AD126" si="133">T95</f>
        <v>#DIV/0!</v>
      </c>
      <c r="U126" s="252">
        <f t="shared" si="133"/>
        <v>0.56527196652719669</v>
      </c>
      <c r="V126" s="252" t="e">
        <f t="shared" si="133"/>
        <v>#DIV/0!</v>
      </c>
      <c r="W126" s="252" t="e">
        <f t="shared" si="133"/>
        <v>#DIV/0!</v>
      </c>
      <c r="X126" s="252">
        <f t="shared" si="133"/>
        <v>0.39273255813953489</v>
      </c>
      <c r="Y126" s="252" t="e">
        <f t="shared" si="133"/>
        <v>#DIV/0!</v>
      </c>
      <c r="Z126" s="252" t="e">
        <f t="shared" si="133"/>
        <v>#DIV/0!</v>
      </c>
      <c r="AA126" s="252">
        <f t="shared" si="133"/>
        <v>0.41135174418604653</v>
      </c>
      <c r="AB126" s="252" t="e">
        <f t="shared" si="133"/>
        <v>#DIV/0!</v>
      </c>
      <c r="AC126" s="252" t="e">
        <f t="shared" si="133"/>
        <v>#DIV/0!</v>
      </c>
      <c r="AD126" s="252">
        <f t="shared" si="133"/>
        <v>0.31248329621380844</v>
      </c>
      <c r="AE126" s="26"/>
      <c r="AF126" s="188" t="str">
        <f>IF(Actuals!BF125="","",Actuals!BF125)</f>
        <v/>
      </c>
      <c r="AG126" s="26" t="str">
        <f t="shared" si="125"/>
        <v>Finance C.S. exp. per $1 ARR</v>
      </c>
      <c r="AH126" s="200">
        <f>AH95</f>
        <v>1.6987949790794978</v>
      </c>
      <c r="AI126" s="200">
        <f>AI95</f>
        <v>1.1851744186046511</v>
      </c>
      <c r="AJ126" s="200">
        <f>AJ95</f>
        <v>1.2084593023255814</v>
      </c>
      <c r="AK126" s="200">
        <f>AK95</f>
        <v>0.93744988864142542</v>
      </c>
      <c r="AL126" s="161" t="e">
        <f ca="1">IF(AF126="EoP",OFFSET(S126,0,MONTH('2024 Control'!$C$4)-1),SUM(S126:OFFSET(S126,0,MONTH('2024 Control'!$C$4)-1))/IF(AF126="Sum",1,MONTH('2024 Control'!$C$4)))</f>
        <v>#DIV/0!</v>
      </c>
      <c r="AM126" s="304" t="str">
        <f ca="1">IF(AF126="Sum",(SUM(OFFSET(S126,0,MONTH('2024 Control'!$C$4)-12):OFFSET(S126,0,MONTH('2024 Control'!$C$4)-1))),IF(AF126="Average",(SUM(OFFSET(S126,0,MONTH('2024 Control'!$C$4)-12):OFFSET(S126,0,MONTH('2024 Control'!$C$4)-1)))/12,"-"))</f>
        <v>-</v>
      </c>
    </row>
    <row r="127" spans="2:39">
      <c r="B127" s="26" t="s">
        <v>4</v>
      </c>
      <c r="C127" s="26" t="s">
        <v>227</v>
      </c>
      <c r="D127" s="26" t="str">
        <f t="shared" si="122"/>
        <v>Finance Onboarding. Rev - Onboarding Costs</v>
      </c>
      <c r="E127" s="26" t="s">
        <v>206</v>
      </c>
      <c r="F127" s="186" t="str">
        <f>Actuals!F126</f>
        <v>$</v>
      </c>
      <c r="G127" s="229">
        <f t="shared" ref="G127:R127" si="134">G103</f>
        <v>0</v>
      </c>
      <c r="H127" s="229">
        <f t="shared" si="134"/>
        <v>0</v>
      </c>
      <c r="I127" s="229">
        <f t="shared" si="134"/>
        <v>0</v>
      </c>
      <c r="J127" s="229">
        <f t="shared" si="134"/>
        <v>0</v>
      </c>
      <c r="K127" s="229">
        <f t="shared" si="134"/>
        <v>0</v>
      </c>
      <c r="L127" s="229">
        <f t="shared" si="134"/>
        <v>0</v>
      </c>
      <c r="M127" s="229">
        <f t="shared" si="134"/>
        <v>0</v>
      </c>
      <c r="N127" s="229">
        <f t="shared" si="134"/>
        <v>0</v>
      </c>
      <c r="O127" s="229">
        <f t="shared" si="134"/>
        <v>0</v>
      </c>
      <c r="P127" s="229">
        <f t="shared" si="134"/>
        <v>0</v>
      </c>
      <c r="Q127" s="229">
        <f t="shared" si="134"/>
        <v>0</v>
      </c>
      <c r="R127" s="229">
        <f t="shared" si="134"/>
        <v>0</v>
      </c>
      <c r="S127" s="229"/>
      <c r="T127" s="229"/>
      <c r="U127" s="229"/>
      <c r="V127" s="229"/>
      <c r="W127" s="229"/>
      <c r="X127" s="229"/>
      <c r="Y127" s="229"/>
      <c r="Z127" s="229"/>
      <c r="AA127" s="229"/>
      <c r="AB127" s="229"/>
      <c r="AC127" s="229"/>
      <c r="AD127" s="229"/>
      <c r="AE127" s="26"/>
      <c r="AF127" s="188" t="str">
        <f>IF(Actuals!BF126="","",Actuals!BF126)</f>
        <v>Sum</v>
      </c>
      <c r="AG127" s="26" t="str">
        <f t="shared" si="125"/>
        <v>Finance Onboarding. Rev - Onboarding Costs</v>
      </c>
      <c r="AH127" s="193">
        <f>IF($AF127="Sum",SUM(S127:U127),IF($AF127="Average",AVERAGE(S127:U127),IF($AF127="EoP",IV127,"ERROR")))</f>
        <v>0</v>
      </c>
      <c r="AI127" s="193">
        <f>IF($AF127="Sum",SUM(V127:X127),IF($AF127="Average",AVERAGE(V127:X127),IF($AF127="EoP",U127,"ERROR")))</f>
        <v>0</v>
      </c>
      <c r="AJ127" s="193">
        <f>IF($AF127="Sum",SUM(X127:Z127),IF($AF127="Average",AVERAGE(X127:Z127),IF($AF127="EoP",Z127,"ERROR")))</f>
        <v>0</v>
      </c>
      <c r="AK127" s="193">
        <f>IF($AF127="Sum",SUM(AB127:AD127),IF($AF127="Average",AVERAGE(AB127:AD127),IF($AF127="EoP",AD127,"ERROR")))</f>
        <v>0</v>
      </c>
      <c r="AL127" s="193">
        <f ca="1">IF(AF127="EoP",OFFSET(S127,0,MONTH('2024 Control'!$C$4)-1),SUM(S127:OFFSET(S127,0,MONTH('2024 Control'!$C$4)-1))/IF(AF127="Sum",1,MONTH('2024 Control'!$C$4)))</f>
        <v>0</v>
      </c>
      <c r="AM127" s="304">
        <f ca="1">IF(AF127="Sum",(SUM(OFFSET(S127,0,MONTH('2024 Control'!$C$4)-12):OFFSET(S127,0,MONTH('2024 Control'!$C$4)-1))),IF(AF127="Average",(SUM(OFFSET(S127,0,MONTH('2024 Control'!$C$4)-12):OFFSET(S127,0,MONTH('2024 Control'!$C$4)-1)))/12,"-"))</f>
        <v>0</v>
      </c>
    </row>
    <row r="128" spans="2:39">
      <c r="B128" s="26" t="s">
        <v>4</v>
      </c>
      <c r="C128" s="26" t="s">
        <v>263</v>
      </c>
      <c r="D128" s="26" t="str">
        <f t="shared" si="122"/>
        <v>Finance New Logo ARR Growth (annualized)</v>
      </c>
      <c r="E128" s="26" t="s">
        <v>229</v>
      </c>
      <c r="F128" s="186" t="str">
        <f>Actuals!F127</f>
        <v>%</v>
      </c>
      <c r="G128" s="261"/>
      <c r="H128" s="261"/>
      <c r="I128" s="261">
        <f>432000/'2023 Control'!$C$5</f>
        <v>6.2402423987491781E-2</v>
      </c>
      <c r="J128" s="261"/>
      <c r="K128" s="261"/>
      <c r="L128" s="261">
        <f>396000/'2023 Control'!$C$5</f>
        <v>5.7202221988534134E-2</v>
      </c>
      <c r="M128" s="261"/>
      <c r="N128" s="261"/>
      <c r="O128" s="261">
        <f>324000/'2023 Control'!$C$5</f>
        <v>4.6801817990618833E-2</v>
      </c>
      <c r="P128" s="261"/>
      <c r="Q128" s="261"/>
      <c r="R128" s="261">
        <f>648000/'2023 Control'!$C$5</f>
        <v>9.3603635981237665E-2</v>
      </c>
      <c r="S128" s="261"/>
      <c r="T128" s="261"/>
      <c r="U128" s="261"/>
      <c r="V128" s="261"/>
      <c r="W128" s="261"/>
      <c r="X128" s="261"/>
      <c r="Y128" s="261"/>
      <c r="Z128" s="261"/>
      <c r="AA128" s="261"/>
      <c r="AB128" s="261"/>
      <c r="AC128" s="261"/>
      <c r="AD128" s="261"/>
      <c r="AE128" s="26"/>
      <c r="AF128" s="188" t="str">
        <f>IF(Actuals!BF127="","",Actuals!BF127)</f>
        <v>Average</v>
      </c>
      <c r="AG128" s="26" t="str">
        <f t="shared" si="125"/>
        <v>Finance New Logo ARR Growth (annualized)</v>
      </c>
      <c r="AH128" s="194" t="e">
        <f>IF($AF128="Sum",SUM(S128:U128),IF($AF128="Average",AVERAGE(S128:U128),IF($AF128="EoP",IV128,"ERROR")))</f>
        <v>#DIV/0!</v>
      </c>
      <c r="AI128" s="194" t="e">
        <f>IF($AF128="Sum",SUM(V128:X128),IF($AF128="Average",AVERAGE(V128:X128),IF($AF128="EoP",U128,"ERROR")))</f>
        <v>#DIV/0!</v>
      </c>
      <c r="AJ128" s="194" t="e">
        <f>IF($AF128="Sum",SUM(X128:Z128),IF($AF128="Average",AVERAGE(X128:Z128),IF($AF128="EoP",Z128,"ERROR")))</f>
        <v>#DIV/0!</v>
      </c>
      <c r="AK128" s="194" t="e">
        <f>IF($AF128="Sum",SUM(AB128:AD128),IF($AF128="Average",AVERAGE(AB128:AD128),IF($AF128="EoP",AD128,"ERROR")))</f>
        <v>#DIV/0!</v>
      </c>
      <c r="AL128" s="193">
        <f ca="1">IF(AF128="EoP",OFFSET(S128,0,MONTH('2024 Control'!$C$4)-1),SUM(S128:OFFSET(S128,0,MONTH('2024 Control'!$C$4)-1))/IF(AF128="Sum",1,MONTH('2024 Control'!$C$4)))</f>
        <v>0</v>
      </c>
      <c r="AM128" s="304">
        <f ca="1">IF(AF128="Sum",(SUM(OFFSET(S128,0,MONTH('2024 Control'!$C$4)-12):OFFSET(S128,0,MONTH('2024 Control'!$C$4)-1))),IF(AF128="Average",(SUM(OFFSET(S128,0,MONTH('2024 Control'!$C$4)-12):OFFSET(S128,0,MONTH('2024 Control'!$C$4)-1)))/12,"-"))</f>
        <v>0</v>
      </c>
    </row>
    <row r="129" spans="2:39">
      <c r="B129" s="26" t="s">
        <v>4</v>
      </c>
      <c r="C129" s="26" t="s">
        <v>263</v>
      </c>
      <c r="D129" s="26" t="str">
        <f t="shared" si="122"/>
        <v>Finance NRR (annualized)</v>
      </c>
      <c r="E129" s="26" t="s">
        <v>230</v>
      </c>
      <c r="F129" s="186" t="str">
        <f>Actuals!F128</f>
        <v>%</v>
      </c>
      <c r="G129" s="189">
        <f>(G73+G72)/'2023 Control'!$C$5+1</f>
        <v>0.99354134911729464</v>
      </c>
      <c r="H129" s="189">
        <f>(H73+H72)/'2023 Control'!$C$5+1</f>
        <v>0.99354134911729464</v>
      </c>
      <c r="I129" s="189">
        <f>(I73+I72)/'2023 Control'!$C$5+1</f>
        <v>1.0351880335262802</v>
      </c>
      <c r="J129" s="189">
        <f>(J73+J72)/'2023 Control'!$C$5+1</f>
        <v>0.99362975255127683</v>
      </c>
      <c r="K129" s="189">
        <f>(K73+K72)/'2023 Control'!$C$5+1</f>
        <v>0.99367482096860116</v>
      </c>
      <c r="L129" s="189">
        <f>(L73+L72)/'2023 Control'!$C$5+1</f>
        <v>1.0318529706442818</v>
      </c>
      <c r="M129" s="189">
        <f>(M73+M72)/'2023 Control'!$C$5+1</f>
        <v>0.99376149100191713</v>
      </c>
      <c r="N129" s="189">
        <f>(N73+N72)/'2023 Control'!$C$5+1</f>
        <v>0.99380482601857512</v>
      </c>
      <c r="O129" s="189">
        <f>(O73+O72)/'2023 Control'!$C$5+1</f>
        <v>1.0250493730289789</v>
      </c>
      <c r="P129" s="189">
        <f>(P73+P72)/'2023 Control'!$C$5+1</f>
        <v>0.99389149605189109</v>
      </c>
      <c r="Q129" s="189">
        <f>(Q73+Q72)/'2023 Control'!$C$5+1</f>
        <v>0.99393309766788274</v>
      </c>
      <c r="R129" s="189">
        <f>(R73+R72)/'2023 Control'!$C$5+1</f>
        <v>1.0563788566720325</v>
      </c>
      <c r="S129" s="189"/>
      <c r="T129" s="189"/>
      <c r="U129" s="189"/>
      <c r="V129" s="189"/>
      <c r="W129" s="189"/>
      <c r="X129" s="189"/>
      <c r="Y129" s="189"/>
      <c r="Z129" s="189"/>
      <c r="AA129" s="189"/>
      <c r="AB129" s="189"/>
      <c r="AC129" s="189"/>
      <c r="AD129" s="189"/>
      <c r="AE129" s="26"/>
      <c r="AF129" s="188" t="str">
        <f>IF(Actuals!BF128="","",Actuals!BF128)</f>
        <v>Average</v>
      </c>
      <c r="AG129" s="26" t="str">
        <f t="shared" si="125"/>
        <v>Finance NRR (annualized)</v>
      </c>
      <c r="AH129" s="194" t="e">
        <f>IF($AF129="Sum",SUM(S129:U129),IF($AF129="Average",AVERAGE(S129:U129),IF($AF129="EoP",IV129,"ERROR")))</f>
        <v>#DIV/0!</v>
      </c>
      <c r="AI129" s="194" t="e">
        <f>IF($AF129="Sum",SUM(V129:X129),IF($AF129="Average",AVERAGE(V129:X129),IF($AF129="EoP",U129,"ERROR")))</f>
        <v>#DIV/0!</v>
      </c>
      <c r="AJ129" s="194" t="e">
        <f>IF($AF129="Sum",SUM(X129:Z129),IF($AF129="Average",AVERAGE(X129:Z129),IF($AF129="EoP",Z129,"ERROR")))</f>
        <v>#DIV/0!</v>
      </c>
      <c r="AK129" s="194" t="e">
        <f>IF($AF129="Sum",SUM(AB129:AD129),IF($AF129="Average",AVERAGE(AB129:AD129),IF($AF129="EoP",AD129,"ERROR")))</f>
        <v>#DIV/0!</v>
      </c>
      <c r="AL129" s="355">
        <f ca="1">AL74/'2024 Control'!C5+1</f>
        <v>1.0702940416634446</v>
      </c>
      <c r="AM129" s="304">
        <f ca="1">IF(AF129="Sum",(SUM(OFFSET(S129,0,MONTH('2024 Control'!$C$4)-12):OFFSET(S129,0,MONTH('2024 Control'!$C$4)-1))),IF(AF129="Average",(SUM(OFFSET(S129,0,MONTH('2024 Control'!$C$4)-12):OFFSET(S129,0,MONTH('2024 Control'!$C$4)-1)))/12,"-"))</f>
        <v>0</v>
      </c>
    </row>
    <row r="130" spans="2:39">
      <c r="B130" s="26" t="s">
        <v>4</v>
      </c>
      <c r="C130" s="26" t="s">
        <v>263</v>
      </c>
      <c r="D130" s="26" t="str">
        <f t="shared" si="122"/>
        <v>Finance Gross Margin</v>
      </c>
      <c r="E130" s="26" t="s">
        <v>231</v>
      </c>
      <c r="F130" s="186" t="str">
        <f>Actuals!F129</f>
        <v>%</v>
      </c>
      <c r="G130" s="189">
        <f>(G105+G106)/G105</f>
        <v>0.50298573532201674</v>
      </c>
      <c r="H130" s="189">
        <f t="shared" ref="H130:R130" si="135">(H105+H106)/H105</f>
        <v>0.5283580026157868</v>
      </c>
      <c r="I130" s="189">
        <f t="shared" si="135"/>
        <v>0.48118582278819388</v>
      </c>
      <c r="J130" s="189">
        <f t="shared" si="135"/>
        <v>0.45584397473952626</v>
      </c>
      <c r="K130" s="189">
        <f t="shared" si="135"/>
        <v>0.49257355280563975</v>
      </c>
      <c r="L130" s="189">
        <f t="shared" si="135"/>
        <v>0.48193617346159717</v>
      </c>
      <c r="M130" s="189">
        <f t="shared" si="135"/>
        <v>0.48204572213195984</v>
      </c>
      <c r="N130" s="189">
        <f t="shared" si="135"/>
        <v>0.47681138594375755</v>
      </c>
      <c r="O130" s="189">
        <f t="shared" si="135"/>
        <v>0.51663377098887264</v>
      </c>
      <c r="P130" s="189">
        <f t="shared" si="135"/>
        <v>0.50607234913500732</v>
      </c>
      <c r="Q130" s="189">
        <f t="shared" si="135"/>
        <v>0.50350993691599866</v>
      </c>
      <c r="R130" s="189">
        <f t="shared" si="135"/>
        <v>0.53396593250340962</v>
      </c>
      <c r="S130" s="189"/>
      <c r="T130" s="189"/>
      <c r="U130" s="189"/>
      <c r="V130" s="189"/>
      <c r="W130" s="189"/>
      <c r="X130" s="189"/>
      <c r="Y130" s="189"/>
      <c r="Z130" s="189"/>
      <c r="AA130" s="189"/>
      <c r="AB130" s="189"/>
      <c r="AC130" s="189"/>
      <c r="AD130" s="189"/>
      <c r="AE130" s="26"/>
      <c r="AF130" s="188" t="str">
        <f>IF(Actuals!BF129="","",Actuals!BF129)</f>
        <v>Average</v>
      </c>
      <c r="AG130" s="26" t="str">
        <f t="shared" si="125"/>
        <v>Finance Gross Margin</v>
      </c>
      <c r="AH130" s="194" t="e">
        <f>IF($AF130="Sum",SUM(S130:U130),IF($AF130="Average",AVERAGE(S130:U130),IF($AF130="EoP",IV130,"ERROR")))</f>
        <v>#DIV/0!</v>
      </c>
      <c r="AI130" s="194" t="e">
        <f>IF($AF130="Sum",SUM(V130:X130),IF($AF130="Average",AVERAGE(V130:X130),IF($AF130="EoP",U130,"ERROR")))</f>
        <v>#DIV/0!</v>
      </c>
      <c r="AJ130" s="194" t="e">
        <f>IF($AF130="Sum",SUM(X130:Z130),IF($AF130="Average",AVERAGE(X130:Z130),IF($AF130="EoP",Z130,"ERROR")))</f>
        <v>#DIV/0!</v>
      </c>
      <c r="AK130" s="194" t="e">
        <f>IF($AF130="Sum",SUM(AB130:AD130),IF($AF130="Average",AVERAGE(AB130:AD130),IF($AF130="EoP",AD130,"ERROR")))</f>
        <v>#DIV/0!</v>
      </c>
      <c r="AL130" s="194">
        <f ca="1">IF(AF130="EoP",OFFSET(S130,0,MONTH('2024 Control'!$C$4)-1),SUM(S130:OFFSET(S130,0,MONTH('2024 Control'!$C$4)-1))/IF(AF130="Sum",1,MONTH('2024 Control'!$C$4)))</f>
        <v>0</v>
      </c>
      <c r="AM130" s="304">
        <f ca="1">IF(AF130="Sum",(SUM(OFFSET(S130,0,MONTH('2024 Control'!$C$4)-12):OFFSET(S130,0,MONTH('2024 Control'!$C$4)-1))),IF(AF130="Average",(SUM(OFFSET(S130,0,MONTH('2024 Control'!$C$4)-12):OFFSET(S130,0,MONTH('2024 Control'!$C$4)-1)))/12,"-"))</f>
        <v>0</v>
      </c>
    </row>
    <row r="131" spans="2:39">
      <c r="B131" s="26" t="s">
        <v>4</v>
      </c>
      <c r="C131" s="26" t="s">
        <v>263</v>
      </c>
      <c r="D131" s="26" t="str">
        <f t="shared" si="122"/>
        <v>Finance EBITDA Margin</v>
      </c>
      <c r="E131" s="26" t="s">
        <v>232</v>
      </c>
      <c r="F131" s="186" t="str">
        <f>Actuals!F130</f>
        <v>%</v>
      </c>
      <c r="G131" s="189">
        <f>G113/G105</f>
        <v>-0.54378686999177905</v>
      </c>
      <c r="H131" s="189">
        <f t="shared" ref="H131:R131" si="136">H113/H105</f>
        <v>-0.65786491407740766</v>
      </c>
      <c r="I131" s="189">
        <f t="shared" si="136"/>
        <v>-0.64809753098383061</v>
      </c>
      <c r="J131" s="189">
        <f t="shared" si="136"/>
        <v>-0.69960854234316794</v>
      </c>
      <c r="K131" s="189">
        <f t="shared" si="136"/>
        <v>-0.69675145263651439</v>
      </c>
      <c r="L131" s="189">
        <f t="shared" si="136"/>
        <v>-0.59412276683463128</v>
      </c>
      <c r="M131" s="189">
        <f t="shared" si="136"/>
        <v>-0.71460480085492128</v>
      </c>
      <c r="N131" s="189">
        <f t="shared" si="136"/>
        <v>-0.72417638716207355</v>
      </c>
      <c r="O131" s="189">
        <f t="shared" si="136"/>
        <v>-0.59552618782001776</v>
      </c>
      <c r="P131" s="189">
        <f t="shared" si="136"/>
        <v>-0.66393130784067378</v>
      </c>
      <c r="Q131" s="189">
        <f t="shared" si="136"/>
        <v>-0.67456451880662149</v>
      </c>
      <c r="R131" s="189">
        <f t="shared" si="136"/>
        <v>-0.55905018924083949</v>
      </c>
      <c r="S131" s="189"/>
      <c r="T131" s="189"/>
      <c r="U131" s="189"/>
      <c r="V131" s="189"/>
      <c r="W131" s="189"/>
      <c r="X131" s="189"/>
      <c r="Y131" s="189"/>
      <c r="Z131" s="189"/>
      <c r="AA131" s="189"/>
      <c r="AB131" s="189"/>
      <c r="AC131" s="189"/>
      <c r="AD131" s="189"/>
      <c r="AE131" s="26"/>
      <c r="AF131" s="188" t="str">
        <f>IF(Actuals!BF130="","",Actuals!BF130)</f>
        <v>Average</v>
      </c>
      <c r="AG131" s="26" t="str">
        <f t="shared" si="125"/>
        <v>Finance EBITDA Margin</v>
      </c>
      <c r="AH131" s="194" t="e">
        <f>IF($AF131="Sum",SUM(S131:U131),IF($AF131="Average",AVERAGE(S131:U131),IF($AF131="EoP",IV131,"ERROR")))</f>
        <v>#DIV/0!</v>
      </c>
      <c r="AI131" s="194" t="e">
        <f>IF($AF131="Sum",SUM(V131:X131),IF($AF131="Average",AVERAGE(V131:X131),IF($AF131="EoP",U131,"ERROR")))</f>
        <v>#DIV/0!</v>
      </c>
      <c r="AJ131" s="194" t="e">
        <f>IF($AF131="Sum",SUM(X131:Z131),IF($AF131="Average",AVERAGE(X131:Z131),IF($AF131="EoP",Z131,"ERROR")))</f>
        <v>#DIV/0!</v>
      </c>
      <c r="AK131" s="194" t="e">
        <f>IF($AF131="Sum",SUM(AB131:AD131),IF($AF131="Average",AVERAGE(AB131:AD131),IF($AF131="EoP",AD131,"ERROR")))</f>
        <v>#DIV/0!</v>
      </c>
      <c r="AL131" s="194">
        <f ca="1">IF(AF131="EoP",OFFSET(S131,0,MONTH('2024 Control'!$C$4)-1),SUM(S131:OFFSET(S131,0,MONTH('2024 Control'!$C$4)-1))/IF(AF131="Sum",1,MONTH('2024 Control'!$C$4)))</f>
        <v>0</v>
      </c>
      <c r="AM131" s="304">
        <f ca="1">IF(AF131="Sum",(SUM(OFFSET(S131,0,MONTH('2024 Control'!$C$4)-12):OFFSET(S131,0,MONTH('2024 Control'!$C$4)-1))),IF(AF131="Average",(SUM(OFFSET(S131,0,MONTH('2024 Control'!$C$4)-12):OFFSET(S131,0,MONTH('2024 Control'!$C$4)-1)))/12,"-"))</f>
        <v>0</v>
      </c>
    </row>
    <row r="132" spans="2:39">
      <c r="B132" s="26" t="s">
        <v>4</v>
      </c>
      <c r="C132" s="26" t="s">
        <v>263</v>
      </c>
      <c r="D132" s="26" t="str">
        <f t="shared" si="122"/>
        <v>Finance Score</v>
      </c>
      <c r="E132" s="26" t="s">
        <v>233</v>
      </c>
      <c r="F132" s="186" t="str">
        <f>Actuals!F131</f>
        <v>Sum</v>
      </c>
      <c r="G132" s="262">
        <f t="shared" ref="G132:R132" si="137">G128+G129+G130+G131</f>
        <v>0.95274021444753243</v>
      </c>
      <c r="H132" s="262">
        <f t="shared" si="137"/>
        <v>0.86403443765567378</v>
      </c>
      <c r="I132" s="263">
        <f t="shared" si="137"/>
        <v>0.93067874931813543</v>
      </c>
      <c r="J132" s="262">
        <f t="shared" si="137"/>
        <v>0.74986518494763521</v>
      </c>
      <c r="K132" s="262">
        <f t="shared" si="137"/>
        <v>0.78949692113772652</v>
      </c>
      <c r="L132" s="262">
        <f t="shared" si="137"/>
        <v>0.97686859925978198</v>
      </c>
      <c r="M132" s="262">
        <f t="shared" si="137"/>
        <v>0.76120241227895558</v>
      </c>
      <c r="N132" s="262">
        <f t="shared" si="137"/>
        <v>0.74643982480025917</v>
      </c>
      <c r="O132" s="262">
        <f t="shared" si="137"/>
        <v>0.99295877418845269</v>
      </c>
      <c r="P132" s="262">
        <f t="shared" si="137"/>
        <v>0.83603253734622462</v>
      </c>
      <c r="Q132" s="262">
        <f t="shared" si="137"/>
        <v>0.8228785157772599</v>
      </c>
      <c r="R132" s="262">
        <f t="shared" si="137"/>
        <v>1.1248982359158404</v>
      </c>
      <c r="S132" s="262"/>
      <c r="T132" s="262"/>
      <c r="U132" s="263"/>
      <c r="V132" s="262"/>
      <c r="W132" s="262"/>
      <c r="X132" s="262"/>
      <c r="Y132" s="262"/>
      <c r="Z132" s="262"/>
      <c r="AA132" s="262"/>
      <c r="AB132" s="262"/>
      <c r="AC132" s="262"/>
      <c r="AD132" s="262"/>
      <c r="AE132" s="26"/>
      <c r="AF132" s="188" t="str">
        <f>IF(Actuals!BF131="","",Actuals!BF131)</f>
        <v/>
      </c>
      <c r="AG132" s="26" t="str">
        <f t="shared" si="125"/>
        <v>Finance Score</v>
      </c>
      <c r="AH132" s="201" t="e">
        <f>SUM(AH128:AH131)</f>
        <v>#DIV/0!</v>
      </c>
      <c r="AI132" s="201" t="e">
        <f>SUM(AI128:AI131)</f>
        <v>#DIV/0!</v>
      </c>
      <c r="AJ132" s="201" t="e">
        <f>SUM(AJ128:AJ131)</f>
        <v>#DIV/0!</v>
      </c>
      <c r="AK132" s="201" t="e">
        <f>SUM(AK128:AK131)</f>
        <v>#DIV/0!</v>
      </c>
      <c r="AL132" s="202">
        <f t="shared" ref="AL132" ca="1" si="138">AL128+AL129+AL130+AL131</f>
        <v>1.0702940416634446</v>
      </c>
      <c r="AM132" s="304" t="str">
        <f ca="1">IF(AF132="Sum",(SUM(OFFSET(S132,0,MONTH('2024 Control'!$C$4)-12):OFFSET(S132,0,MONTH('2024 Control'!$C$4)-1))),IF(AF132="Average",(SUM(OFFSET(S132,0,MONTH('2024 Control'!$C$4)-12):OFFSET(S132,0,MONTH('2024 Control'!$C$4)-1)))/12,"-"))</f>
        <v>-</v>
      </c>
    </row>
    <row r="133" spans="2:39">
      <c r="B133" s="26" t="s">
        <v>4</v>
      </c>
      <c r="C133" s="26" t="s">
        <v>263</v>
      </c>
      <c r="D133" s="26" t="str">
        <f t="shared" ref="D133:D137" si="139">B133&amp;" "&amp;E133</f>
        <v>Finance New Logo ARR Growth (YTD)</v>
      </c>
      <c r="E133" s="26" t="s">
        <v>235</v>
      </c>
      <c r="F133" s="186">
        <f>Actuals!F137</f>
        <v>0</v>
      </c>
      <c r="G133" s="243">
        <f>SUM($G$40:G40)/'2023 Control'!$C$5</f>
        <v>0</v>
      </c>
      <c r="H133" s="243">
        <f>SUM($G$40:H40)/'2023 Control'!$C$5</f>
        <v>0</v>
      </c>
      <c r="I133" s="243">
        <f>SUM($G$40:I40)/'2023 Control'!$C$5</f>
        <v>5.778002221064054E-2</v>
      </c>
      <c r="J133" s="243">
        <f>SUM($G$40:J40)/'2023 Control'!$C$5</f>
        <v>5.778002221064054E-2</v>
      </c>
      <c r="K133" s="243">
        <f>SUM($G$40:K40)/'2023 Control'!$C$5</f>
        <v>5.778002221064054E-2</v>
      </c>
      <c r="L133" s="243">
        <f>SUM($G$40:L40)/'2023 Control'!$C$5</f>
        <v>0.11180434297758944</v>
      </c>
      <c r="M133" s="243">
        <f>SUM($G$40:M40)/'2023 Control'!$C$5</f>
        <v>0.11180434297758944</v>
      </c>
      <c r="N133" s="243">
        <f>SUM($G$40:N40)/'2023 Control'!$C$5</f>
        <v>0.11180434297758944</v>
      </c>
      <c r="O133" s="243">
        <f>SUM($G$40:O40)/'2023 Control'!$C$5</f>
        <v>0.15600605996872946</v>
      </c>
      <c r="P133" s="243">
        <f>SUM($G$40:P40)/'2023 Control'!$C$5</f>
        <v>0.15600605996872946</v>
      </c>
      <c r="Q133" s="243">
        <f>SUM($G$40:Q40)/'2023 Control'!$C$5</f>
        <v>0.15600605996872946</v>
      </c>
      <c r="R133" s="243">
        <f>SUM($G$40:R40)/'2023 Control'!$C$5</f>
        <v>0.24556509439522228</v>
      </c>
      <c r="S133" s="243"/>
      <c r="T133" s="243"/>
      <c r="U133" s="243"/>
      <c r="V133" s="243"/>
      <c r="W133" s="243"/>
      <c r="X133" s="243"/>
      <c r="Y133" s="243"/>
      <c r="Z133" s="243"/>
      <c r="AA133" s="243"/>
      <c r="AB133" s="243"/>
      <c r="AC133" s="243"/>
      <c r="AD133" s="243"/>
      <c r="AE133" s="26"/>
      <c r="AF133" s="188" t="s">
        <v>47</v>
      </c>
      <c r="AG133" s="26" t="str">
        <f t="shared" ref="AG133:AG137" si="140">D133</f>
        <v>Finance New Logo ARR Growth (YTD)</v>
      </c>
      <c r="AH133" s="194">
        <f>IF($AF133="Sum",SUM(S133:U133),IF($AF133="Average",AVERAGE(S133:U133),IF($AF133="EoP",IV133,"ERROR")))</f>
        <v>0</v>
      </c>
      <c r="AI133" s="194">
        <f>IF($AF133="Sum",SUM(V133:X133),IF($AF133="Average",AVERAGE(V133:X133),IF($AF133="EoP",U133,"ERROR")))</f>
        <v>0</v>
      </c>
      <c r="AJ133" s="194">
        <f>IF($AF133="Sum",SUM(X133:Z133),IF($AF133="Average",AVERAGE(X133:Z133),IF($AF133="EoP",Z133,"ERROR")))</f>
        <v>0</v>
      </c>
      <c r="AK133" s="194">
        <f>IF($AF133="Sum",SUM(AB133:AD133),IF($AF133="Average",AVERAGE(AB133:AD133),IF($AF133="EoP",AD133,"ERROR")))</f>
        <v>0</v>
      </c>
      <c r="AL133" s="193">
        <f ca="1">IF(AF133="EoP",OFFSET(S133,0,MONTH('2024 Control'!$C$4)-1),SUM(S133:OFFSET(S133,0,MONTH('2024 Control'!$C$4)-1))/IF(AF133="Sum",1,MONTH('2024 Control'!$C$4)))</f>
        <v>0</v>
      </c>
      <c r="AM133" s="304" t="str">
        <f ca="1">IF(AF133="Sum",(SUM(OFFSET(S133,0,MONTH('2024 Control'!$C$4)-12):OFFSET(S133,0,MONTH('2024 Control'!$C$4)-1))),IF(AF133="Average",(SUM(OFFSET(S133,0,MONTH('2024 Control'!$C$4)-12):OFFSET(S133,0,MONTH('2024 Control'!$C$4)-1)))/12,"-"))</f>
        <v>-</v>
      </c>
    </row>
    <row r="134" spans="2:39">
      <c r="B134" s="26" t="s">
        <v>4</v>
      </c>
      <c r="C134" s="26" t="s">
        <v>263</v>
      </c>
      <c r="D134" s="26" t="str">
        <f t="shared" si="139"/>
        <v>Finance NRR (YTD)</v>
      </c>
      <c r="E134" s="26" t="s">
        <v>236</v>
      </c>
      <c r="F134" s="186">
        <f>Actuals!F138</f>
        <v>0</v>
      </c>
      <c r="G134" s="243">
        <f>SUM($G$74:G74)/'2023 Control'!$C$5+1</f>
        <v>0.99354134911729464</v>
      </c>
      <c r="H134" s="243">
        <f>SUM($G$74:H74)/'2023 Control'!$C$5+1</f>
        <v>0.98708269823458916</v>
      </c>
      <c r="I134" s="243">
        <f>SUM($G$74:I74)/'2023 Control'!$C$5+1</f>
        <v>1.0222707317608692</v>
      </c>
      <c r="J134" s="243">
        <f>SUM($G$74:J74)/'2023 Control'!$C$5+1</f>
        <v>1.0159004843121462</v>
      </c>
      <c r="K134" s="243">
        <f>SUM($G$74:K74)/'2023 Control'!$C$5+1</f>
        <v>1.0095753052807475</v>
      </c>
      <c r="L134" s="243">
        <f>SUM($G$74:L74)/'2023 Control'!$C$5+1</f>
        <v>1.0414282759250293</v>
      </c>
      <c r="M134" s="243">
        <f>SUM($G$74:M74)/'2023 Control'!$C$5+1</f>
        <v>1.0351897669269463</v>
      </c>
      <c r="N134" s="243">
        <f>SUM($G$74:N74)/'2023 Control'!$C$5+1</f>
        <v>1.0289945929455215</v>
      </c>
      <c r="O134" s="243">
        <f>SUM($G$74:O74)/'2023 Control'!$C$5+1</f>
        <v>1.0540439659745005</v>
      </c>
      <c r="P134" s="243">
        <f>SUM($G$74:P74)/'2023 Control'!$C$5+1</f>
        <v>1.0479354620263917</v>
      </c>
      <c r="Q134" s="243">
        <f>SUM($G$74:Q74)/'2023 Control'!$C$5+1</f>
        <v>1.0418685596942743</v>
      </c>
      <c r="R134" s="243">
        <f>SUM($G$74:R74)/'2023 Control'!$C$5+1</f>
        <v>1.098247416366307</v>
      </c>
      <c r="S134" s="243"/>
      <c r="T134" s="243"/>
      <c r="U134" s="243"/>
      <c r="V134" s="243"/>
      <c r="W134" s="243"/>
      <c r="X134" s="243"/>
      <c r="Y134" s="243"/>
      <c r="Z134" s="243"/>
      <c r="AA134" s="243"/>
      <c r="AB134" s="243"/>
      <c r="AC134" s="243"/>
      <c r="AD134" s="243"/>
      <c r="AE134" s="26"/>
      <c r="AF134" s="188" t="s">
        <v>47</v>
      </c>
      <c r="AG134" s="26" t="str">
        <f t="shared" si="140"/>
        <v>Finance NRR (YTD)</v>
      </c>
      <c r="AH134" s="194">
        <f>IF($AF134="Sum",SUM(S134:U134),IF($AF134="Average",AVERAGE(S134:U134),IF($AF134="EoP",IV134,"ERROR")))</f>
        <v>0</v>
      </c>
      <c r="AI134" s="194">
        <f>IF($AF134="Sum",SUM(V134:X134),IF($AF134="Average",AVERAGE(V134:X134),IF($AF134="EoP",U134,"ERROR")))</f>
        <v>0</v>
      </c>
      <c r="AJ134" s="194">
        <f>IF($AF134="Sum",SUM(X134:Z134),IF($AF134="Average",AVERAGE(X134:Z134),IF($AF134="EoP",Z134,"ERROR")))</f>
        <v>0</v>
      </c>
      <c r="AK134" s="194">
        <f>IF($AF134="Sum",SUM(AB134:AD134),IF($AF134="Average",AVERAGE(AB134:AD134),IF($AF134="EoP",AD134,"ERROR")))</f>
        <v>0</v>
      </c>
      <c r="AL134" s="355">
        <f ca="1">AL74/'2024 Control'!$C$5+1</f>
        <v>1.0702940416634446</v>
      </c>
      <c r="AM134" s="304" t="str">
        <f ca="1">IF(AF134="Sum",(SUM(OFFSET(S134,0,MONTH('2024 Control'!$C$4)-12):OFFSET(S134,0,MONTH('2024 Control'!$C$4)-1))),IF(AF134="Average",(SUM(OFFSET(S134,0,MONTH('2024 Control'!$C$4)-12):OFFSET(S134,0,MONTH('2024 Control'!$C$4)-1)))/12,"-"))</f>
        <v>-</v>
      </c>
    </row>
    <row r="135" spans="2:39">
      <c r="B135" s="26" t="s">
        <v>4</v>
      </c>
      <c r="C135" s="26" t="s">
        <v>263</v>
      </c>
      <c r="D135" s="26" t="str">
        <f t="shared" si="139"/>
        <v>Finance Gross Margin (YTD)</v>
      </c>
      <c r="E135" s="26" t="s">
        <v>237</v>
      </c>
      <c r="F135" s="186">
        <f>Actuals!F139</f>
        <v>0</v>
      </c>
      <c r="G135" s="243">
        <f>IF(G106=0,"-",SUM($G$106:G106)/SUM($G$105:G105)+1)</f>
        <v>0.50298573532201674</v>
      </c>
      <c r="H135" s="243">
        <f>IF(H106=0,"-",SUM($G$106:H106)/SUM($G$105:H105)+1)</f>
        <v>0.51562902237482822</v>
      </c>
      <c r="I135" s="243">
        <f>IF(I106=0,"-",SUM($G$106:I106)/SUM($G$105:I105)+1)</f>
        <v>0.50351463382815964</v>
      </c>
      <c r="J135" s="243">
        <f>IF(J106=0,"-",SUM($G$106:J106)/SUM($G$105:J105)+1)</f>
        <v>0.49105206097288923</v>
      </c>
      <c r="K135" s="243">
        <f>IF(K106=0,"-",SUM($G$106:K106)/SUM($G$105:K105)+1)</f>
        <v>0.49136523815563804</v>
      </c>
      <c r="L135" s="243">
        <f>IF(L106=0,"-",SUM($G$106:L106)/SUM($G$105:L105)+1)</f>
        <v>0.48962880561138922</v>
      </c>
      <c r="M135" s="243">
        <f>IF(M106=0,"-",SUM($G$106:M106)/SUM($G$105:M105)+1)</f>
        <v>0.48846642307924903</v>
      </c>
      <c r="N135" s="243">
        <f>IF(N106=0,"-",SUM($G$106:N106)/SUM($G$105:N105)+1)</f>
        <v>0.4869247840906602</v>
      </c>
      <c r="O135" s="243">
        <f>IF(O106=0,"-",SUM($G$106:O106)/SUM($G$105:O105)+1)</f>
        <v>0.49067463190096561</v>
      </c>
      <c r="P135" s="243">
        <f>IF(P106=0,"-",SUM($G$106:P106)/SUM($G$105:P105)+1)</f>
        <v>0.49235407704820633</v>
      </c>
      <c r="Q135" s="243">
        <f>IF(Q106=0,"-",SUM($G$106:Q106)/SUM($G$105:Q105)+1)</f>
        <v>0.49344608658635003</v>
      </c>
      <c r="R135" s="243">
        <f>IF(R106=0,"-",SUM($G$106:R106)/SUM($G$105:R105)+1)</f>
        <v>0.49729637958696671</v>
      </c>
      <c r="S135" s="243"/>
      <c r="T135" s="243"/>
      <c r="U135" s="243"/>
      <c r="V135" s="243"/>
      <c r="W135" s="243"/>
      <c r="X135" s="243"/>
      <c r="Y135" s="243"/>
      <c r="Z135" s="243"/>
      <c r="AA135" s="243"/>
      <c r="AB135" s="243"/>
      <c r="AC135" s="243"/>
      <c r="AD135" s="243"/>
      <c r="AE135" s="26"/>
      <c r="AF135" s="188" t="s">
        <v>47</v>
      </c>
      <c r="AG135" s="26" t="str">
        <f t="shared" si="140"/>
        <v>Finance Gross Margin (YTD)</v>
      </c>
      <c r="AH135" s="194">
        <f>IF($AF135="Sum",SUM(S135:U135),IF($AF135="Average",AVERAGE(S135:U135),IF($AF135="EoP",IV135,"ERROR")))</f>
        <v>0</v>
      </c>
      <c r="AI135" s="194">
        <f>IF($AF135="Sum",SUM(V135:X135),IF($AF135="Average",AVERAGE(V135:X135),IF($AF135="EoP",U135,"ERROR")))</f>
        <v>0</v>
      </c>
      <c r="AJ135" s="194">
        <f>IF($AF135="Sum",SUM(X135:Z135),IF($AF135="Average",AVERAGE(X135:Z135),IF($AF135="EoP",Z135,"ERROR")))</f>
        <v>0</v>
      </c>
      <c r="AK135" s="194">
        <f>IF($AF135="Sum",SUM(AB135:AD135),IF($AF135="Average",AVERAGE(AB135:AD135),IF($AF135="EoP",AD135,"ERROR")))</f>
        <v>0</v>
      </c>
      <c r="AL135" s="194">
        <f ca="1">IF(AF135="EoP",OFFSET(S135,0,MONTH('2024 Control'!$C$4)-1),SUM(S135:OFFSET(S135,0,MONTH('2024 Control'!$C$4)-1))/IF(AF135="Sum",1,MONTH('2024 Control'!$C$4)))</f>
        <v>0</v>
      </c>
      <c r="AM135" s="304" t="str">
        <f ca="1">IF(AF135="Sum",(SUM(OFFSET(S135,0,MONTH('2024 Control'!$C$4)-12):OFFSET(S135,0,MONTH('2024 Control'!$C$4)-1))),IF(AF135="Average",(SUM(OFFSET(S135,0,MONTH('2024 Control'!$C$4)-12):OFFSET(S135,0,MONTH('2024 Control'!$C$4)-1)))/12,"-"))</f>
        <v>-</v>
      </c>
    </row>
    <row r="136" spans="2:39">
      <c r="B136" s="26" t="s">
        <v>4</v>
      </c>
      <c r="C136" s="26" t="s">
        <v>263</v>
      </c>
      <c r="D136" s="26" t="str">
        <f t="shared" si="139"/>
        <v>Finance EBITDA Margin (YTD)</v>
      </c>
      <c r="E136" s="26" t="s">
        <v>238</v>
      </c>
      <c r="F136" s="186">
        <f>Actuals!F140</f>
        <v>0</v>
      </c>
      <c r="G136" s="243">
        <f>IF(G113=0,"-",SUM($G$113:G113)/SUM($G$105:G105))</f>
        <v>-0.54378686999177905</v>
      </c>
      <c r="H136" s="243">
        <f>IF(H113=0,"-",SUM($G$113:H113)/SUM($G$105:H105))</f>
        <v>-0.60063324643492955</v>
      </c>
      <c r="I136" s="243">
        <f>IF(I113=0,"-",SUM($G$113:I113)/SUM($G$105:I105))</f>
        <v>-0.61732742096040405</v>
      </c>
      <c r="J136" s="243">
        <f>IF(J113=0,"-",SUM($G$113:J113)/SUM($G$105:J105))</f>
        <v>-0.63883823053279665</v>
      </c>
      <c r="K136" s="243">
        <f>IF(K113=0,"-",SUM($G$113:K113)/SUM($G$105:K105))</f>
        <v>-0.65075883329381079</v>
      </c>
      <c r="L136" s="243">
        <f>IF(L113=0,"-",SUM($G$113:L113)/SUM($G$105:L105))</f>
        <v>-0.64032887951057815</v>
      </c>
      <c r="M136" s="243">
        <f>IF(M113=0,"-",SUM($G$113:M113)/SUM($G$105:M105))</f>
        <v>-0.65171435795921806</v>
      </c>
      <c r="N136" s="243">
        <f>IF(N113=0,"-",SUM($G$113:N113)/SUM($G$105:N105))</f>
        <v>-0.66129907983635472</v>
      </c>
      <c r="O136" s="243">
        <f>IF(O113=0,"-",SUM($G$113:O113)/SUM($G$105:O105))</f>
        <v>-0.65299727082651104</v>
      </c>
      <c r="P136" s="243">
        <f>IF(P113=0,"-",SUM($G$113:P113)/SUM($G$105:P105))</f>
        <v>-0.65418985769663418</v>
      </c>
      <c r="Q136" s="243">
        <f>IF(Q113=0,"-",SUM($G$113:Q113)/SUM($G$105:Q105))</f>
        <v>-0.65618426463005086</v>
      </c>
      <c r="R136" s="243">
        <f>IF(R113=0,"-",SUM($G$113:R113)/SUM($G$105:R105))</f>
        <v>-0.64695435167929616</v>
      </c>
      <c r="S136" s="243"/>
      <c r="T136" s="243"/>
      <c r="U136" s="243"/>
      <c r="V136" s="243"/>
      <c r="W136" s="243"/>
      <c r="X136" s="243"/>
      <c r="Y136" s="243"/>
      <c r="Z136" s="243"/>
      <c r="AA136" s="243"/>
      <c r="AB136" s="243"/>
      <c r="AC136" s="243"/>
      <c r="AD136" s="243"/>
      <c r="AE136" s="26"/>
      <c r="AF136" s="188" t="s">
        <v>47</v>
      </c>
      <c r="AG136" s="26" t="str">
        <f t="shared" si="140"/>
        <v>Finance EBITDA Margin (YTD)</v>
      </c>
      <c r="AH136" s="194">
        <f>IF($AF136="Sum",SUM(S136:U136),IF($AF136="Average",AVERAGE(S136:U136),IF($AF136="EoP",IV136,"ERROR")))</f>
        <v>0</v>
      </c>
      <c r="AI136" s="194">
        <f>IF($AF136="Sum",SUM(V136:X136),IF($AF136="Average",AVERAGE(V136:X136),IF($AF136="EoP",U136,"ERROR")))</f>
        <v>0</v>
      </c>
      <c r="AJ136" s="194">
        <f>IF($AF136="Sum",SUM(X136:Z136),IF($AF136="Average",AVERAGE(X136:Z136),IF($AF136="EoP",Z136,"ERROR")))</f>
        <v>0</v>
      </c>
      <c r="AK136" s="194">
        <f>IF($AF136="Sum",SUM(AB136:AD136),IF($AF136="Average",AVERAGE(AB136:AD136),IF($AF136="EoP",AD136,"ERROR")))</f>
        <v>0</v>
      </c>
      <c r="AL136" s="194">
        <f ca="1">IF(AF136="EoP",OFFSET(S136,0,MONTH('2024 Control'!$C$4)-1),SUM(S136:OFFSET(S136,0,MONTH('2024 Control'!$C$4)-1))/IF(AF136="Sum",1,MONTH('2024 Control'!$C$4)))</f>
        <v>0</v>
      </c>
      <c r="AM136" s="304" t="str">
        <f ca="1">IF(AF136="Sum",(SUM(OFFSET(S136,0,MONTH('2024 Control'!$C$4)-12):OFFSET(S136,0,MONTH('2024 Control'!$C$4)-1))),IF(AF136="Average",(SUM(OFFSET(S136,0,MONTH('2024 Control'!$C$4)-12):OFFSET(S136,0,MONTH('2024 Control'!$C$4)-1)))/12,"-"))</f>
        <v>-</v>
      </c>
    </row>
    <row r="137" spans="2:39">
      <c r="B137" s="26" t="s">
        <v>4</v>
      </c>
      <c r="C137" s="26" t="s">
        <v>263</v>
      </c>
      <c r="D137" s="26" t="str">
        <f t="shared" si="139"/>
        <v>Finance Score (YTD)</v>
      </c>
      <c r="E137" s="26" t="s">
        <v>239</v>
      </c>
      <c r="F137" s="186">
        <f>Actuals!F141</f>
        <v>0</v>
      </c>
      <c r="G137" s="244">
        <f t="shared" ref="G137:H137" si="141">G133+G134+G135+G136</f>
        <v>0.95274021444753243</v>
      </c>
      <c r="H137" s="257">
        <f t="shared" si="141"/>
        <v>0.90207847417448783</v>
      </c>
      <c r="I137" s="264">
        <f>IFERROR(I133+I134+I135+I136,"n.a.")</f>
        <v>0.96623796683926533</v>
      </c>
      <c r="J137" s="264">
        <f t="shared" ref="J137:R137" si="142">IFERROR(J133+J134+J135+J136,"n.a.")</f>
        <v>0.92589433696287937</v>
      </c>
      <c r="K137" s="264">
        <f t="shared" si="142"/>
        <v>0.90796173235321542</v>
      </c>
      <c r="L137" s="264">
        <f t="shared" si="142"/>
        <v>1.0025325450034297</v>
      </c>
      <c r="M137" s="264">
        <f t="shared" si="142"/>
        <v>0.98374617502456674</v>
      </c>
      <c r="N137" s="264">
        <f t="shared" si="142"/>
        <v>0.96642464017741658</v>
      </c>
      <c r="O137" s="264">
        <f t="shared" si="142"/>
        <v>1.0477273870176844</v>
      </c>
      <c r="P137" s="264">
        <f t="shared" si="142"/>
        <v>1.0421057413466932</v>
      </c>
      <c r="Q137" s="264">
        <f t="shared" si="142"/>
        <v>1.035136441619303</v>
      </c>
      <c r="R137" s="264">
        <f t="shared" si="142"/>
        <v>1.1941545386691998</v>
      </c>
      <c r="S137" s="244"/>
      <c r="T137" s="257"/>
      <c r="U137" s="264"/>
      <c r="V137" s="264"/>
      <c r="W137" s="264"/>
      <c r="X137" s="264"/>
      <c r="Y137" s="264"/>
      <c r="Z137" s="264"/>
      <c r="AA137" s="264"/>
      <c r="AB137" s="264"/>
      <c r="AC137" s="264"/>
      <c r="AD137" s="264"/>
      <c r="AE137" s="26"/>
      <c r="AF137" s="188" t="str">
        <f>IF(Actuals!BF141="","",Actuals!BF141)</f>
        <v/>
      </c>
      <c r="AG137" s="26" t="str">
        <f t="shared" si="140"/>
        <v>Finance Score (YTD)</v>
      </c>
      <c r="AH137" s="201">
        <f>SUM(AH133:AH136)</f>
        <v>0</v>
      </c>
      <c r="AI137" s="201">
        <f>SUM(AI133:AI136)</f>
        <v>0</v>
      </c>
      <c r="AJ137" s="201">
        <f>SUM(AJ133:AJ136)</f>
        <v>0</v>
      </c>
      <c r="AK137" s="201">
        <f>SUM(AK133:AK136)</f>
        <v>0</v>
      </c>
      <c r="AL137" s="202">
        <f t="shared" ref="AL137" ca="1" si="143">AL133+AL134+AL135+AL136</f>
        <v>1.0702940416634446</v>
      </c>
      <c r="AM137" s="285"/>
    </row>
    <row r="141" spans="2:39">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G141" s="26"/>
      <c r="AH141" s="26"/>
      <c r="AI141" s="26"/>
      <c r="AJ141" s="26"/>
      <c r="AK141" s="26"/>
      <c r="AL141" s="26"/>
      <c r="AM141" s="285"/>
    </row>
  </sheetData>
  <autoFilter ref="B3:AM137" xr:uid="{35531CCF-26DF-43DE-B670-47F6ADF6AC22}"/>
  <dataValidations count="1">
    <dataValidation type="list" allowBlank="1" showInputMessage="1" showErrorMessage="1" sqref="AF4:AF137" xr:uid="{69139223-5BAA-498C-A870-6CDCF1EDE942}">
      <formula1>"Sum,Average,EoP"</formula1>
    </dataValidation>
  </dataValidations>
  <pageMargins left="0.25" right="0.25" top="0.25" bottom="0.25" header="0.3" footer="0.3"/>
  <pageSetup scale="93" fitToHeight="0" orientation="landscape" r:id="rId1"/>
  <headerFooter>
    <oddHeader>&amp;L&amp;"Aptos"&amp;10&amp;K000000 Internal Use Only&amp;1#_x000D_</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80043-8287-4A02-82EA-187E27B3F2F4}">
  <sheetPr codeName="Sheet18"/>
  <dimension ref="B3:P21"/>
  <sheetViews>
    <sheetView topLeftCell="C1" workbookViewId="0">
      <selection activeCell="N10" sqref="N10"/>
    </sheetView>
  </sheetViews>
  <sheetFormatPr defaultColWidth="8.81640625" defaultRowHeight="14.5"/>
  <cols>
    <col min="2" max="2" width="23.453125" bestFit="1" customWidth="1"/>
    <col min="3" max="3" width="30.81640625" customWidth="1"/>
    <col min="4" max="5" width="10.26953125" bestFit="1" customWidth="1"/>
    <col min="6" max="11" width="9" bestFit="1" customWidth="1"/>
    <col min="12" max="12" width="10.26953125" bestFit="1" customWidth="1"/>
    <col min="13" max="13" width="9" bestFit="1" customWidth="1"/>
    <col min="14" max="14" width="10.26953125" bestFit="1" customWidth="1"/>
    <col min="15" max="15" width="9.81640625" bestFit="1" customWidth="1"/>
    <col min="16" max="16" width="10.26953125" bestFit="1" customWidth="1"/>
  </cols>
  <sheetData>
    <row r="3" spans="2:16">
      <c r="B3" s="184" t="s">
        <v>298</v>
      </c>
      <c r="C3" s="185" t="s">
        <v>299</v>
      </c>
    </row>
    <row r="4" spans="2:16">
      <c r="B4" s="184" t="s">
        <v>300</v>
      </c>
      <c r="C4" s="245" t="s">
        <v>301</v>
      </c>
    </row>
    <row r="5" spans="2:16">
      <c r="B5" s="184" t="s">
        <v>302</v>
      </c>
      <c r="C5" s="223">
        <v>6922808</v>
      </c>
    </row>
    <row r="7" spans="2:16">
      <c r="B7" s="184" t="s">
        <v>303</v>
      </c>
      <c r="C7" s="223"/>
    </row>
    <row r="9" spans="2:16">
      <c r="C9" s="295" t="s">
        <v>304</v>
      </c>
      <c r="D9" s="296">
        <v>44927</v>
      </c>
      <c r="E9" s="296">
        <v>44959</v>
      </c>
      <c r="F9" s="296">
        <v>44988</v>
      </c>
      <c r="G9" s="296">
        <v>45020</v>
      </c>
      <c r="H9" s="296">
        <v>45051</v>
      </c>
      <c r="I9" s="296">
        <v>45083</v>
      </c>
      <c r="J9" s="296">
        <v>45114</v>
      </c>
      <c r="K9" s="296">
        <v>45146</v>
      </c>
      <c r="L9" s="296">
        <v>45178</v>
      </c>
      <c r="M9" s="296">
        <v>45209</v>
      </c>
      <c r="N9" s="296">
        <v>45241</v>
      </c>
      <c r="O9" s="296">
        <v>45272</v>
      </c>
    </row>
    <row r="10" spans="2:16">
      <c r="C10" t="s">
        <v>305</v>
      </c>
      <c r="D10" s="297">
        <v>973600</v>
      </c>
      <c r="E10" s="297">
        <v>1471860</v>
      </c>
      <c r="F10" s="297">
        <v>558879</v>
      </c>
      <c r="G10" s="297">
        <v>125000</v>
      </c>
      <c r="H10" s="297">
        <v>440450</v>
      </c>
      <c r="I10" s="297">
        <v>764880</v>
      </c>
      <c r="J10" s="297">
        <v>234053</v>
      </c>
      <c r="K10" s="297">
        <v>104923</v>
      </c>
      <c r="L10" s="297">
        <v>527397</v>
      </c>
      <c r="M10" s="297">
        <v>396188</v>
      </c>
      <c r="N10" s="297">
        <v>472000</v>
      </c>
      <c r="O10" s="297">
        <v>510385</v>
      </c>
      <c r="P10" s="314">
        <f>SUM(D10:O10)</f>
        <v>6579615</v>
      </c>
    </row>
    <row r="11" spans="2:16">
      <c r="C11" t="s">
        <v>185</v>
      </c>
      <c r="D11" s="298">
        <f>D10/SUM($D$10:$O$10)</f>
        <v>0.14797218378278973</v>
      </c>
      <c r="E11" s="298">
        <f t="shared" ref="E11:O11" si="0">E10/SUM($D$10:$O$10)</f>
        <v>0.22370001892207977</v>
      </c>
      <c r="F11" s="298">
        <f t="shared" si="0"/>
        <v>8.4940988188518626E-2</v>
      </c>
      <c r="G11" s="298">
        <f t="shared" si="0"/>
        <v>1.8998072075645762E-2</v>
      </c>
      <c r="H11" s="298">
        <f t="shared" si="0"/>
        <v>6.6941606765745412E-2</v>
      </c>
      <c r="I11" s="298">
        <f t="shared" si="0"/>
        <v>0.11624996295375946</v>
      </c>
      <c r="J11" s="298">
        <f t="shared" si="0"/>
        <v>3.557244610816894E-2</v>
      </c>
      <c r="K11" s="298">
        <f t="shared" si="0"/>
        <v>1.5946677731143843E-2</v>
      </c>
      <c r="L11" s="298">
        <f t="shared" si="0"/>
        <v>8.0156209747834786E-2</v>
      </c>
      <c r="M11" s="298">
        <f t="shared" si="0"/>
        <v>6.0214465436047547E-2</v>
      </c>
      <c r="N11" s="298">
        <f t="shared" si="0"/>
        <v>7.1736720157638406E-2</v>
      </c>
      <c r="O11" s="298">
        <f t="shared" si="0"/>
        <v>7.7570648130627709E-2</v>
      </c>
    </row>
    <row r="13" spans="2:16">
      <c r="C13" t="s">
        <v>306</v>
      </c>
      <c r="D13" s="297">
        <f>D10*1.2</f>
        <v>1168320</v>
      </c>
      <c r="E13" s="297">
        <f t="shared" ref="E13:O13" si="1">E10*1.2</f>
        <v>1766232</v>
      </c>
      <c r="F13" s="297">
        <f t="shared" si="1"/>
        <v>670654.79999999993</v>
      </c>
      <c r="G13" s="297">
        <f t="shared" si="1"/>
        <v>150000</v>
      </c>
      <c r="H13" s="297">
        <f t="shared" si="1"/>
        <v>528540</v>
      </c>
      <c r="I13" s="297">
        <f t="shared" si="1"/>
        <v>917856</v>
      </c>
      <c r="J13" s="297">
        <f t="shared" si="1"/>
        <v>280863.59999999998</v>
      </c>
      <c r="K13" s="297">
        <f t="shared" si="1"/>
        <v>125907.59999999999</v>
      </c>
      <c r="L13" s="297">
        <f t="shared" si="1"/>
        <v>632876.4</v>
      </c>
      <c r="M13" s="297">
        <f t="shared" si="1"/>
        <v>475425.6</v>
      </c>
      <c r="N13" s="297">
        <f t="shared" si="1"/>
        <v>566400</v>
      </c>
      <c r="O13" s="297">
        <f t="shared" si="1"/>
        <v>612462</v>
      </c>
      <c r="P13" s="314">
        <f>SUM(D13:O13)</f>
        <v>7895537.9999999991</v>
      </c>
    </row>
    <row r="14" spans="2:16">
      <c r="C14" t="s">
        <v>186</v>
      </c>
      <c r="D14" s="297">
        <v>994612</v>
      </c>
      <c r="E14" s="297">
        <v>1544953</v>
      </c>
      <c r="F14" s="297">
        <v>856556</v>
      </c>
      <c r="G14" s="297">
        <v>156250</v>
      </c>
      <c r="H14" s="297">
        <v>576985</v>
      </c>
      <c r="I14" s="297">
        <v>600528</v>
      </c>
      <c r="J14" s="297">
        <v>146250</v>
      </c>
      <c r="K14" s="297">
        <v>85000</v>
      </c>
      <c r="L14" s="297">
        <v>412315</v>
      </c>
      <c r="M14" s="297">
        <f>661372-18125</f>
        <v>643247</v>
      </c>
      <c r="N14" s="297">
        <f>87800+450650</f>
        <v>538450</v>
      </c>
      <c r="O14" s="297">
        <v>636810</v>
      </c>
      <c r="P14" s="314">
        <f>SUM(D14:O14)</f>
        <v>7191956</v>
      </c>
    </row>
    <row r="15" spans="2:16">
      <c r="C15" t="s">
        <v>307</v>
      </c>
      <c r="D15" s="299">
        <f>D14/D10</f>
        <v>1.0215817584223501</v>
      </c>
      <c r="E15" s="299">
        <f t="shared" ref="E15:P15" si="2">E14/E10</f>
        <v>1.0496602937779409</v>
      </c>
      <c r="F15" s="299">
        <f t="shared" si="2"/>
        <v>1.5326322871319193</v>
      </c>
      <c r="G15" s="299">
        <f t="shared" si="2"/>
        <v>1.25</v>
      </c>
      <c r="H15" s="299">
        <f t="shared" si="2"/>
        <v>1.309989783176297</v>
      </c>
      <c r="I15" s="299">
        <f t="shared" si="2"/>
        <v>0.78512707875745213</v>
      </c>
      <c r="J15" s="299">
        <f t="shared" si="2"/>
        <v>0.62485847222637603</v>
      </c>
      <c r="K15" s="299">
        <f t="shared" si="2"/>
        <v>0.81011789598086215</v>
      </c>
      <c r="L15" s="299">
        <f t="shared" si="2"/>
        <v>0.78179246374173539</v>
      </c>
      <c r="M15" s="299">
        <f t="shared" si="2"/>
        <v>1.6235903157087039</v>
      </c>
      <c r="N15" s="299">
        <f t="shared" si="2"/>
        <v>1.1407838983050846</v>
      </c>
      <c r="O15" s="299">
        <f t="shared" si="2"/>
        <v>1.2477051637489347</v>
      </c>
      <c r="P15" s="299">
        <f t="shared" si="2"/>
        <v>1.093066387622984</v>
      </c>
    </row>
    <row r="16" spans="2:16">
      <c r="P16" s="314"/>
    </row>
    <row r="17" spans="4:16">
      <c r="L17" s="314"/>
    </row>
    <row r="18" spans="4:16">
      <c r="P18" s="314"/>
    </row>
    <row r="19" spans="4:16">
      <c r="D19" s="314"/>
      <c r="L19" s="314"/>
    </row>
    <row r="21" spans="4:16">
      <c r="L21" s="314"/>
    </row>
  </sheetData>
  <pageMargins left="0.7" right="0.7" top="0.75" bottom="0.75" header="0.3" footer="0.3"/>
  <headerFooter>
    <oddHeader>&amp;L&amp;"Aptos"&amp;10&amp;K000000 Internal Use Only&amp;1#_x000D_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55C7C-1F24-4000-A326-03A6D1226120}">
  <sheetPr codeName="Sheet19"/>
  <dimension ref="B3:P21"/>
  <sheetViews>
    <sheetView topLeftCell="B1" workbookViewId="0">
      <selection activeCell="F10" sqref="F10"/>
    </sheetView>
  </sheetViews>
  <sheetFormatPr defaultColWidth="8.81640625" defaultRowHeight="14.5"/>
  <cols>
    <col min="2" max="2" width="23.453125" bestFit="1" customWidth="1"/>
    <col min="3" max="3" width="30.81640625" customWidth="1"/>
    <col min="4" max="4" width="10.26953125" bestFit="1" customWidth="1"/>
    <col min="5" max="5" width="13.1796875" customWidth="1"/>
    <col min="6" max="6" width="11.1796875" customWidth="1"/>
    <col min="7" max="8" width="9" bestFit="1" customWidth="1"/>
    <col min="9" max="9" width="10.26953125" customWidth="1"/>
    <col min="10" max="11" width="9" bestFit="1" customWidth="1"/>
    <col min="12" max="12" width="10.26953125" bestFit="1" customWidth="1"/>
    <col min="13" max="13" width="9" bestFit="1" customWidth="1"/>
    <col min="14" max="14" width="10.26953125" bestFit="1" customWidth="1"/>
    <col min="15" max="15" width="11.81640625" customWidth="1"/>
    <col min="16" max="16" width="13.1796875" customWidth="1"/>
  </cols>
  <sheetData>
    <row r="3" spans="2:16">
      <c r="B3" s="184" t="s">
        <v>298</v>
      </c>
      <c r="C3" s="185" t="s">
        <v>299</v>
      </c>
    </row>
    <row r="4" spans="2:16">
      <c r="B4" s="184" t="s">
        <v>300</v>
      </c>
      <c r="C4" s="245" t="s">
        <v>308</v>
      </c>
    </row>
    <row r="5" spans="2:16">
      <c r="B5" s="184" t="s">
        <v>309</v>
      </c>
      <c r="C5" s="223">
        <v>8198362</v>
      </c>
    </row>
    <row r="7" spans="2:16">
      <c r="B7" s="184" t="s">
        <v>303</v>
      </c>
      <c r="C7" s="223"/>
    </row>
    <row r="9" spans="2:16">
      <c r="C9" s="295" t="s">
        <v>310</v>
      </c>
      <c r="D9" s="296">
        <v>44927</v>
      </c>
      <c r="E9" s="296">
        <v>44959</v>
      </c>
      <c r="F9" s="296">
        <v>44988</v>
      </c>
      <c r="G9" s="296">
        <v>45020</v>
      </c>
      <c r="H9" s="296">
        <v>45051</v>
      </c>
      <c r="I9" s="296">
        <v>45083</v>
      </c>
      <c r="J9" s="296">
        <v>45114</v>
      </c>
      <c r="K9" s="296">
        <v>45146</v>
      </c>
      <c r="L9" s="296">
        <v>45178</v>
      </c>
      <c r="M9" s="296">
        <v>45209</v>
      </c>
      <c r="N9" s="296">
        <v>45241</v>
      </c>
      <c r="O9" s="296">
        <v>45272</v>
      </c>
    </row>
    <row r="10" spans="2:16">
      <c r="C10" t="s">
        <v>305</v>
      </c>
      <c r="D10" s="297">
        <v>997130</v>
      </c>
      <c r="E10" s="297">
        <f>1593953-37331</f>
        <v>1556622</v>
      </c>
      <c r="F10" s="297">
        <v>923556</v>
      </c>
      <c r="G10" s="297">
        <v>156250</v>
      </c>
      <c r="H10" s="297">
        <v>377495</v>
      </c>
      <c r="I10" s="297">
        <v>921653</v>
      </c>
      <c r="J10" s="297">
        <v>470850</v>
      </c>
      <c r="K10" s="297">
        <v>213330</v>
      </c>
      <c r="L10" s="297">
        <v>460800</v>
      </c>
      <c r="M10" s="297">
        <v>702522</v>
      </c>
      <c r="N10" s="297">
        <v>158200</v>
      </c>
      <c r="O10" s="297">
        <v>839000</v>
      </c>
      <c r="P10" s="314">
        <f>SUM(D10:O10)</f>
        <v>7777408</v>
      </c>
    </row>
    <row r="11" spans="2:16">
      <c r="C11" t="s">
        <v>185</v>
      </c>
      <c r="D11" s="298">
        <f>D10/SUM($D$10:$O$10)</f>
        <v>0.12820852397096821</v>
      </c>
      <c r="E11" s="298">
        <f t="shared" ref="E11:O11" si="0">E10/SUM($D$10:$O$10)</f>
        <v>0.20014662982834383</v>
      </c>
      <c r="F11" s="298">
        <f t="shared" si="0"/>
        <v>0.11874855993153503</v>
      </c>
      <c r="G11" s="298">
        <f t="shared" si="0"/>
        <v>2.0090240861736969E-2</v>
      </c>
      <c r="H11" s="298">
        <f t="shared" si="0"/>
        <v>4.8537379034248943E-2</v>
      </c>
      <c r="I11" s="298">
        <f t="shared" si="0"/>
        <v>0.11850387687003176</v>
      </c>
      <c r="J11" s="298">
        <f t="shared" si="0"/>
        <v>6.0540735422392654E-2</v>
      </c>
      <c r="K11" s="298">
        <f t="shared" si="0"/>
        <v>2.7429446931419826E-2</v>
      </c>
      <c r="L11" s="298">
        <f t="shared" si="0"/>
        <v>5.9248531130165732E-2</v>
      </c>
      <c r="M11" s="298">
        <f t="shared" si="0"/>
        <v>9.0328551620282749E-2</v>
      </c>
      <c r="N11" s="298">
        <f t="shared" si="0"/>
        <v>2.0340967067691448E-2</v>
      </c>
      <c r="O11" s="298">
        <f t="shared" si="0"/>
        <v>0.10787655733118283</v>
      </c>
    </row>
    <row r="13" spans="2:16">
      <c r="C13" t="s">
        <v>306</v>
      </c>
      <c r="D13" s="297">
        <f>D10*1.2</f>
        <v>1196556</v>
      </c>
      <c r="E13" s="297">
        <f t="shared" ref="E13:O13" si="1">E10*1.2</f>
        <v>1867946.4</v>
      </c>
      <c r="F13" s="297">
        <f t="shared" si="1"/>
        <v>1108267.2</v>
      </c>
      <c r="G13" s="297">
        <f t="shared" si="1"/>
        <v>187500</v>
      </c>
      <c r="H13" s="297">
        <f t="shared" si="1"/>
        <v>452994</v>
      </c>
      <c r="I13" s="297">
        <f t="shared" si="1"/>
        <v>1105983.5999999999</v>
      </c>
      <c r="J13" s="297">
        <f t="shared" si="1"/>
        <v>565020</v>
      </c>
      <c r="K13" s="297">
        <f t="shared" si="1"/>
        <v>255996</v>
      </c>
      <c r="L13" s="297">
        <f t="shared" si="1"/>
        <v>552960</v>
      </c>
      <c r="M13" s="297">
        <f t="shared" si="1"/>
        <v>843026.4</v>
      </c>
      <c r="N13" s="297">
        <f t="shared" si="1"/>
        <v>189840</v>
      </c>
      <c r="O13" s="297">
        <f t="shared" si="1"/>
        <v>1006800</v>
      </c>
      <c r="P13" s="314">
        <f>SUM(D13:O13)</f>
        <v>9332889.5999999996</v>
      </c>
    </row>
    <row r="14" spans="2:16">
      <c r="C14" t="s">
        <v>186</v>
      </c>
      <c r="D14" s="297">
        <v>996145</v>
      </c>
      <c r="E14" s="297">
        <v>1149550</v>
      </c>
      <c r="F14" s="297">
        <v>1302638</v>
      </c>
      <c r="G14" s="297">
        <v>411600</v>
      </c>
      <c r="H14" s="297">
        <v>432245</v>
      </c>
      <c r="I14" s="297">
        <v>597327</v>
      </c>
      <c r="J14" s="297">
        <v>401613</v>
      </c>
      <c r="K14" s="297">
        <v>255439</v>
      </c>
      <c r="L14" s="297">
        <v>309700</v>
      </c>
      <c r="M14" s="297">
        <v>815995</v>
      </c>
      <c r="N14" s="297">
        <v>175520</v>
      </c>
      <c r="O14" s="297"/>
      <c r="P14" s="314">
        <f>SUM(D14:O14)</f>
        <v>6847772</v>
      </c>
    </row>
    <row r="15" spans="2:16">
      <c r="C15" t="s">
        <v>307</v>
      </c>
      <c r="D15" s="299">
        <f>D14/D10</f>
        <v>0.99901216491330114</v>
      </c>
      <c r="E15" s="299">
        <f t="shared" ref="E15:P15" si="2">E14/E10</f>
        <v>0.73849014083059339</v>
      </c>
      <c r="F15" s="299">
        <f t="shared" si="2"/>
        <v>1.4104591383738507</v>
      </c>
      <c r="G15" s="299">
        <f t="shared" si="2"/>
        <v>2.6342400000000001</v>
      </c>
      <c r="H15" s="299">
        <f t="shared" si="2"/>
        <v>1.1450350335766037</v>
      </c>
      <c r="I15" s="299">
        <f t="shared" si="2"/>
        <v>0.64810400443550886</v>
      </c>
      <c r="J15" s="299">
        <f t="shared" si="2"/>
        <v>0.85295316979929914</v>
      </c>
      <c r="K15" s="299">
        <f t="shared" si="2"/>
        <v>1.1973890217034642</v>
      </c>
      <c r="L15" s="299">
        <f t="shared" si="2"/>
        <v>0.67209201388888884</v>
      </c>
      <c r="M15" s="299">
        <f t="shared" si="2"/>
        <v>1.1615223437842517</v>
      </c>
      <c r="N15" s="299">
        <f t="shared" si="2"/>
        <v>1.1094816687737041</v>
      </c>
      <c r="O15" s="299">
        <f t="shared" si="2"/>
        <v>0</v>
      </c>
      <c r="P15" s="299">
        <f t="shared" si="2"/>
        <v>0.88046968861605301</v>
      </c>
    </row>
    <row r="16" spans="2:16">
      <c r="P16" s="314"/>
    </row>
    <row r="17" spans="4:16">
      <c r="D17" s="314"/>
      <c r="L17" s="314"/>
    </row>
    <row r="18" spans="4:16">
      <c r="D18" s="314"/>
      <c r="E18" s="314"/>
      <c r="P18" s="314"/>
    </row>
    <row r="19" spans="4:16">
      <c r="D19" s="314"/>
      <c r="L19" s="314"/>
    </row>
    <row r="21" spans="4:16">
      <c r="L21" s="314"/>
    </row>
  </sheetData>
  <pageMargins left="0.7" right="0.7" top="0.75" bottom="0.75" header="0.3" footer="0.3"/>
  <headerFooter>
    <oddHeader>&amp;L&amp;"Aptos"&amp;10&amp;K000000 Internal Use Only&amp;1#_x000D_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3B58B-3095-4731-A874-29FA53928A6A}">
  <sheetPr codeName="Sheet20"/>
  <dimension ref="A1:Z57"/>
  <sheetViews>
    <sheetView workbookViewId="0"/>
  </sheetViews>
  <sheetFormatPr defaultColWidth="9.1796875" defaultRowHeight="14"/>
  <cols>
    <col min="1" max="1" width="1.453125" style="28" customWidth="1"/>
    <col min="2" max="2" width="3.453125" style="28" bestFit="1" customWidth="1"/>
    <col min="3" max="3" width="9.453125" style="28" bestFit="1" customWidth="1"/>
    <col min="4" max="4" width="25" style="28" customWidth="1"/>
    <col min="5" max="5" width="18.81640625" style="28" bestFit="1" customWidth="1"/>
    <col min="6" max="6" width="17.453125" style="28" bestFit="1" customWidth="1"/>
    <col min="7" max="7" width="13.453125" style="28" bestFit="1" customWidth="1"/>
    <col min="8" max="8" width="14.453125" style="28" bestFit="1" customWidth="1"/>
    <col min="9" max="9" width="13.81640625" style="28" bestFit="1" customWidth="1"/>
    <col min="10" max="10" width="15.81640625" style="28" bestFit="1" customWidth="1"/>
    <col min="11" max="11" width="7.453125" style="28" bestFit="1" customWidth="1"/>
    <col min="12" max="12" width="13.81640625" style="28" bestFit="1" customWidth="1"/>
    <col min="13" max="13" width="19.453125" style="28" bestFit="1" customWidth="1"/>
    <col min="14" max="15" width="16.453125" style="28" bestFit="1" customWidth="1"/>
    <col min="16" max="16" width="21.81640625" style="28" bestFit="1" customWidth="1"/>
    <col min="17" max="17" width="7.81640625" style="28" bestFit="1" customWidth="1"/>
    <col min="18" max="18" width="1.453125" style="28" customWidth="1"/>
    <col min="19" max="19" width="17.453125" style="28" bestFit="1" customWidth="1"/>
    <col min="20" max="20" width="2.453125" style="31" customWidth="1"/>
    <col min="21" max="21" width="124" style="28" bestFit="1" customWidth="1"/>
    <col min="22" max="24" width="9.1796875" style="28"/>
    <col min="25" max="25" width="8.453125" style="28" bestFit="1" customWidth="1"/>
    <col min="26" max="16384" width="9.1796875" style="28"/>
  </cols>
  <sheetData>
    <row r="1" spans="1:26">
      <c r="A1" s="25"/>
      <c r="B1" s="25"/>
      <c r="C1" s="25"/>
      <c r="D1" s="25"/>
      <c r="E1" s="25"/>
      <c r="F1" s="25"/>
      <c r="G1" s="25"/>
      <c r="H1" s="25"/>
      <c r="I1" s="25"/>
      <c r="J1" s="25"/>
      <c r="K1" s="25"/>
      <c r="L1" s="25"/>
      <c r="M1" s="25"/>
      <c r="N1" s="25"/>
      <c r="O1" s="25"/>
      <c r="P1" s="25"/>
      <c r="Q1" s="25"/>
      <c r="R1" s="25"/>
      <c r="S1" s="25"/>
      <c r="T1" s="28"/>
    </row>
    <row r="2" spans="1:26">
      <c r="A2" s="25"/>
      <c r="B2" s="32"/>
      <c r="C2" s="32"/>
      <c r="D2" s="33" t="s">
        <v>311</v>
      </c>
      <c r="E2" s="32"/>
      <c r="F2" s="32"/>
      <c r="G2" s="32"/>
      <c r="H2" s="32"/>
      <c r="I2" s="32"/>
      <c r="J2" s="25"/>
      <c r="K2" s="25"/>
      <c r="L2" s="25"/>
      <c r="M2" s="25"/>
      <c r="N2" s="25"/>
      <c r="O2" s="92" t="s">
        <v>312</v>
      </c>
      <c r="P2" s="93" t="s">
        <v>313</v>
      </c>
      <c r="Q2" s="25"/>
      <c r="R2" s="25"/>
      <c r="S2" s="25"/>
      <c r="T2" s="28"/>
    </row>
    <row r="3" spans="1:26">
      <c r="A3" s="25"/>
      <c r="B3" s="32"/>
      <c r="C3" s="32"/>
      <c r="D3" s="34"/>
      <c r="E3" s="34"/>
      <c r="F3" s="34"/>
      <c r="G3" s="34"/>
      <c r="H3" s="34"/>
      <c r="I3" s="34"/>
      <c r="J3" s="34"/>
      <c r="K3" s="34"/>
      <c r="L3" s="34"/>
      <c r="M3" s="34"/>
      <c r="N3" s="34"/>
      <c r="O3" s="34"/>
      <c r="P3" s="34"/>
      <c r="Q3" s="25"/>
      <c r="R3" s="25"/>
      <c r="S3" s="25"/>
      <c r="T3" s="28"/>
    </row>
    <row r="4" spans="1:26">
      <c r="A4" s="25"/>
      <c r="B4" s="35"/>
      <c r="C4" s="35"/>
      <c r="D4" s="35"/>
      <c r="E4" s="35"/>
      <c r="F4" s="35"/>
      <c r="G4" s="35"/>
      <c r="H4" s="35"/>
      <c r="I4" s="35"/>
      <c r="J4" s="35"/>
      <c r="K4" s="25"/>
      <c r="L4" s="35"/>
      <c r="M4" s="35"/>
      <c r="N4" s="35"/>
      <c r="O4" s="35"/>
      <c r="P4" s="35"/>
      <c r="Q4" s="25"/>
      <c r="R4" s="25"/>
      <c r="S4" s="25"/>
      <c r="U4" s="31"/>
      <c r="V4" s="31"/>
      <c r="W4" s="31"/>
      <c r="X4" s="31"/>
      <c r="Y4" s="31"/>
      <c r="Z4" s="31"/>
    </row>
    <row r="5" spans="1:26" ht="15" customHeight="1" thickBot="1">
      <c r="A5" s="25"/>
      <c r="B5" s="32"/>
      <c r="C5" s="94"/>
      <c r="D5" s="32"/>
      <c r="E5" s="32"/>
      <c r="F5" s="32"/>
      <c r="G5" s="25"/>
      <c r="H5" s="25"/>
      <c r="I5" s="25"/>
      <c r="J5" s="40"/>
      <c r="K5" s="25"/>
      <c r="L5" s="25"/>
      <c r="M5" s="394" t="s">
        <v>137</v>
      </c>
      <c r="N5" s="394"/>
      <c r="O5" s="25"/>
      <c r="P5" s="40" t="s">
        <v>314</v>
      </c>
      <c r="Q5" s="25"/>
      <c r="R5" s="25"/>
      <c r="S5" s="25"/>
    </row>
    <row r="6" spans="1:26" ht="15" thickBot="1">
      <c r="A6" s="25"/>
      <c r="B6" s="32"/>
      <c r="C6" s="94"/>
      <c r="D6" s="32"/>
      <c r="E6" s="32"/>
      <c r="F6" s="32"/>
      <c r="G6" s="36" t="s">
        <v>141</v>
      </c>
      <c r="H6" s="36" t="s">
        <v>142</v>
      </c>
      <c r="I6" s="36" t="s">
        <v>143</v>
      </c>
      <c r="J6" s="36" t="s">
        <v>144</v>
      </c>
      <c r="K6" s="25"/>
      <c r="L6" s="36" t="s">
        <v>146</v>
      </c>
      <c r="M6" s="36" t="s">
        <v>147</v>
      </c>
      <c r="N6" s="37" t="s">
        <v>148</v>
      </c>
      <c r="O6" s="37" t="s">
        <v>149</v>
      </c>
      <c r="P6" s="102" t="s">
        <v>138</v>
      </c>
      <c r="Q6" s="25"/>
      <c r="R6" s="25"/>
      <c r="S6" s="25"/>
      <c r="U6" s="31"/>
      <c r="V6" s="31"/>
      <c r="W6" s="31"/>
      <c r="X6" s="31"/>
      <c r="Y6" s="31"/>
      <c r="Z6" s="31"/>
    </row>
    <row r="7" spans="1:26" ht="15" thickBot="1">
      <c r="A7" s="25"/>
      <c r="B7" s="32"/>
      <c r="C7" s="94"/>
      <c r="D7" s="32"/>
      <c r="E7" s="32"/>
      <c r="F7" s="32"/>
      <c r="G7" s="38" t="s">
        <v>315</v>
      </c>
      <c r="H7" s="38" t="s">
        <v>316</v>
      </c>
      <c r="I7" s="38" t="s">
        <v>317</v>
      </c>
      <c r="J7" s="103" t="s">
        <v>318</v>
      </c>
      <c r="K7" s="25"/>
      <c r="L7" s="38" t="s">
        <v>319</v>
      </c>
      <c r="M7" s="38" t="s">
        <v>40</v>
      </c>
      <c r="N7" s="39" t="s">
        <v>320</v>
      </c>
      <c r="O7" s="39" t="s">
        <v>320</v>
      </c>
      <c r="P7" s="97" t="s">
        <v>321</v>
      </c>
      <c r="Q7" s="25"/>
      <c r="R7" s="25"/>
      <c r="S7" s="25"/>
      <c r="U7" s="31"/>
      <c r="V7" s="31"/>
      <c r="W7" s="31"/>
      <c r="X7" s="31"/>
      <c r="Y7" s="31"/>
      <c r="Z7" s="31"/>
    </row>
    <row r="8" spans="1:26" ht="29" thickTop="1" thickBot="1">
      <c r="A8" s="25"/>
      <c r="B8" s="392" t="s">
        <v>322</v>
      </c>
      <c r="C8" s="392"/>
      <c r="D8" s="40"/>
      <c r="E8" s="13" t="s">
        <v>295</v>
      </c>
      <c r="F8" s="41"/>
      <c r="G8" s="42">
        <v>332</v>
      </c>
      <c r="H8" s="42">
        <v>0</v>
      </c>
      <c r="I8" s="104">
        <v>0</v>
      </c>
      <c r="J8" s="42">
        <v>0</v>
      </c>
      <c r="K8" s="100"/>
      <c r="L8" s="95" t="s">
        <v>323</v>
      </c>
      <c r="M8" s="95">
        <v>0</v>
      </c>
      <c r="N8" s="95">
        <v>0</v>
      </c>
      <c r="O8" s="104">
        <v>0</v>
      </c>
      <c r="P8" s="42"/>
      <c r="Q8" s="100">
        <v>0</v>
      </c>
      <c r="R8" s="115"/>
      <c r="S8" s="43" t="s">
        <v>324</v>
      </c>
    </row>
    <row r="9" spans="1:26" ht="15" thickTop="1" thickBot="1">
      <c r="A9" s="25"/>
      <c r="B9" s="392"/>
      <c r="C9" s="392"/>
      <c r="D9" s="40"/>
      <c r="E9" s="32"/>
      <c r="F9" s="32"/>
      <c r="G9" s="32"/>
      <c r="H9" s="32"/>
      <c r="I9" s="44"/>
      <c r="J9" s="32"/>
      <c r="K9" s="101"/>
      <c r="L9" s="32"/>
      <c r="M9" s="95"/>
      <c r="N9" s="95"/>
      <c r="O9" s="44"/>
      <c r="P9" s="32"/>
      <c r="Q9" s="101"/>
      <c r="R9" s="32"/>
      <c r="S9" s="45"/>
    </row>
    <row r="10" spans="1:26" ht="29" thickTop="1" thickBot="1">
      <c r="A10" s="25"/>
      <c r="B10" s="392"/>
      <c r="C10" s="392"/>
      <c r="D10" s="40"/>
      <c r="E10" s="46" t="s">
        <v>325</v>
      </c>
      <c r="F10" s="46"/>
      <c r="G10" s="47">
        <v>482.62400000000002</v>
      </c>
      <c r="H10" s="42">
        <v>0</v>
      </c>
      <c r="I10" s="104">
        <v>0</v>
      </c>
      <c r="J10" s="42">
        <v>0</v>
      </c>
      <c r="K10" s="100"/>
      <c r="L10" s="47">
        <v>0</v>
      </c>
      <c r="M10" s="95">
        <v>0</v>
      </c>
      <c r="N10" s="95">
        <v>0</v>
      </c>
      <c r="O10" s="104">
        <v>0</v>
      </c>
      <c r="P10" s="47"/>
      <c r="Q10" s="100">
        <v>0</v>
      </c>
      <c r="R10" s="49"/>
      <c r="S10" s="43" t="s">
        <v>326</v>
      </c>
    </row>
    <row r="11" spans="1:26" ht="15" thickTop="1" thickBot="1">
      <c r="A11" s="25"/>
      <c r="B11" s="392"/>
      <c r="C11" s="392"/>
      <c r="D11" s="40"/>
      <c r="E11" s="46"/>
      <c r="F11" s="46"/>
      <c r="G11" s="47"/>
      <c r="H11" s="47"/>
      <c r="I11" s="50"/>
      <c r="J11" s="32"/>
      <c r="K11" s="101"/>
      <c r="L11" s="47"/>
      <c r="M11" s="47"/>
      <c r="N11" s="48"/>
      <c r="O11" s="50"/>
      <c r="P11" s="47"/>
      <c r="Q11" s="101"/>
      <c r="R11" s="25"/>
      <c r="S11" s="45"/>
    </row>
    <row r="12" spans="1:26" ht="15" thickTop="1" thickBot="1">
      <c r="A12" s="25"/>
      <c r="B12" s="392"/>
      <c r="C12" s="392"/>
      <c r="D12" s="40"/>
      <c r="E12" s="46"/>
      <c r="F12" s="46"/>
      <c r="G12" s="47"/>
      <c r="H12" s="47"/>
      <c r="I12" s="50"/>
      <c r="J12" s="47"/>
      <c r="K12" s="100"/>
      <c r="L12" s="47"/>
      <c r="M12" s="47"/>
      <c r="N12" s="48"/>
      <c r="O12" s="50"/>
      <c r="P12" s="47"/>
      <c r="Q12" s="100">
        <v>0</v>
      </c>
      <c r="R12" s="51"/>
      <c r="S12" s="52" t="s">
        <v>327</v>
      </c>
    </row>
    <row r="13" spans="1:26" ht="15" thickTop="1" thickBot="1">
      <c r="A13" s="25"/>
      <c r="B13" s="392"/>
      <c r="C13" s="392"/>
      <c r="D13" s="40"/>
      <c r="E13" s="32"/>
      <c r="F13" s="32"/>
      <c r="G13" s="32"/>
      <c r="H13" s="32"/>
      <c r="I13" s="44"/>
      <c r="J13" s="32"/>
      <c r="K13" s="25"/>
      <c r="L13" s="32"/>
      <c r="M13" s="32"/>
      <c r="N13" s="32"/>
      <c r="O13" s="44"/>
      <c r="P13" s="32"/>
      <c r="Q13" s="25"/>
      <c r="R13" s="25"/>
      <c r="S13" s="25"/>
      <c r="U13" s="53"/>
    </row>
    <row r="14" spans="1:26" ht="15" thickTop="1" thickBot="1">
      <c r="A14" s="25"/>
      <c r="B14" s="392"/>
      <c r="C14" s="392"/>
      <c r="D14" s="395" t="s">
        <v>328</v>
      </c>
      <c r="E14" s="395"/>
      <c r="F14" s="54"/>
      <c r="G14" s="55">
        <v>1.453686746987952</v>
      </c>
      <c r="H14" s="55"/>
      <c r="I14" s="56"/>
      <c r="J14" s="55"/>
      <c r="K14" s="25"/>
      <c r="L14" s="55"/>
      <c r="M14" s="55"/>
      <c r="N14" s="57"/>
      <c r="O14" s="56"/>
      <c r="P14" s="55"/>
      <c r="Q14" s="25"/>
      <c r="R14" s="25"/>
      <c r="S14" s="25"/>
    </row>
    <row r="15" spans="1:26" ht="15" thickTop="1" thickBot="1">
      <c r="A15" s="25"/>
      <c r="B15" s="396" t="s">
        <v>329</v>
      </c>
      <c r="C15" s="397" t="s">
        <v>330</v>
      </c>
      <c r="D15" s="398"/>
      <c r="E15" s="2" t="s">
        <v>331</v>
      </c>
      <c r="F15" s="3" t="s">
        <v>49</v>
      </c>
      <c r="G15" s="58">
        <v>3</v>
      </c>
      <c r="H15" s="58"/>
      <c r="I15" s="105"/>
      <c r="J15" s="32"/>
      <c r="K15" s="25"/>
      <c r="L15" s="98"/>
      <c r="M15" s="58"/>
      <c r="N15" s="59"/>
      <c r="O15" s="105"/>
      <c r="P15" s="58"/>
      <c r="Q15" s="25"/>
      <c r="R15" s="25"/>
      <c r="S15" s="25"/>
      <c r="U15" s="60" t="s">
        <v>332</v>
      </c>
      <c r="V15" s="61">
        <v>0</v>
      </c>
      <c r="W15" s="61">
        <v>0</v>
      </c>
      <c r="X15" s="61">
        <v>0</v>
      </c>
      <c r="Y15" s="62">
        <v>440</v>
      </c>
    </row>
    <row r="16" spans="1:26" ht="15.5" thickTop="1" thickBot="1">
      <c r="A16" s="25"/>
      <c r="B16" s="396"/>
      <c r="C16" s="397"/>
      <c r="D16" s="398"/>
      <c r="E16" s="2" t="s">
        <v>156</v>
      </c>
      <c r="F16" s="3" t="s">
        <v>49</v>
      </c>
      <c r="G16" s="58">
        <v>-1</v>
      </c>
      <c r="H16" s="58"/>
      <c r="I16" s="105"/>
      <c r="J16" s="32"/>
      <c r="K16" s="25"/>
      <c r="L16" s="58"/>
      <c r="M16" s="58"/>
      <c r="N16" s="63"/>
      <c r="O16" s="105"/>
      <c r="P16" s="58"/>
      <c r="Q16" s="25"/>
      <c r="R16" s="25"/>
      <c r="S16" s="25"/>
      <c r="U16" s="60" t="s">
        <v>333</v>
      </c>
      <c r="V16" s="61">
        <v>0</v>
      </c>
      <c r="W16" s="61">
        <v>0</v>
      </c>
      <c r="X16" s="61">
        <v>0</v>
      </c>
      <c r="Y16" s="62">
        <v>215</v>
      </c>
    </row>
    <row r="17" spans="1:25" ht="15.5" thickTop="1" thickBot="1">
      <c r="A17" s="25"/>
      <c r="B17" s="396"/>
      <c r="C17" s="397"/>
      <c r="D17" s="398"/>
      <c r="E17" s="2" t="s">
        <v>157</v>
      </c>
      <c r="F17" s="3" t="s">
        <v>49</v>
      </c>
      <c r="G17" s="58">
        <v>-2</v>
      </c>
      <c r="H17" s="58"/>
      <c r="I17" s="105"/>
      <c r="J17" s="32"/>
      <c r="K17" s="25"/>
      <c r="L17" s="58"/>
      <c r="M17" s="58"/>
      <c r="N17" s="63"/>
      <c r="O17" s="105"/>
      <c r="P17" s="58"/>
      <c r="Q17" s="25"/>
      <c r="R17" s="25"/>
      <c r="S17" s="25"/>
      <c r="U17" s="60" t="s">
        <v>334</v>
      </c>
      <c r="V17" s="61">
        <v>0</v>
      </c>
      <c r="W17" s="61">
        <v>0</v>
      </c>
      <c r="X17" s="61">
        <v>0</v>
      </c>
      <c r="Y17" s="62">
        <v>354.81808000000001</v>
      </c>
    </row>
    <row r="18" spans="1:25" ht="15" thickTop="1" thickBot="1">
      <c r="A18" s="25"/>
      <c r="B18" s="396"/>
      <c r="C18" s="397"/>
      <c r="D18" s="398"/>
      <c r="E18" s="4" t="s">
        <v>73</v>
      </c>
      <c r="F18" s="3" t="s">
        <v>49</v>
      </c>
      <c r="G18" s="58">
        <v>-4</v>
      </c>
      <c r="H18" s="58"/>
      <c r="I18" s="105"/>
      <c r="J18" s="32"/>
      <c r="K18" s="25"/>
      <c r="L18" s="85"/>
      <c r="M18" s="58"/>
      <c r="N18" s="58"/>
      <c r="O18" s="105"/>
      <c r="P18" s="58"/>
      <c r="Q18" s="25"/>
      <c r="R18" s="25"/>
      <c r="S18" s="25"/>
      <c r="U18" s="64" t="s">
        <v>164</v>
      </c>
      <c r="V18" s="61">
        <v>0</v>
      </c>
      <c r="W18" s="61">
        <v>0</v>
      </c>
      <c r="X18" s="61">
        <v>0</v>
      </c>
      <c r="Y18" s="62">
        <v>1009.81808</v>
      </c>
    </row>
    <row r="19" spans="1:25" ht="15" thickTop="1" thickBot="1">
      <c r="A19" s="25"/>
      <c r="B19" s="396"/>
      <c r="C19" s="397"/>
      <c r="D19" s="398"/>
      <c r="E19" s="5" t="s">
        <v>75</v>
      </c>
      <c r="F19" s="6" t="s">
        <v>49</v>
      </c>
      <c r="G19" s="65">
        <v>0.5714285714285714</v>
      </c>
      <c r="H19" s="65"/>
      <c r="I19" s="106"/>
      <c r="J19" s="65"/>
      <c r="K19" s="25"/>
      <c r="L19" s="65"/>
      <c r="M19" s="65"/>
      <c r="N19" s="65"/>
      <c r="O19" s="106"/>
      <c r="P19" s="65"/>
      <c r="Q19" s="25"/>
      <c r="R19" s="25"/>
      <c r="S19" s="25"/>
      <c r="U19" s="66"/>
    </row>
    <row r="20" spans="1:25" ht="15" thickTop="1" thickBot="1">
      <c r="A20" s="25"/>
      <c r="B20" s="396"/>
      <c r="C20" s="397"/>
      <c r="D20" s="398"/>
      <c r="E20" s="7" t="s">
        <v>158</v>
      </c>
      <c r="F20" s="8" t="s">
        <v>49</v>
      </c>
      <c r="G20" s="67">
        <v>0.66666666666666663</v>
      </c>
      <c r="H20" s="67"/>
      <c r="I20" s="107"/>
      <c r="J20" s="67"/>
      <c r="K20" s="25"/>
      <c r="L20" s="67"/>
      <c r="M20" s="67"/>
      <c r="N20" s="67"/>
      <c r="O20" s="107"/>
      <c r="P20" s="67"/>
      <c r="Q20" s="25"/>
      <c r="R20" s="25"/>
      <c r="S20" s="25"/>
      <c r="U20" s="53"/>
    </row>
    <row r="21" spans="1:25" ht="15.5" thickTop="1" thickBot="1">
      <c r="A21" s="25"/>
      <c r="B21" s="396"/>
      <c r="C21" s="397"/>
      <c r="D21" s="398"/>
      <c r="E21" s="9" t="s">
        <v>76</v>
      </c>
      <c r="F21" s="10" t="s">
        <v>49</v>
      </c>
      <c r="G21" s="68">
        <v>121</v>
      </c>
      <c r="H21" s="68"/>
      <c r="I21" s="108"/>
      <c r="J21" s="68"/>
      <c r="K21" s="25"/>
      <c r="L21" s="68"/>
      <c r="M21" s="68"/>
      <c r="N21" s="63"/>
      <c r="O21" s="108"/>
      <c r="P21" s="68"/>
      <c r="Q21" s="25"/>
      <c r="R21" s="25"/>
      <c r="S21" s="25"/>
    </row>
    <row r="22" spans="1:25" ht="15" thickTop="1" thickBot="1">
      <c r="A22" s="25"/>
      <c r="B22" s="396"/>
      <c r="C22" s="397"/>
      <c r="D22" s="399"/>
      <c r="E22" s="11" t="s">
        <v>159</v>
      </c>
      <c r="F22" s="12" t="s">
        <v>49</v>
      </c>
      <c r="G22" s="69">
        <v>25.75</v>
      </c>
      <c r="H22" s="69"/>
      <c r="I22" s="70"/>
      <c r="J22" s="69"/>
      <c r="K22" s="25"/>
      <c r="L22" s="69"/>
      <c r="M22" s="69"/>
      <c r="N22" s="71"/>
      <c r="O22" s="70"/>
      <c r="P22" s="69"/>
      <c r="Q22" s="25"/>
      <c r="R22" s="25"/>
      <c r="S22" s="25"/>
    </row>
    <row r="23" spans="1:25" ht="43" thickTop="1" thickBot="1">
      <c r="A23" s="25"/>
      <c r="B23" s="396"/>
      <c r="C23" s="397" t="s">
        <v>335</v>
      </c>
      <c r="D23" s="1" t="s">
        <v>336</v>
      </c>
      <c r="E23" s="13" t="s">
        <v>164</v>
      </c>
      <c r="F23" s="13"/>
      <c r="G23" s="72">
        <v>0.6145380800000001</v>
      </c>
      <c r="H23" s="72"/>
      <c r="I23" s="109"/>
      <c r="J23" s="72"/>
      <c r="K23" s="25"/>
      <c r="L23" s="72"/>
      <c r="M23" s="72"/>
      <c r="N23" s="73"/>
      <c r="O23" s="109"/>
      <c r="P23" s="72"/>
      <c r="Q23" s="25"/>
      <c r="R23" s="25"/>
      <c r="S23" s="25"/>
    </row>
    <row r="24" spans="1:25" ht="15" thickTop="1" thickBot="1">
      <c r="A24" s="25"/>
      <c r="B24" s="396"/>
      <c r="C24" s="397"/>
      <c r="D24" s="1"/>
      <c r="E24" s="14" t="s">
        <v>161</v>
      </c>
      <c r="F24" s="15" t="s">
        <v>337</v>
      </c>
      <c r="G24" s="74">
        <v>0.52392208000000007</v>
      </c>
      <c r="H24" s="74"/>
      <c r="I24" s="75"/>
      <c r="J24" s="74"/>
      <c r="K24" s="25"/>
      <c r="L24" s="74"/>
      <c r="M24" s="74"/>
      <c r="N24" s="76"/>
      <c r="O24" s="75"/>
      <c r="P24" s="74"/>
      <c r="Q24" s="25"/>
      <c r="R24" s="25"/>
      <c r="S24" s="25"/>
    </row>
    <row r="25" spans="1:25" ht="15" thickTop="1" thickBot="1">
      <c r="A25" s="25"/>
      <c r="B25" s="396"/>
      <c r="C25" s="397"/>
      <c r="D25" s="1"/>
      <c r="E25" s="14" t="s">
        <v>162</v>
      </c>
      <c r="F25" s="15" t="s">
        <v>337</v>
      </c>
      <c r="G25" s="74">
        <v>9.0616000000000002E-2</v>
      </c>
      <c r="H25" s="74"/>
      <c r="I25" s="75"/>
      <c r="J25" s="74"/>
      <c r="K25" s="25"/>
      <c r="L25" s="74"/>
      <c r="M25" s="74"/>
      <c r="N25" s="76"/>
      <c r="O25" s="75"/>
      <c r="P25" s="74"/>
      <c r="Q25" s="25"/>
      <c r="R25" s="25"/>
      <c r="S25" s="25"/>
    </row>
    <row r="26" spans="1:25" ht="15" thickTop="1" thickBot="1">
      <c r="A26" s="25"/>
      <c r="B26" s="396"/>
      <c r="C26" s="397"/>
      <c r="D26" s="16"/>
      <c r="E26" s="17" t="s">
        <v>163</v>
      </c>
      <c r="F26" s="18" t="s">
        <v>337</v>
      </c>
      <c r="G26" s="77">
        <v>0</v>
      </c>
      <c r="H26" s="77"/>
      <c r="I26" s="78"/>
      <c r="J26" s="77"/>
      <c r="K26" s="25"/>
      <c r="L26" s="77"/>
      <c r="M26" s="77"/>
      <c r="N26" s="79"/>
      <c r="O26" s="78"/>
      <c r="P26" s="77"/>
      <c r="Q26" s="25"/>
      <c r="R26" s="25"/>
      <c r="S26" s="25"/>
    </row>
    <row r="27" spans="1:25" ht="29" thickTop="1" thickBot="1">
      <c r="A27" s="25"/>
      <c r="B27" s="396"/>
      <c r="C27" s="397"/>
      <c r="D27" s="1" t="s">
        <v>338</v>
      </c>
      <c r="E27" s="13" t="s">
        <v>164</v>
      </c>
      <c r="F27" s="13"/>
      <c r="G27" s="80">
        <v>13</v>
      </c>
      <c r="H27" s="80"/>
      <c r="I27" s="110"/>
      <c r="J27" s="96"/>
      <c r="K27" s="25"/>
      <c r="L27" s="96"/>
      <c r="M27" s="80"/>
      <c r="N27" s="73"/>
      <c r="O27" s="110"/>
      <c r="P27" s="96"/>
      <c r="Q27" s="25"/>
      <c r="R27" s="25"/>
      <c r="S27" s="25"/>
    </row>
    <row r="28" spans="1:25" ht="15" thickTop="1" thickBot="1">
      <c r="A28" s="25"/>
      <c r="B28" s="396"/>
      <c r="C28" s="397"/>
      <c r="D28" s="1"/>
      <c r="E28" s="14" t="s">
        <v>161</v>
      </c>
      <c r="F28" s="15" t="s">
        <v>337</v>
      </c>
      <c r="G28" s="81">
        <v>11</v>
      </c>
      <c r="H28" s="81"/>
      <c r="I28" s="111"/>
      <c r="J28" s="81"/>
      <c r="K28" s="25"/>
      <c r="L28" s="81"/>
      <c r="M28" s="81"/>
      <c r="N28" s="76"/>
      <c r="O28" s="111"/>
      <c r="P28" s="81"/>
      <c r="Q28" s="25"/>
      <c r="R28" s="25"/>
      <c r="S28" s="25"/>
    </row>
    <row r="29" spans="1:25" ht="15" thickTop="1" thickBot="1">
      <c r="A29" s="25"/>
      <c r="B29" s="396"/>
      <c r="C29" s="397"/>
      <c r="D29" s="1"/>
      <c r="E29" s="14" t="s">
        <v>162</v>
      </c>
      <c r="F29" s="15" t="s">
        <v>337</v>
      </c>
      <c r="G29" s="81">
        <v>2</v>
      </c>
      <c r="H29" s="81"/>
      <c r="I29" s="111"/>
      <c r="J29" s="81"/>
      <c r="K29" s="25"/>
      <c r="L29" s="81"/>
      <c r="M29" s="81"/>
      <c r="N29" s="76"/>
      <c r="O29" s="111"/>
      <c r="P29" s="81"/>
      <c r="Q29" s="25"/>
      <c r="R29" s="25"/>
      <c r="S29" s="25"/>
    </row>
    <row r="30" spans="1:25" ht="15" thickTop="1" thickBot="1">
      <c r="A30" s="25"/>
      <c r="B30" s="396"/>
      <c r="C30" s="397"/>
      <c r="D30" s="19"/>
      <c r="E30" s="20" t="s">
        <v>163</v>
      </c>
      <c r="F30" s="15" t="s">
        <v>337</v>
      </c>
      <c r="G30" s="81">
        <v>0</v>
      </c>
      <c r="H30" s="81"/>
      <c r="I30" s="111"/>
      <c r="J30" s="81"/>
      <c r="K30" s="25"/>
      <c r="L30" s="82"/>
      <c r="M30" s="82"/>
      <c r="N30" s="79"/>
      <c r="O30" s="111"/>
      <c r="P30" s="81"/>
      <c r="Q30" s="25"/>
      <c r="R30" s="25"/>
      <c r="S30" s="25"/>
    </row>
    <row r="31" spans="1:25" ht="15" thickTop="1" thickBot="1">
      <c r="A31" s="25"/>
      <c r="B31" s="396"/>
      <c r="C31" s="397"/>
      <c r="D31" s="401" t="s">
        <v>339</v>
      </c>
      <c r="E31" s="9" t="s">
        <v>161</v>
      </c>
      <c r="F31" s="10" t="s">
        <v>337</v>
      </c>
      <c r="G31" s="83">
        <v>73.909090909090907</v>
      </c>
      <c r="H31" s="83"/>
      <c r="I31" s="112"/>
      <c r="J31" s="83"/>
      <c r="K31" s="25"/>
      <c r="L31" s="83"/>
      <c r="M31" s="83"/>
      <c r="N31" s="84"/>
      <c r="O31" s="112"/>
      <c r="P31" s="83"/>
      <c r="Q31" s="25"/>
      <c r="R31" s="25"/>
      <c r="S31" s="25"/>
    </row>
    <row r="32" spans="1:25" ht="15" thickTop="1" thickBot="1">
      <c r="A32" s="25"/>
      <c r="B32" s="396"/>
      <c r="C32" s="397"/>
      <c r="D32" s="398"/>
      <c r="E32" s="2" t="s">
        <v>162</v>
      </c>
      <c r="F32" s="3" t="s">
        <v>337</v>
      </c>
      <c r="G32" s="58">
        <v>6.5</v>
      </c>
      <c r="H32" s="58"/>
      <c r="I32" s="105"/>
      <c r="J32" s="58"/>
      <c r="K32" s="25"/>
      <c r="L32" s="58"/>
      <c r="M32" s="58"/>
      <c r="N32" s="76"/>
      <c r="O32" s="105"/>
      <c r="P32" s="58"/>
      <c r="Q32" s="25"/>
      <c r="R32" s="25"/>
      <c r="S32" s="25"/>
    </row>
    <row r="33" spans="1:19" ht="15" thickTop="1" thickBot="1">
      <c r="A33" s="25"/>
      <c r="B33" s="396"/>
      <c r="C33" s="397"/>
      <c r="D33" s="398"/>
      <c r="E33" s="4" t="s">
        <v>163</v>
      </c>
      <c r="F33" s="21" t="s">
        <v>337</v>
      </c>
      <c r="G33" s="85">
        <v>0</v>
      </c>
      <c r="H33" s="85"/>
      <c r="I33" s="113"/>
      <c r="J33" s="85"/>
      <c r="K33" s="25"/>
      <c r="L33" s="85"/>
      <c r="M33" s="85"/>
      <c r="N33" s="79"/>
      <c r="O33" s="113"/>
      <c r="P33" s="85"/>
      <c r="Q33" s="25"/>
      <c r="R33" s="25"/>
      <c r="S33" s="25"/>
    </row>
    <row r="34" spans="1:19" ht="15" thickTop="1" thickBot="1">
      <c r="A34" s="25"/>
      <c r="B34" s="396"/>
      <c r="C34" s="400"/>
      <c r="D34" s="399"/>
      <c r="E34" s="22" t="s">
        <v>164</v>
      </c>
      <c r="F34" s="23" t="s">
        <v>337</v>
      </c>
      <c r="G34" s="86">
        <v>63.53846153846154</v>
      </c>
      <c r="H34" s="86"/>
      <c r="I34" s="114"/>
      <c r="J34" s="86"/>
      <c r="K34" s="25"/>
      <c r="L34" s="86"/>
      <c r="M34" s="86"/>
      <c r="N34" s="87"/>
      <c r="O34" s="114"/>
      <c r="P34" s="86"/>
      <c r="Q34" s="25"/>
      <c r="R34" s="25"/>
      <c r="S34" s="25"/>
    </row>
    <row r="35" spans="1:19" ht="15" thickTop="1" thickBot="1">
      <c r="A35" s="32"/>
      <c r="B35" s="392" t="s">
        <v>340</v>
      </c>
      <c r="C35" s="392"/>
      <c r="D35" s="393" t="s">
        <v>341</v>
      </c>
      <c r="E35" s="393"/>
      <c r="F35" s="24" t="s">
        <v>342</v>
      </c>
      <c r="G35" s="88">
        <v>340</v>
      </c>
      <c r="H35" s="88"/>
      <c r="I35" s="88"/>
      <c r="J35" s="88"/>
      <c r="K35" s="25"/>
      <c r="L35" s="99"/>
      <c r="M35" s="88"/>
      <c r="N35" s="88"/>
      <c r="O35" s="88"/>
      <c r="P35" s="88"/>
      <c r="Q35" s="25"/>
      <c r="R35" s="25"/>
      <c r="S35" s="25"/>
    </row>
    <row r="36" spans="1:19" ht="15" thickTop="1" thickBot="1">
      <c r="A36" s="32"/>
      <c r="B36" s="392"/>
      <c r="C36" s="392"/>
      <c r="D36" s="393" t="s">
        <v>343</v>
      </c>
      <c r="E36" s="393"/>
      <c r="F36" s="24" t="s">
        <v>342</v>
      </c>
      <c r="G36" s="89">
        <v>0.70000000000000007</v>
      </c>
      <c r="H36" s="89"/>
      <c r="I36" s="89"/>
      <c r="J36" s="89"/>
      <c r="K36" s="25"/>
      <c r="L36" s="89"/>
      <c r="M36" s="89"/>
      <c r="N36" s="89"/>
      <c r="O36" s="89"/>
      <c r="P36" s="89"/>
      <c r="Q36" s="25"/>
      <c r="R36" s="25"/>
      <c r="S36" s="25"/>
    </row>
    <row r="37" spans="1:19" ht="15" thickTop="1" thickBot="1">
      <c r="A37" s="32"/>
      <c r="B37" s="392"/>
      <c r="C37" s="392"/>
      <c r="D37" s="393" t="s">
        <v>344</v>
      </c>
      <c r="E37" s="393"/>
      <c r="F37" s="24" t="s">
        <v>342</v>
      </c>
      <c r="G37" s="90">
        <v>8.4537859700304985</v>
      </c>
      <c r="H37" s="90"/>
      <c r="I37" s="90"/>
      <c r="J37" s="90"/>
      <c r="K37" s="25"/>
      <c r="L37" s="90"/>
      <c r="M37" s="90"/>
      <c r="N37" s="90"/>
      <c r="O37" s="90"/>
      <c r="P37" s="90"/>
      <c r="Q37" s="25"/>
      <c r="R37" s="25"/>
      <c r="S37" s="25"/>
    </row>
    <row r="38" spans="1:19" ht="14.5" thickTop="1">
      <c r="A38" s="32"/>
      <c r="B38" s="32"/>
      <c r="C38" s="32"/>
      <c r="D38" s="32"/>
      <c r="E38" s="32"/>
      <c r="F38" s="32"/>
      <c r="G38" s="32"/>
      <c r="H38" s="32"/>
      <c r="I38" s="32"/>
      <c r="J38" s="32"/>
      <c r="K38" s="25"/>
      <c r="L38" s="32"/>
      <c r="M38" s="32"/>
      <c r="N38" s="32"/>
      <c r="O38" s="32"/>
      <c r="P38" s="32"/>
      <c r="Q38" s="25"/>
      <c r="R38" s="25"/>
      <c r="S38" s="25"/>
    </row>
    <row r="40" spans="1:19">
      <c r="G40" s="91"/>
    </row>
    <row r="41" spans="1:19">
      <c r="D41" s="64" t="s">
        <v>345</v>
      </c>
    </row>
    <row r="42" spans="1:19">
      <c r="D42" s="64" t="s">
        <v>346</v>
      </c>
    </row>
    <row r="43" spans="1:19">
      <c r="D43" s="64" t="s">
        <v>347</v>
      </c>
    </row>
    <row r="44" spans="1:19">
      <c r="D44" s="64" t="s">
        <v>348</v>
      </c>
    </row>
    <row r="45" spans="1:19">
      <c r="D45" s="64" t="s">
        <v>349</v>
      </c>
    </row>
    <row r="46" spans="1:19">
      <c r="D46" s="64" t="s">
        <v>350</v>
      </c>
    </row>
    <row r="47" spans="1:19">
      <c r="D47" s="64" t="s">
        <v>351</v>
      </c>
    </row>
    <row r="48" spans="1:19">
      <c r="D48" s="64" t="s">
        <v>352</v>
      </c>
    </row>
    <row r="49" spans="4:4">
      <c r="D49" s="64" t="s">
        <v>353</v>
      </c>
    </row>
    <row r="50" spans="4:4">
      <c r="D50" s="64" t="s">
        <v>354</v>
      </c>
    </row>
    <row r="51" spans="4:4">
      <c r="D51" s="64" t="s">
        <v>355</v>
      </c>
    </row>
    <row r="52" spans="4:4">
      <c r="D52" s="64" t="s">
        <v>356</v>
      </c>
    </row>
    <row r="53" spans="4:4">
      <c r="D53" s="64" t="s">
        <v>357</v>
      </c>
    </row>
    <row r="54" spans="4:4">
      <c r="D54" s="64" t="s">
        <v>358</v>
      </c>
    </row>
    <row r="55" spans="4:4">
      <c r="D55" s="64" t="s">
        <v>359</v>
      </c>
    </row>
    <row r="56" spans="4:4">
      <c r="D56" s="64" t="s">
        <v>360</v>
      </c>
    </row>
    <row r="57" spans="4:4">
      <c r="D57" s="64" t="s">
        <v>361</v>
      </c>
    </row>
  </sheetData>
  <mergeCells count="12">
    <mergeCell ref="B35:C37"/>
    <mergeCell ref="D35:E35"/>
    <mergeCell ref="D36:E36"/>
    <mergeCell ref="D37:E37"/>
    <mergeCell ref="M5:N5"/>
    <mergeCell ref="B8:C14"/>
    <mergeCell ref="D14:E14"/>
    <mergeCell ref="B15:B34"/>
    <mergeCell ref="C15:C22"/>
    <mergeCell ref="D15:D22"/>
    <mergeCell ref="C23:C34"/>
    <mergeCell ref="D31:D34"/>
  </mergeCells>
  <pageMargins left="0.7" right="0.7" top="0.75" bottom="0.75" header="0.3" footer="0.3"/>
  <pageSetup orientation="landscape" r:id="rId1"/>
  <headerFooter>
    <oddHeader>&amp;L&amp;"Aptos"&amp;10&amp;K000000 Internal Use Only&amp;1#_x000D_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b8d31ee-6ee9-47d8-9144-f03ed2c19b0d" xsi:nil="true"/>
    <lcf76f155ced4ddcb4097134ff3c332f xmlns="d0e56b4b-71a3-4b0c-9a16-9f6269d57ea2">
      <Terms xmlns="http://schemas.microsoft.com/office/infopath/2007/PartnerControls"/>
    </lcf76f155ced4ddcb4097134ff3c332f>
    <LastModified xmlns="d0e56b4b-71a3-4b0c-9a16-9f6269d57ea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07A390B6633EC4A85B0C57EACFF63A1" ma:contentTypeVersion="13" ma:contentTypeDescription="Create a new document." ma:contentTypeScope="" ma:versionID="5b5f66c82f9e35b82a6093dc7dd32959">
  <xsd:schema xmlns:xsd="http://www.w3.org/2001/XMLSchema" xmlns:xs="http://www.w3.org/2001/XMLSchema" xmlns:p="http://schemas.microsoft.com/office/2006/metadata/properties" xmlns:ns2="d0e56b4b-71a3-4b0c-9a16-9f6269d57ea2" xmlns:ns3="0b8d31ee-6ee9-47d8-9144-f03ed2c19b0d" targetNamespace="http://schemas.microsoft.com/office/2006/metadata/properties" ma:root="true" ma:fieldsID="fc19b2527831f789693a444a736236b6" ns2:_="" ns3:_="">
    <xsd:import namespace="d0e56b4b-71a3-4b0c-9a16-9f6269d57ea2"/>
    <xsd:import namespace="0b8d31ee-6ee9-47d8-9144-f03ed2c19b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LastModifi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e56b4b-71a3-4b0c-9a16-9f6269d57e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e4b2a2b-6dbd-49cd-9375-0caeec7ed03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description="" ma:indexed="true" ma:internalName="MediaServiceLocation" ma:readOnly="true">
      <xsd:simpleType>
        <xsd:restriction base="dms:Text"/>
      </xsd:simpleType>
    </xsd:element>
    <xsd:element name="LastModified" ma:index="20" nillable="true" ma:displayName="Last Modified " ma:format="DateTime" ma:internalName="LastModifi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0b8d31ee-6ee9-47d8-9144-f03ed2c19b0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f86d09d-de96-4105-b8dd-237d7747c695}" ma:internalName="TaxCatchAll" ma:showField="CatchAllData" ma:web="0b8d31ee-6ee9-47d8-9144-f03ed2c19b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7D3744-4192-42D4-842B-B15A110EEF8B}">
  <ds:schemaRefs>
    <ds:schemaRef ds:uri="http://schemas.microsoft.com/office/2006/metadata/properties"/>
    <ds:schemaRef ds:uri="http://schemas.microsoft.com/office/infopath/2007/PartnerControls"/>
    <ds:schemaRef ds:uri="0b8d31ee-6ee9-47d8-9144-f03ed2c19b0d"/>
    <ds:schemaRef ds:uri="d0e56b4b-71a3-4b0c-9a16-9f6269d57ea2"/>
  </ds:schemaRefs>
</ds:datastoreItem>
</file>

<file path=customXml/itemProps2.xml><?xml version="1.0" encoding="utf-8"?>
<ds:datastoreItem xmlns:ds="http://schemas.openxmlformats.org/officeDocument/2006/customXml" ds:itemID="{07014369-0A61-4EC5-AF4B-33FC08F05E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e56b4b-71a3-4b0c-9a16-9f6269d57ea2"/>
    <ds:schemaRef ds:uri="0b8d31ee-6ee9-47d8-9144-f03ed2c19b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A4E599B-F83B-48FF-AACB-4A20DA6D0BAC}">
  <ds:schemaRefs>
    <ds:schemaRef ds:uri="http://schemas.microsoft.com/sharepoint/v3/contenttype/forms"/>
  </ds:schemaRefs>
</ds:datastoreItem>
</file>

<file path=docMetadata/LabelInfo.xml><?xml version="1.0" encoding="utf-8"?>
<clbl:labelList xmlns:clbl="http://schemas.microsoft.com/office/2020/mipLabelMetadata">
  <clbl:label id="{c089e9ed-e605-41d8-9751-cbc2d5a928fc}" enabled="1" method="Standard" siteId="{c219b6e3-8d5e-4584-8819-273b0ce3dad2}"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Report &gt;&gt;</vt:lpstr>
      <vt:lpstr>Executive_Summary</vt:lpstr>
      <vt:lpstr>Sprints_Special_Projects</vt:lpstr>
      <vt:lpstr>Prod Dev</vt:lpstr>
      <vt:lpstr>Sales</vt:lpstr>
      <vt:lpstr>Marketing</vt:lpstr>
      <vt:lpstr>Sales old)</vt:lpstr>
      <vt:lpstr>Customer Success</vt:lpstr>
      <vt:lpstr>Onboarding</vt:lpstr>
      <vt:lpstr>Finance</vt:lpstr>
      <vt:lpstr>Actuals</vt:lpstr>
      <vt:lpstr>Glossary</vt:lpstr>
      <vt:lpstr>Inputs&gt;&gt;</vt:lpstr>
      <vt:lpstr>Budget</vt:lpstr>
      <vt:lpstr>2023 Control</vt:lpstr>
      <vt:lpstr>2024 Control</vt:lpstr>
      <vt:lpstr>S&amp;M Playbook Example</vt:lpstr>
      <vt:lpstr>Budget!Print_Area</vt:lpstr>
      <vt:lpstr>'Customer Success'!Print_Area</vt:lpstr>
      <vt:lpstr>Executive_Summary!Print_Area</vt:lpstr>
      <vt:lpstr>Finance!Print_Area</vt:lpstr>
      <vt:lpstr>Glossary!Print_Area</vt:lpstr>
      <vt:lpstr>Marketing!Print_Area</vt:lpstr>
      <vt:lpstr>Onboarding!Print_Area</vt:lpstr>
      <vt:lpstr>'Prod Dev'!Print_Area</vt:lpstr>
      <vt:lpstr>Sales!Print_Area</vt:lpstr>
      <vt:lpstr>'Sales old)'!Print_Area</vt:lpstr>
      <vt:lpstr>Sprints_Special_Projects!Print_Area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Barbas</dc:creator>
  <cp:keywords/>
  <dc:description/>
  <cp:lastModifiedBy>Vinay</cp:lastModifiedBy>
  <cp:revision/>
  <dcterms:created xsi:type="dcterms:W3CDTF">2023-01-05T17:28:58Z</dcterms:created>
  <dcterms:modified xsi:type="dcterms:W3CDTF">2026-05-05T09:45:17Z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0x010100F07A390B6633EC4A85B0C57EACFF63A1</vt:lpwstr>
  </property>
  <property fmtid="{D5CDD505-2E9C-101B-9397-08002B2CF9AE}" pid="3" name="Order">
    <vt:r8>800</vt:r8>
  </property>
  <property fmtid="{D5CDD505-2E9C-101B-9397-08002B2CF9AE}" pid="4" name="MediaServiceImageTags">
    <vt:lpwstr/>
  </property>
</Properties>
</file>